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drawings/vmlDrawing13.vml" ContentType="application/vnd.openxmlformats-officedocument.vmlDrawing"/>
  <Override PartName="/xl/comments24.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9.xml" ContentType="application/vnd.openxmlformats-officedocument.spreadsheetml.comment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4.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17.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19.xml" ContentType="application/vnd.openxmlformats-officedocument.spreadsheetml.comments+xml"/>
  <Override PartName="/xl/comments21.xml" ContentType="application/vnd.openxmlformats-officedocument.spreadsheetml.comments+xml"/>
  <Override PartName="/xl/comments29.xml" ContentType="application/vnd.openxmlformats-officedocument.spreadsheetml.comments+xml"/>
  <Override PartName="/xl/comments17.xml" ContentType="application/vnd.openxmlformats-officedocument.spreadsheetml.comments+xml"/>
  <Override PartName="/xl/comments28.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xl/_rels/workbook.xml.rels" ContentType="application/vnd.openxmlformats-package.relationships+xml"/>
  <Override PartName="/xl/comments27.xml" ContentType="application/vnd.openxmlformats-officedocument.spreadsheetml.comments+xml"/>
  <Override PartName="/xl/comments15.xml" ContentType="application/vnd.openxmlformats-officedocument.spreadsheetml.comments+xml"/>
  <Override PartName="/xl/comments26.xml" ContentType="application/vnd.openxmlformats-officedocument.spreadsheetml.comments+xml"/>
  <Override PartName="/xl/comments25.xml" ContentType="application/vnd.openxmlformats-officedocument.spreadsheetml.comments+xml"/>
  <Override PartName="/xl/comments23.xml" ContentType="application/vnd.openxmlformats-officedocument.spreadsheetml.comments+xml"/>
  <Override PartName="/xl/comments22.xml" ContentType="application/vnd.openxmlformats-officedocument.spreadsheetml.comments+xml"/>
  <Override PartName="/xl/theme/theme1.xml" ContentType="application/vnd.openxmlformats-officedocument.theme+xml"/>
  <Override PartName="/xl/comments20.xml" ContentType="application/vnd.openxmlformats-officedocument.spreadsheetml.comments+xml"/>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Carteira por proponente" sheetId="2" state="visible" r:id="rId4"/>
    <sheet name="Matriz de campos" sheetId="3" state="visible" r:id="rId5"/>
    <sheet name="Revisão detalhada" sheetId="4" state="visible" r:id="rId6"/>
    <sheet name="Enquadramento e pendências" sheetId="5" state="visible" r:id="rId7"/>
    <sheet name="Campos SALIC 2026" sheetId="6" state="visible" r:id="rId8"/>
    <sheet name="Referência de preços" sheetId="7" state="visible" r:id="rId9"/>
    <sheet name="Parâmetros IN 29" sheetId="8" state="visible" r:id="rId10"/>
    <sheet name="P01 Escola de Ofícios do Espetá" sheetId="9" state="visible" r:id="rId11"/>
    <sheet name="P02 Mestres e Aprendizes" sheetId="10" state="visible" r:id="rId12"/>
    <sheet name="P03 Cultura Viva nas Vilas" sheetId="11" state="visible" r:id="rId13"/>
    <sheet name="P04 Cena Mineira em Movimento" sheetId="12" state="visible" r:id="rId14"/>
    <sheet name="P05 Sons do Congado" sheetId="13" state="visible" r:id="rId15"/>
    <sheet name="P06 Mural Minas" sheetId="14" state="visible" r:id="rId16"/>
    <sheet name="P07 Concertos nas Praças do Int" sheetId="15" state="visible" r:id="rId17"/>
    <sheet name="P08 Sabores de Minas – Circuito" sheetId="16" state="visible" r:id="rId18"/>
    <sheet name="P09 Auto de Natal Mineiro" sheetId="17" state="visible" r:id="rId19"/>
    <sheet name="P10 Natal nas Cidades Mineiras" sheetId="18" state="visible" r:id="rId20"/>
    <sheet name="P11 Festa Junina 2027 – Saberes" sheetId="19" state="visible" r:id="rId21"/>
    <sheet name="P12 Bloco do Nerd  Carnaval (Bl" sheetId="20" state="visible" r:id="rId22"/>
    <sheet name="P13 Skate e Arte Urbana (Circui" sheetId="21" state="visible" r:id="rId23"/>
    <sheet name="P14 Capoeira Roda de Minas" sheetId="22" state="visible" r:id="rId24"/>
    <sheet name="P15 Riso que Cura" sheetId="23" state="visible" r:id="rId25"/>
    <sheet name="P16 Música nos Hospitais" sheetId="24" state="visible" r:id="rId26"/>
    <sheet name="P17 Corpo em Cena" sheetId="25" state="visible" r:id="rId27"/>
    <sheet name="P18 Arte e Envelhecimento Ativo" sheetId="26" state="visible" r:id="rId28"/>
    <sheet name="P19 Acelera Minas – formação de" sheetId="27" state="visible" r:id="rId29"/>
    <sheet name="P20 Jovens do Fut – formação em" sheetId="28" state="visible" r:id="rId30"/>
    <sheet name="P21 Caravana Cultura &amp; Saúde" sheetId="29" state="visible" r:id="rId31"/>
  </sheets>
  <definedNames>
    <definedName function="false" hidden="true" localSheetId="3" name="_xlnm._FilterDatabase" vbProcedure="false">'Revisão detalhada'!$A$3:$G$1066</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Valor da aba 'Projetos' da planilha do cliente.</t>
        </r>
      </text>
    </comment>
  </commentList>
</comments>
</file>

<file path=xl/sharedStrings.xml><?xml version="1.0" encoding="utf-8"?>
<sst xmlns="http://schemas.openxmlformats.org/spreadsheetml/2006/main" count="19536" uniqueCount="4782">
  <si>
    <t xml:space="preserve">Projetos Rouanet 2027 – Revisão Art. 18 e planilhas orçamentárias (IN MinC 29/2026)</t>
  </si>
  <si>
    <t xml:space="preserve">Prazo de submissão: 31/10/2026 (IN 29, art. 5º). Valores orçados vêm das abas de cada projeto (fórmulas). Status/nota: revisão técnica dos documentos da pasta do Drive em 14/10/2026.</t>
  </si>
  <si>
    <t xml:space="preserve">#</t>
  </si>
  <si>
    <t xml:space="preserve">Projeto</t>
  </si>
  <si>
    <t xml:space="preserve">Frente</t>
  </si>
  <si>
    <t xml:space="preserve">Titular p/ carteira</t>
  </si>
  <si>
    <t xml:space="preserve">Tipo</t>
  </si>
  <si>
    <t xml:space="preserve">Valor pré-planejado</t>
  </si>
  <si>
    <t xml:space="preserve">Valor mínimo</t>
  </si>
  <si>
    <t xml:space="preserve">Valor total orçado</t>
  </si>
  <si>
    <t xml:space="preserve">Diferença</t>
  </si>
  <si>
    <t xml:space="preserve">Valor do projeto (base %)</t>
  </si>
  <si>
    <t xml:space="preserve">% Adm.</t>
  </si>
  <si>
    <t xml:space="preserve">% Acess./Divulg.</t>
  </si>
  <si>
    <t xml:space="preserve">% Captação</t>
  </si>
  <si>
    <t xml:space="preserve">Limites % e teto</t>
  </si>
  <si>
    <t xml:space="preserve">Produto principal – área / segmento (Anexo IV)</t>
  </si>
  <si>
    <t xml:space="preserve">Enquadr.</t>
  </si>
  <si>
    <t xml:space="preserve">Campos SALIC OK</t>
  </si>
  <si>
    <t xml:space="preserve">PARCIAL</t>
  </si>
  <si>
    <t xml:space="preserve">AUSENTE</t>
  </si>
  <si>
    <t xml:space="preserve">Nota (0-10)</t>
  </si>
  <si>
    <t xml:space="preserve">Status</t>
  </si>
  <si>
    <t xml:space="preserve">Pendências críticas</t>
  </si>
  <si>
    <t xml:space="preserve">P01</t>
  </si>
  <si>
    <t xml:space="preserve">Escola de Ofícios do Espetáculo</t>
  </si>
  <si>
    <t xml:space="preserve">01. Cultura</t>
  </si>
  <si>
    <t xml:space="preserve">Educare</t>
  </si>
  <si>
    <t xml:space="preserve">PJ</t>
  </si>
  <si>
    <t xml:space="preserve">Curso/Oficina – ciclo formativo de iniciação aos ofícios técnicos e criativos das artes cênicas (9 turmas x 24h, 270 vagas, 3 núcleos) – Artes Cênicas / Empreend Ações Educ-Cult/Capacitação/Treinamento</t>
  </si>
  <si>
    <t xml:space="preserve">Art. 18</t>
  </si>
  <si>
    <t xml:space="preserve">Ajustes importantes</t>
  </si>
  <si>
    <t xml:space="preserve">• Documentação jurídica da Educare (cartão CNPJ com CNAE cultural compatível, contrato social, representante) – sem isso o SALIC não admite.
• Portfólio de atuação cultural da Educare (obrigatório para projeto de R$ 500 mil).
• Projeto pedagógico formal com currículo da coordenadora pedagógica e plano de execução com carga horária e conteúdo programático por turma (Anexo II 7.2/7.3), incluindo a matriz núcleo x formação.
• Cartas de anuência dos 3 núcleos e do local da mostra; definição do grupo teatral parceiro com autorização autoral.</t>
  </si>
  <si>
    <t xml:space="preserve">P02</t>
  </si>
  <si>
    <t xml:space="preserve">Mestres e Aprendizes</t>
  </si>
  <si>
    <t xml:space="preserve">Aver Mídia</t>
  </si>
  <si>
    <t xml:space="preserve">Percursos continuados de transmissão de saberes tradicionais conduzidos por 4 mestres (4 turmas x 48h, 120 aprendizes) – Patrimônio Cultural / Salvaguarda do patrimônio cultural imaterial</t>
  </si>
  <si>
    <t xml:space="preserve">• Selecionar e formalizar os 4 mestres (cartas de anuência) e, quando o saber for coletivo, a anuência da comunidade detentora (Anexo II 8.1.3).
• Dossiê por saber com relatório de reconhecido valor cultural, identificação e relatório do bem (Anexo II 8.1.1, 8.1.2.1, 8.1.4, 8.1.5) – ou acionar o Plano B (Artes Visuais – Ações Educ-Cult).
• Documentação PJ da Aver Mídia com CNAE compatível e portfólio cultural.
• Espaços das 4 turmas e da exposição com anuência.</t>
  </si>
  <si>
    <t xml:space="preserve">P03</t>
  </si>
  <si>
    <t xml:space="preserve">Cultura Viva nas Vilas</t>
  </si>
  <si>
    <t xml:space="preserve">IHV</t>
  </si>
  <si>
    <t xml:space="preserve">Oficinas de formação artística em cultura urbana – música e musicalidade, grafite e audiovisual (8 oficinas x 24h, 200 participantes) – Artes Visuais / Empreend Ações Educ-Cult/Capacitação/Treinamento</t>
  </si>
  <si>
    <t xml:space="preserve">• Regularidade cadastral do IHV (CNPJ ativo, estatuto, ata, representante, CNAE cultural) e padronização do nome/sigla (IHV x IHGV).
• Confirmar a função de Ado Viana no IHV e o histórico do IHV no Pronac (dispensa de portfólio e art. 15) – risco de questionamento de carteira/fracionamento com P05 e P16.
• Plano de execução com carga horária e conteúdo programático das 8 oficinas e ficha técnica nominal (curadoria + ≥6 oficineiros).
• Cartas de anuência dos 4 espaços (incluindo solução para 12–14 anos no Eldorado) e autorizações para painéis de grafite.</t>
  </si>
  <si>
    <t xml:space="preserve">P04</t>
  </si>
  <si>
    <t xml:space="preserve">Cena Mineira em Movimento</t>
  </si>
  <si>
    <t xml:space="preserve">Mobox</t>
  </si>
  <si>
    <t xml:space="preserve">Circulação de 4 espetáculos mineiros de teatro/dança – 24 apresentações gratuitas em 12 municípios – Artes Cênicas / Apresentação ou Performance de Teatro</t>
  </si>
  <si>
    <t xml:space="preserve">• Dados jurídicos da Mobox (razão social, CNPJ, CNAE, representante) e portfólio.
• Fechar 24 apresentações/24 oficinas e a matriz espetáculo x município (ou outro número), refletindo metas e planilha.
• Pré-selecionar (por convite) os 4 espetáculos ou parte deles com sinopse, ficha técnica, currículos e autorização do autor do texto – sem isso o Anexo II 3.3 fica descoberto.
• Anuências das 12 prefeituras/equipamentos com ficha técnica e lotação.</t>
  </si>
  <si>
    <t xml:space="preserve">P05</t>
  </si>
  <si>
    <t xml:space="preserve">Sons do Congado</t>
  </si>
  <si>
    <t xml:space="preserve">Ado Viana</t>
  </si>
  <si>
    <t xml:space="preserve">PF</t>
  </si>
  <si>
    <t xml:space="preserve">Álbum Sons do Congado como registro sonoro de salvaguarda: gravação de campo com 4 guardas (12 faixas), repertório e limites de registro definidos pelos mestres, devolução às comunidades e difusão gratuita. – Patrimônio Cultural / Salvaguarda do patrimônio cultural imaterial</t>
  </si>
  <si>
    <t xml:space="preserve">• Definir e cadastrar o proponente PF (CPF, endereço, portfólio de Ado Viana). Confirmar que a carteira P05 + P16 = R$ 500 mil não será ultrapassada.
• Obter as declarações de anuência das guardas/comunidades detentoras e o relatório de reconhecido valor cultural (Anexo II, 8.1.2.1 e 8.1.3). Sem isso o Iphan não admite a proposta.
• Fechar a lista nominal de guardas, mestres e municípios e as especificações técnicas (12 faixas, 6 oficinas de 4h, minidoc de 15 min, apresentação).
• Ficha técnica com currículos, em especial do articulador comunitário/coordenador com experiência comprovada junto às comunidades (8.1.6) e da direção musical.</t>
  </si>
  <si>
    <t xml:space="preserve">P06</t>
  </si>
  <si>
    <t xml:space="preserve">Mural Minas</t>
  </si>
  <si>
    <t xml:space="preserve">Morsa</t>
  </si>
  <si>
    <t xml:space="preserve">6 murais de arte urbana (~180 m² no total) criados com as turmas e artistas-educadores, em exposição pública permanente e gratuita em BH, Contagem e Santa Luzia. – Artes Visuais / Exposição Cultural / Artística</t>
  </si>
  <si>
    <t xml:space="preserve">• CNAE da Morsa: incluir CNAE secundário cultural compatível com Artes Visuais/ensino de arte (o principal é edição de jornais), senão o SALIC inadmite.
• Reescrever o documento (hoje no modelo LEIC) para o SALIC: área Artes Visuais, segmento Exposição Cultural/Artística, Art. 18; retirar a prática de 'pixo' do objeto.
• Definir as 6 superfícies com anuência/termo de cessão e corrigir a área (180 m² x 80 m²). Decidir 6 ou 9 murais.
• Equipe com currículos e plano pedagógico com carga horária e conteúdo programático (Anexo II, 4.1 e 7.3).</t>
  </si>
  <si>
    <t xml:space="preserve">P07</t>
  </si>
  <si>
    <t xml:space="preserve">Concertos nas Praças do Interior (documentos: 'Concertos na Praça')</t>
  </si>
  <si>
    <t xml:space="preserve">Túlio Gama</t>
  </si>
  <si>
    <t xml:space="preserve">Circuito de 8 concertos gratuitos de música instrumental/de concerto com formação de câmara (8 músicos + regente) e aberturas regionais instrumentais/corais. – Música / Apresentação/Gravação de Música Instrumental (alternativa: Apresentação/Gravação de Música Erudita)</t>
  </si>
  <si>
    <t xml:space="preserve">• Confirmar Túlio Gama (PF) como proponente, corrigir a pasta 'PRO SP' e conferir a carteira: com P07 a R$ 500 mil, P12 vai para a LEIC e P08 fica com a ProSP.
• Definir formação principal (nº de músicos), regente/diretor artístico e grupos regionais, com currículos (Anexo II, 5.1).
• Escolher os municípios/praças e obter anuências municipais com a lista do que cada prefeitura cede (energia, segurança, banheiros, gradil). Sem isso, 8 concertos não cabem em R$ 500 mil.
• Fechar a planilha com cotações (palco, som, ônibus, hospedagem) e a simulação do ECAD; dividir a estrutura entre fornecedores para respeitar o limite de 20%.</t>
  </si>
  <si>
    <t xml:space="preserve">P08</t>
  </si>
  <si>
    <t xml:space="preserve">Sabores de Minas – Circuito de Cultura Alimentar, Memória e Patrimônio de Minas Gerais</t>
  </si>
  <si>
    <t xml:space="preserve">PRO SP</t>
  </si>
  <si>
    <t xml:space="preserve">Encontros de transmissão de saberes da cultura alimentar tradicional mineira com mestres e detentores (cozinhas de mestres, oficinas, 'Cozinha de Memórias' com escolas e rodas de conversa) em 4 etapas municipais, como ação de salvaguarda. – Patrimônio Cultural / Salvaguarda do patrimônio cultural imaterial</t>
  </si>
  <si>
    <t xml:space="preserve">Risco</t>
  </si>
  <si>
    <t xml:space="preserve">Não submeter como está</t>
  </si>
  <si>
    <t xml:space="preserve">• Reestruturar o objeto de 'festival gastronômico' para salvaguarda de saberes e modos de fazer tradicionais (Patrimônio/Salvaguarda, Art. 18). Do contrário, o enquadramento é Art. 26 e há glosa de custos (IN, art. 18).
• Confirmar o proponente ProSP (CNPJ, CNAE compatível, representante) e corrigir a pasta 'Túlio Gama'. Como PF de Túlio, o projeto é inviável (teto R$ 500 mil e carteira já usada por P07).
• Reunir o Anexo II, item 8: identificação dos saberes/bens, registro ou relatório de reconhecido valor, anuências dos detentores/comunidades e ficha técnica com experiência junto às comunidades.
• Regulamentar a feira sem taxa e sem receita para o projeto, ou declarar a receita e aplicar o art. 44.</t>
  </si>
  <si>
    <t xml:space="preserve">P09</t>
  </si>
  <si>
    <t xml:space="preserve">Auto de Natal Mineiro</t>
  </si>
  <si>
    <t xml:space="preserve">02. Natal</t>
  </si>
  <si>
    <t xml:space="preserve">Armind</t>
  </si>
  <si>
    <t xml:space="preserve">A confirmar</t>
  </si>
  <si>
    <t xml:space="preserve">Espetáculo teatral-musical Auto de Natal Mineiro – criação e circulação (10 apresentações gratuitas) – Artes Cênicas / Teatro Musical (c/ dramaturgia, danças e canções) – alternativa equivalente: Apresentação ou Performance de Teatro</t>
  </si>
  <si>
    <t xml:space="preserve">• Resolver a sobreposição com o P10 (mesmo proponente Arminde e mesmo objeto 'Auto de Natal' em nov–dez/2027) antes de submeter. Sem isso há risco de indeferimento por fracionamento ou duplicidade e de custos de criação contados duas vezes.
• Natureza jurídica e dossiê da Arminde (PF, MEI ou PJ; CNPJ e CNAE; portfólio obrigatório por ser &gt; R$ 200 mil). Se for PF, o projeto tem de baixar para ≤ R$ 500 mil.
• Ficha técnica com currículos, autor do texto com contrato ou anuência (Anexo II 3.1 e 3.3) e sinopse.
• Fechar os 8 municípios e as praças com manifestação das prefeituras, mais o calendário real.</t>
  </si>
  <si>
    <t xml:space="preserve">P10</t>
  </si>
  <si>
    <t xml:space="preserve">Natal nas Cidades Mineiras</t>
  </si>
  <si>
    <t xml:space="preserve">Gustavo Ribeiro</t>
  </si>
  <si>
    <t xml:space="preserve">Espetáculo Auto de Natal – 5 apresentações gratuitas em praças (criação/adaptação e circulação) – Artes Cênicas / Apresentação ou Performance de Teatro</t>
  </si>
  <si>
    <t xml:space="preserve">• Resolver a duplicidade com o P09: mesmo proponente (Arminde) e mesmo objeto (Auto de Natal gratuito em praças de MG em nov–dez/2027). Do jeito que está, o projeto não deve ser submetido à Rouanet em paralelo ao P09.
• Definir o titular (Arminde PJ ou Gustavo Ribeiro PF) e reunir CNPJ, CNAE, contrato social e portfólio. A planilha e os documentos divergem.
• Anuências das 5 prefeituras e autorizações de patrimônio nas cidades históricas, com praças definidas.
• Ficha técnica e sinopse do Auto, com anuência do autor.</t>
  </si>
  <si>
    <t xml:space="preserve">P11</t>
  </si>
  <si>
    <t xml:space="preserve">Festa Junina 2027 – Saberes e Tradições do Forró</t>
  </si>
  <si>
    <t xml:space="preserve">03. Festas Populares</t>
  </si>
  <si>
    <t xml:space="preserve">Festival/Festa: circuito Festa Junina – Saberes e Tradições do Forró (4 municípios, 8 dias). Pelo art. 46, parágrafo único, o enquadramento é dado pelo secundário de maior valor: as 16 apresentações das Matrizes Tradicionais do Forró – Patrimônio Cultural / Salvaguarda do patrimônio cultural imaterial (produto Festival, Bienal, Festa ou Feira)</t>
  </si>
  <si>
    <t xml:space="preserve">• Anuência da comunidade detentora das Matrizes Tradicionais do Forró (grupos e coletivos forrozeiros de MG), relatório do bem e comprovante do registro Iphan (Anexo II 8.1.1–8.1.5 e 8.8). Sem isso o enquadramento em Patrimônio não se sustenta.
• Fixar no SALIC o segmento das apresentações (Salvaguarda do PCI, ou Música Regional) e retirar o 'sertanejo raiz', para que o secundário de maior valor garanta o Art. 18.
• Confirmar municípios, espaços e datas com cartas das prefeituras, incluindo o apoio assumido na planilha: energia da rede, sanitários do local e policiamento.
• Cadastro, CNAE e portfólio da Mobox.</t>
  </si>
  <si>
    <t xml:space="preserve">P12</t>
  </si>
  <si>
    <t xml:space="preserve">Bloco do Nerd / Carnaval (Bloco Nerd)</t>
  </si>
  <si>
    <t xml:space="preserve">Desfile festivo – cortejo carnavalesco Bloco Nerd (com ensaios abertos e lançamento) – Artes Cênicas / Desfiles festivos de caráter musical e cênico</t>
  </si>
  <si>
    <t xml:space="preserve">• Escolher qual projeto do Túlio vai à Rouanet. P07 + P12 como PF somam R$ 750 mil e violam a carteira de R$ 500 mil (art. 10, I). Conferir também o vínculo de Túlio com a Morsa (art. 15) e com o P08.
• Titular formal: PF Túlio ou Morsa, sendo que o CNAE da Morsa ('edição de jornais') é incompatível. Reunir o portfólio documentado (obrigatório acima de R$ 200 mil).
• Edição: o Carnaval 2027 é inviável na Rouanet. Reescrever para o Carnaval 2028, o que permite submeter na janela de 2027.
• Direitos: nome 'Bloco Nerd' (conflito com outro bloco), licenças de arranjo dos temas, personagens NXP e eliminação do playback.</t>
  </si>
  <si>
    <t xml:space="preserve">P13</t>
  </si>
  <si>
    <t xml:space="preserve">Skate e Arte Urbana (Circuito Skate &amp; Rua)</t>
  </si>
  <si>
    <t xml:space="preserve">Esporte com cultura</t>
  </si>
  <si>
    <t xml:space="preserve">ESIP</t>
  </si>
  <si>
    <t xml:space="preserve">Oficinas de arte urbana (grafite) com criação coletiva de 4 murais permanentes em pistas públicas de skate da RMBH – Artes Visuais / Empreend Ações Educ-Cult/Capacitação/Treinamento</t>
  </si>
  <si>
    <t xml:space="preserve">• Reescrever o projeto inteiro com objeto cultural. O texto atual (LIE, com 'predominância esportiva') é inadmissível no SALIC e teria quase todo o orçamento glosado pelo art. 18 da IN.
• ESIP: comprovar CNPJ com CNAE cultural compatível com Artes Visuais/Cênicas, estatuto, ata e portfólio de atuação CULTURAL (valor &gt; R$ 200 mil). Sem isso, a proposta não é admitida.
• Anuências das 4 pistas, incluindo autorização expressa para pintura mural permanente (superfície, tema, conservação), e cartas de coletivos locais de hip-hop/grafite.
• Ficha técnica nominada (curadoria de arte urbana, muralistas, arte-educadores de grafite e breaking, DJ/MC, grupo de breaking) com currículos, e projeto pedagógico com carga horária e conteúdo (Anexo II 7.2/7.3).</t>
  </si>
  <si>
    <t xml:space="preserve">P14</t>
  </si>
  <si>
    <t xml:space="preserve">Capoeira: Roda de Minas</t>
  </si>
  <si>
    <t xml:space="preserve">Núcleos de formação em capoeira: 4 núcleos, 100 participantes, 16 encontros de 2 h com mestres (fundamentos, musicalidade, história, oralidade) – Artes Cênicas / Apresentação de Dança ou Ação Educativa: Capoeira</t>
  </si>
  <si>
    <t xml:space="preserve">• ESIP: CNPJ com CNAE cultural compatível com Artes Cênicas, estatuto com finalidade cultural, ata, certidões e portfólio cultural (valor &gt; R$ 200 mil). O próprio documento classifica isso como pendência CRÍTICA nº 1.
• Definir os 2 territórios restantes e os 4 espaços, com cartas de anuência e condições de acessibilidade. Confirmar ou retirar o núcleo quilombola (só citar com anuência formal).
• Nominar os mestres dos núcleos e os convidados do Encontro, com currículos e cartas de aceite. Elaborar o projeto pedagógico dos 16 encontros (Anexo II, item 7).
• Retirar a narrativa esportiva da versão SALIC e resolver a relação com a lei estadual do esporte (duplicidade de fontes; plano do cliente é LEIC-MG).</t>
  </si>
  <si>
    <t xml:space="preserve">P15</t>
  </si>
  <si>
    <t xml:space="preserve">Riso que Cura</t>
  </si>
  <si>
    <t xml:space="preserve">Saúde</t>
  </si>
  <si>
    <t xml:space="preserve">Circulação de performances/intervenções de palhaçaria em hospitais (144 visitas em duplas, 6 hospitais) – Artes Cênicas / Performance de Circo, Clown e Ilusionismo</t>
  </si>
  <si>
    <t xml:space="preserve">• Dados jurídicos da Aver Mídia (CNPJ, atos, representante) e CNAE compatível com artes cênicas – risco de inabilitação se o CNAE for só de mídia/publicidade.
• Portfólio cultural comprovável da Aver Mídia (obrigatório para valor &gt; R$ 200 mil).
• Cartas de interesse/anuência dos 6 hospitais (nome, setor, contato) – sem elas o território e o plano de distribuição são fictícios.
• Validação da escala: 144 visitas só cabem em R$ 450 mil com cachê de R$ 400/turno, coordenação acumulada e captação ~9% (ver planilha); confirmar com artistas antes de congelar.</t>
  </si>
  <si>
    <t xml:space="preserve">P16</t>
  </si>
  <si>
    <t xml:space="preserve">Música nos Hospitais</t>
  </si>
  <si>
    <t xml:space="preserve">Apresentações de música instrumental/regional mineira (trio acústico) em instituições de saúde – 30 apresentações – Música / Apresentação/Gravação de Música Instrumental (alternativa: Música Regional)</t>
  </si>
  <si>
    <t xml:space="preserve">• Decisão curatorial (formação instrumental/regional) – sem ela o produto principal tende a Art. 26 (música popular cantada).
• Carteira PF no limite: P05 (R$ 300 mil) + P16 (R$ 200 mil) = R$ 500 mil e 2 projetos; confirmar que não há outro projeto ativo e vínculos com PJ (art. 15).
• Anuências das 6 instituições (nenhuma indicada).
• Documentos do proponente PF e equipe nominal (currículos de músicos e educador) + projeto pedagógico das oficinas.</t>
  </si>
  <si>
    <t xml:space="preserve">P17</t>
  </si>
  <si>
    <t xml:space="preserve">Corpo em Cena</t>
  </si>
  <si>
    <t xml:space="preserve">Amanda Lourenço</t>
  </si>
  <si>
    <t xml:space="preserve">Oficinas de dança, expressão corporal e artes visuais com criação coletiva (3 núcleos, 48 encontros, 96 h) – Artes Cênicas / Empreendimento de Ações Educativo-Culturais/Capacitação/Treinamento (dança)</t>
  </si>
  <si>
    <t xml:space="preserve">• Definir o proponente formal (PF Amanda Lourenço ou PJ com CNAE cultural) – sem ele não há inscrição.
• Escolher o 3º município e obter anuências dos 3 espaços de oficinas e do local da apresentação principal em BH.
• Ficha técnica nominal e projeto pedagógico formal (carga horária e conteúdo – Anexo II).
• Datas civis do cronograma e decisão IFC x Rouanet sem dupla captação.</t>
  </si>
  <si>
    <t xml:space="preserve">P18</t>
  </si>
  <si>
    <t xml:space="preserve">Arte e Envelhecimento Ativo</t>
  </si>
  <si>
    <t xml:space="preserve">Oficinas continuadas de dança adaptada para pessoas idosas (72 encontros) com direção artístico-pedagógica – Artes Cênicas / Empreendimento de Ações Educativo-Culturais/Capacitação/Treinamento (dança)</t>
  </si>
  <si>
    <t xml:space="preserve">• Confirmar a Educare como proponente (CNPJ, CNAE cultural compatível, portfólio – obrigatório acima de R$ 200 mil).
• Anuência das 6 instituições (centros de convivência/ILPIs) com calendário de 24 semanas.
• Ficha técnica nominal (direção, regente, arte-educador de dança, formador) e projeto pedagógico formal.
• Datas civis e decisão sobre fonte complementar (IFC) sem dupla captação.</t>
  </si>
  <si>
    <t xml:space="preserve">P19</t>
  </si>
  <si>
    <t xml:space="preserve">Acelera Minas – formação de kart</t>
  </si>
  <si>
    <t xml:space="preserve">Rafael Tose</t>
  </si>
  <si>
    <t xml:space="preserve">[REFORMULAÇÃO – referência] Laboratório de formação audiovisual para 80 adolescentes (4 turmas de 20, 80 h cada) de Juatuba e Santa Luzia – Audiovisual / Ações de capacitação e treinamento de pessoal</t>
  </si>
  <si>
    <t xml:space="preserve">• NÃO SUBMETER À ROUANET: o objeto (escola de kart) é esportivo, sem segmento no Anexo IV, e o orçamento seria integralmente glosado (IN art. 18). A planilha esportiva original não é aceitável.
• Encaminhar para a Lei de Incentivo ao Esporte (Lei 11.438/2006) ou para a Lei Estadual de Incentivo ao Esporte de MG (Lei 20.824/2013), com uma OSC esportiva como proponente.
• Valor incompatível: o documento pede R$ 2.434.400, a planilha do cliente prevê R$ 450 mil. Redimensionar em qualquer mecanismo.
• Proponente indefinido ('[Nome da OSC]' x Rafael Tose). Se Rafael Tose for PF, só cabe um entre P19 e P21 na Rouanet (carteira de R$ 500 mil). Priorizar o P21 (cinema), que é cultural.</t>
  </si>
  <si>
    <t xml:space="preserve">P20</t>
  </si>
  <si>
    <t xml:space="preserve">Jovens do Fut – formação em Juatuba</t>
  </si>
  <si>
    <t xml:space="preserve">A definir</t>
  </si>
  <si>
    <t xml:space="preserve">[REFORMULAÇÃO] Escola de Audiovisual e Narração do Futebol: 6 turmas de 20 jovens (audiovisual/fotografia e narração/podcast), 60 h cada – Audiovisual / Ações de capacitação e treinamento de pessoal</t>
  </si>
  <si>
    <t xml:space="preserve">• O documento atual (escola de futebol, formato LIE) NÃO pode ser submetido à Rouanet. A planilha esportiva original (R$ 1,13 mi) não é aceitável (IN art. 18; sem segmento no Anexo IV).
• A planilha SALIC anexa é uma PROPOSTA DE REFORMULAÇÃO DE OBJETO (formação cultural nas linguagens do futebol). Exige escrever um projeto novo (objetivos, justificativa cultural, projeto pedagógico com carga horária e conteúdo, ficha técnica de arte-educadores) antes de 31/10/2026.
• Proponente 'a definir': escolher PJ com CNAE cultural compatível com Audiovisual e portfólio cultural (R$ 500 mil &gt; R$ 200 mil), ou PF com carteira livre. Sem isso não há submissão.
• Escolas, CRAS e prefeitura de Juatuba: anuência para salas e para as superfícies dos murais.</t>
  </si>
  <si>
    <t xml:space="preserve">P21</t>
  </si>
  <si>
    <t xml:space="preserve">Caravana Cultura &amp; Saúde</t>
  </si>
  <si>
    <t xml:space="preserve">Mostra itinerante de cinema brasileiro – 36 blocos de exibição gratuitos em 6 municípios – Audiovisual / Difusão de acervo e conteúdo audiovisual em diversos meios e suportes</t>
  </si>
  <si>
    <t xml:space="preserve">• Natureza jurídica do proponente e carteira: Rafael Tose aparece em P19 (kart, R$ 450 mil) e P21 (R$ 450 mil); como PF só cabe um projeto de R$ 450 mil (teto R$ 500 mil). Decidir qual vai à Rouanet ou usar PJ com CNAE audiovisual.
• Portfólio cultural/audiovisual comprovável (obrigatório acima de R$ 200 mil); sem ele, trocar o proponente (ex.: produtora AV parceira) ou reduzir a ≤ R$ 200 mil se for 1º projeto.
• Seleção dos 6 municípios e espaços (principais + alternativos cobertos) com anuência das prefeituras.
• Lista indicativa de filmes com licenças, classificação e versões acessíveis (AD/LSE).</t>
  </si>
  <si>
    <t xml:space="preserve">TOTAL</t>
  </si>
  <si>
    <t xml:space="preserve">Limites de carteira por proponente (IN 29, arts. 10, 11 e 15)</t>
  </si>
  <si>
    <t xml:space="preserve">Soma só os projetos deste lote; projetos já ativos no SALIC também contam. 'A confirmar' é testado como pessoa física (pior caso). Sócios/dirigentes em comum unem carteiras (art. 15).</t>
  </si>
  <si>
    <t xml:space="preserve">Titular</t>
  </si>
  <si>
    <t xml:space="preserve">Projetos no lote</t>
  </si>
  <si>
    <t xml:space="preserve">Qtd. projetos</t>
  </si>
  <si>
    <t xml:space="preserve">Valor total orçado (R$)</t>
  </si>
  <si>
    <t xml:space="preserve">Limite de carteira (R$)</t>
  </si>
  <si>
    <t xml:space="preserve">Qtd. máx.</t>
  </si>
  <si>
    <t xml:space="preserve">Situação</t>
  </si>
  <si>
    <t xml:space="preserve">Observação</t>
  </si>
  <si>
    <t xml:space="preserve">Proponente não definido – projeto não pode ser cadastrado.</t>
  </si>
  <si>
    <t xml:space="preserve">P05, P16</t>
  </si>
  <si>
    <t xml:space="preserve">Exatamente no teto PF (2 projetos, R$ 500 mil). A exceção de patrimônio (art. 14) não vale para PF. Nenhum outro projeto ativo pode existir.</t>
  </si>
  <si>
    <t xml:space="preserve">Se PF e 1º projeto: R$ 200 mil é exatamente o limite sem portfólio.</t>
  </si>
  <si>
    <t xml:space="preserve">Se for PF, R$ 700 mil excede o teto por projeto. Confirmar natureza jurídica. P10 cita a Arminde como proponente nos documentos (Gustavo Ribeiro como representante): mesma carteira.</t>
  </si>
  <si>
    <t xml:space="preserve">P02, P15</t>
  </si>
  <si>
    <t xml:space="preserve">P13, P14</t>
  </si>
  <si>
    <t xml:space="preserve">P01, P18</t>
  </si>
  <si>
    <t xml:space="preserve">Documentos indicam a Arminde como proponente; se Gustavo for dirigente da Armind, P09 + P10 ficam na mesma carteira (art. 15) e há risco de fracionamento/duplicidade.</t>
  </si>
  <si>
    <t xml:space="preserve">1º projeto no SALIC: R$ 200 mil é o limite sem portfólio. Verificar se Ado Viana é dirigente (uniria carteira com PF).</t>
  </si>
  <si>
    <t xml:space="preserve">P04, P11</t>
  </si>
  <si>
    <t xml:space="preserve">Festa Junina como patrimônio cultural fica fora dos limites de valor e quantidade da PJ (art. 14, §ú).</t>
  </si>
  <si>
    <t xml:space="preserve">P19, P21</t>
  </si>
  <si>
    <t xml:space="preserve">P19 + P21 somam R$ 900 mil: viola se PF. P19 (kart) não é enquadrável; manter só P21.</t>
  </si>
  <si>
    <t xml:space="preserve">P07, P12</t>
  </si>
  <si>
    <t xml:space="preserve">P07 + P12 somam R$ 750 mil &gt; R$ 500 mil. Só um vai à Rouanet (planilha do cliente já prevê o outro na LEIC). Recomendado: P07 na Rouanet, P12 na LEIC. Verificar vínculo com Morsa/Educare (art. 15).</t>
  </si>
  <si>
    <t xml:space="preserve">Campos do SALIC (A), checklist interno do cliente (B) e perguntas específicas (C) – status por projeto</t>
  </si>
  <si>
    <t xml:space="preserve">A12, A14 e A17 (cinza) não são campos próprios do formulário SALIC 2026 – mantidos como boa prática. Detalhes na aba 'Revisão detalhada'.</t>
  </si>
  <si>
    <t xml:space="preserve">Código</t>
  </si>
  <si>
    <t xml:space="preserve">Campo</t>
  </si>
  <si>
    <t xml:space="preserve">A1</t>
  </si>
  <si>
    <t xml:space="preserve">Identificação (nome, proponente, CNPJ/CNAE, área/segmento, Art. 18)</t>
  </si>
  <si>
    <t xml:space="preserve">A2</t>
  </si>
  <si>
    <t xml:space="preserve">Período de execução e prazo de captação</t>
  </si>
  <si>
    <t xml:space="preserve">A3</t>
  </si>
  <si>
    <t xml:space="preserve">Resumo</t>
  </si>
  <si>
    <t xml:space="preserve">OK</t>
  </si>
  <si>
    <t xml:space="preserve">A4</t>
  </si>
  <si>
    <t xml:space="preserve">Objetivos (geral e específicos mensuráveis)</t>
  </si>
  <si>
    <t xml:space="preserve">A5</t>
  </si>
  <si>
    <t xml:space="preserve">Justificativa (art. 1º/3º Lei 8.313, relevância, dados)</t>
  </si>
  <si>
    <t xml:space="preserve">A6</t>
  </si>
  <si>
    <t xml:space="preserve">Acessibilidade (arquitetônica, comunicacional, divulgação; Guia MDHC)</t>
  </si>
  <si>
    <t xml:space="preserve">A7</t>
  </si>
  <si>
    <t xml:space="preserve">Democratização de acesso (art. 41)</t>
  </si>
  <si>
    <t xml:space="preserve">A8</t>
  </si>
  <si>
    <t xml:space="preserve">Ampliação de acesso (art. 42) / contrapartida (art. 44)</t>
  </si>
  <si>
    <t xml:space="preserve">A9</t>
  </si>
  <si>
    <t xml:space="preserve">Etapas de trabalho</t>
  </si>
  <si>
    <t xml:space="preserve">A10</t>
  </si>
  <si>
    <t xml:space="preserve">Ficha técnica</t>
  </si>
  <si>
    <t xml:space="preserve">A11</t>
  </si>
  <si>
    <t xml:space="preserve">Sinopse/descrição do conteúdo artístico</t>
  </si>
  <si>
    <t xml:space="preserve">A12</t>
  </si>
  <si>
    <t xml:space="preserve">Impacto ambiental – NÃO é campo do SALIC 2026 (opcional em 'Outras informações')</t>
  </si>
  <si>
    <t xml:space="preserve">A13</t>
  </si>
  <si>
    <t xml:space="preserve">Especificações técnicas</t>
  </si>
  <si>
    <t xml:space="preserve">A14</t>
  </si>
  <si>
    <t xml:space="preserve">Estratégia de execução / metodologia – no SALIC 2026 vai em 'Etapas de trabalho' e 'Descrição da atividade do produto'</t>
  </si>
  <si>
    <t xml:space="preserve">A15</t>
  </si>
  <si>
    <t xml:space="preserve">Local de realização</t>
  </si>
  <si>
    <t xml:space="preserve">A16</t>
  </si>
  <si>
    <t xml:space="preserve">Plano de distribuição</t>
  </si>
  <si>
    <t xml:space="preserve">A17</t>
  </si>
  <si>
    <t xml:space="preserve">Plano de divulgação – NÃO é campo próprio no SALIC 2026 (custos vinculados de divulgação + art. 21 marcas)</t>
  </si>
  <si>
    <t xml:space="preserve">A18</t>
  </si>
  <si>
    <t xml:space="preserve">Planilha orçamentária analítica</t>
  </si>
  <si>
    <t xml:space="preserve">A19</t>
  </si>
  <si>
    <t xml:space="preserve">Fontes de recursos</t>
  </si>
  <si>
    <t xml:space="preserve">A20</t>
  </si>
  <si>
    <t xml:space="preserve">Documentos obrigatórios (Anexo II)</t>
  </si>
  <si>
    <t xml:space="preserve">A21</t>
  </si>
  <si>
    <t xml:space="preserve">Metas/indicadores e comprovação</t>
  </si>
  <si>
    <t xml:space="preserve">B1</t>
  </si>
  <si>
    <t xml:space="preserve">Propósito</t>
  </si>
  <si>
    <t xml:space="preserve">B2</t>
  </si>
  <si>
    <t xml:space="preserve">Entrega principal</t>
  </si>
  <si>
    <t xml:space="preserve">B3</t>
  </si>
  <si>
    <t xml:space="preserve">Território</t>
  </si>
  <si>
    <t xml:space="preserve">B4</t>
  </si>
  <si>
    <t xml:space="preserve">Público</t>
  </si>
  <si>
    <t xml:space="preserve">B5</t>
  </si>
  <si>
    <t xml:space="preserve">Dimensão e calendário</t>
  </si>
  <si>
    <t xml:space="preserve">B6</t>
  </si>
  <si>
    <t xml:space="preserve">Acesso e participação</t>
  </si>
  <si>
    <t xml:space="preserve">B7</t>
  </si>
  <si>
    <t xml:space="preserve">Proponente e equipe</t>
  </si>
  <si>
    <t xml:space="preserve">B8</t>
  </si>
  <si>
    <t xml:space="preserve">Parceiros</t>
  </si>
  <si>
    <t xml:space="preserve">B9</t>
  </si>
  <si>
    <t xml:space="preserve">Orçamento e captação</t>
  </si>
  <si>
    <t xml:space="preserve">B10</t>
  </si>
  <si>
    <t xml:space="preserve">Mecanismo</t>
  </si>
  <si>
    <t xml:space="preserve">B11</t>
  </si>
  <si>
    <t xml:space="preserve">Comprovação</t>
  </si>
  <si>
    <t xml:space="preserve">C1</t>
  </si>
  <si>
    <t xml:space="preserve">Pergunta específica 1 (ver Revisão detalhada)</t>
  </si>
  <si>
    <t xml:space="preserve">C2</t>
  </si>
  <si>
    <t xml:space="preserve">Pergunta específica 2 (ver Revisão detalhada)</t>
  </si>
  <si>
    <t xml:space="preserve">C3</t>
  </si>
  <si>
    <t xml:space="preserve">Pergunta específica 3 (ver Revisão detalhada)</t>
  </si>
  <si>
    <t xml:space="preserve">C4</t>
  </si>
  <si>
    <t xml:space="preserve">Pergunta específica 4 (ver Revisão detalhada)</t>
  </si>
  <si>
    <t xml:space="preserve">C5</t>
  </si>
  <si>
    <t xml:space="preserve">Pergunta específica 5 (ver Revisão detalhada)</t>
  </si>
  <si>
    <t xml:space="preserve">Total OK</t>
  </si>
  <si>
    <t xml:space="preserve">Total PARCIAL</t>
  </si>
  <si>
    <t xml:space="preserve">Total AUSENTE</t>
  </si>
  <si>
    <t xml:space="preserve">Revisão campo a campo (use o filtro da coluna Projeto)</t>
  </si>
  <si>
    <t xml:space="preserve">Bloco</t>
  </si>
  <si>
    <t xml:space="preserve">Campo / pergunta</t>
  </si>
  <si>
    <t xml:space="preserve">O que o documento traz</t>
  </si>
  <si>
    <t xml:space="preserve">O que falta / ajuste</t>
  </si>
  <si>
    <t xml:space="preserve">P01 Escola de Ofícios do Espetáculo</t>
  </si>
  <si>
    <t xml:space="preserve">SALIC</t>
  </si>
  <si>
    <t xml:space="preserve">Nome e proponente Educare Formação e Desenvolvimento LTDA, CNPJ 44.799.592/0001-29; mecanismos Rouanet + LEIC. O texto alterna 'Educare', 'Educari' e 'Educação'.</t>
  </si>
  <si>
    <t xml:space="preserve">Declarar área Artes Cênicas / segmento Empreend Ações Educ-Cult/Capacitação/Treinamento e pedido de Art. 18; conferir no cartão CNPJ se há CNAE cultural compatível (ex.: 85.92-9/99 ensino de arte e cultura; 90.01-9/99) – razão social 'Formação e Desenvolvimento' sugere CNAE de treinamento (85.99), o que pode barrar a admissibilidade (art. 4º §3º); padronizar o nome 'Educare'.</t>
  </si>
  <si>
    <t xml:space="preserve">Ago–nov/2027 com 'preparação anterior e encerramento posterior' sem datas.</t>
  </si>
  <si>
    <t xml:space="preserve">Fixar datas (sugestão: 01/06/2027 a 31/12/2027) e prazo de captação; o cronograma precisa casar com a planilha (pré jun–jul, produção ago–nov, pós dez).</t>
  </si>
  <si>
    <t xml:space="preserve">Item 1 'Apresentação' e item 2 'Objeto' descrevem o projeto de forma clara.</t>
  </si>
  <si>
    <t xml:space="preserve">Condensar em resumo único para o campo do SALIC, citando 270 vagas, 9 turmas, 3 núcleos, 24h e mostra.</t>
  </si>
  <si>
    <t xml:space="preserve">Objetivo geral e 8 específicos; vários com 'sempre que possível'/'aproximadamente'.</t>
  </si>
  <si>
    <t xml:space="preserve">Tornar mensuráveis: nº de visitas (9), taxa mínima de conclusão (ex.: 70%), público da mostra (número fechado), % de educadores dos territórios.</t>
  </si>
  <si>
    <t xml:space="preserve">Justificativa qualitativa consistente (bastidores invisibilizados, descentralização, mostra).</t>
  </si>
  <si>
    <t xml:space="preserve">Incluir dados (ex.: oferta de formação técnica em artes cênicas em BH/RMBH, IVS dos territórios) e citar expressamente art. 1º (I, II) e art. 3º, I, 'c'/'d' da Lei 8.313/91 (formação e acesso).</t>
  </si>
  <si>
    <t xml:space="preserve">Item 12 lista diretrizes genéricas: Libras 'quando o perfil demandar', materiais 'sempre que necessário', atenção a autistas.</t>
  </si>
  <si>
    <t xml:space="preserve">Transformar em medidas fixas e orçadas: Libras em aulas inaugurais, visitas e mostra; audiodescrição na mostra; materiais ampliados/braille; consultor de acessibilidade; vídeo com Libras/AD; citar uso obrigatório do Guia MDHC (art. 40). Pendência MÉDIA 5 continua aberta.</t>
  </si>
  <si>
    <t xml:space="preserve">Item 13: 100% gratuito, inscrições públicas, prioridade socioeconômica/territorial e escola pública; mostra gratuita.</t>
  </si>
  <si>
    <t xml:space="preserve">Definir percentual de vagas reservadas (ex.: ≥50% estudantes de escola pública) e fluxo de seleção objetivo (pendência MÉDIA 6).</t>
  </si>
  <si>
    <t xml:space="preserve">Visitas técnicas e mostra existem, mas nenhuma medida do art. 42 é declarada. Sem venda: contrapartida do art. 44 não se aplica.</t>
  </si>
  <si>
    <t xml:space="preserve">Declarar ao menos: art. 42, VI (ação para adolescentes/jovens e educadores) e III (vídeo-memória online com Libras e audiodescrição) – ambas já orçadas.</t>
  </si>
  <si>
    <t xml:space="preserve">Item 18 – cronograma macro (pré-execução, ago, set, out, nov, pós).</t>
  </si>
  <si>
    <t xml:space="preserve">Detalhar entregas por mês e responsáveis; alinhar às etapas da planilha.</t>
  </si>
  <si>
    <t xml:space="preserve">Coord. geral Túlio Gama; coord. pedagógica Jade Oliveira; coord. técnica e educadores 'a definir'.</t>
  </si>
  <si>
    <t xml:space="preserve">Nomear coordenador técnico e ao menos 1 educador por eixo; anexar currículos (Anexo II 3.1); confirmar vínculo de Túlio Gama com a Educare (art. 15 e 23).</t>
  </si>
  <si>
    <t xml:space="preserve">Ementas por eixo (item 8) e descrição da mostra (item 11).</t>
  </si>
  <si>
    <t xml:space="preserve">Definir o espetáculo/grupo parceiro da mostra (sinopse, duração, classificação, autorização do autor).</t>
  </si>
  <si>
    <t xml:space="preserve">Não há medidas de sustentabilidade ambiental.</t>
  </si>
  <si>
    <t xml:space="preserve">Incluir: reaproveitamento de tecidos/figurinos (já está na ementa), descarte correto de cosméticos e pilhas, LED nas práticas, material digital, ônibus coletivo em vez de deslocamentos individuais.</t>
  </si>
  <si>
    <t xml:space="preserve">9 turmas x 30 vagas, 24h (8 encontros de 2h + 4h visita + 4h mostra), 30–40% teoria, frequência 60%.</t>
  </si>
  <si>
    <t xml:space="preserve">Publicar a matriz núcleo x formação (pendência ALTA 5 marcada como resolvida mas não refletida no texto); regra de participante único (ALTA 6); capacidade e duração da mostra.</t>
  </si>
  <si>
    <t xml:space="preserve">Item 9: percurso, equilíbrio teórico-prático, aprendizagem por experiência, mediação, integração e acompanhamento.</t>
  </si>
  <si>
    <t xml:space="preserve">—</t>
  </si>
  <si>
    <t xml:space="preserve">Núcleos candidatos: CRJ, Venda Nova, Contagem; reserva CC Padre Eustáquio; alternativas Sabará, Ibirité, Santa Luzia.</t>
  </si>
  <si>
    <t xml:space="preserve">Fechar os 3 equipamentos e o local da mostra, com cartas de anuência (pendência ALTA 4 aberta).</t>
  </si>
  <si>
    <t xml:space="preserve">270 vagas gratuitas; público da mostra '≈3x os concluintes'.</t>
  </si>
  <si>
    <t xml:space="preserve">Cadastrar no SALIC: produto principal 270 beneficiários (100% gratuito, cota social/educativa); mostra com público fixo (ex.: 600 pessoas conforme lotação).</t>
  </si>
  <si>
    <t xml:space="preserve">Item 16: identidade visual, canais da Educare, campanha de inscrições, conteúdos digitais.</t>
  </si>
  <si>
    <t xml:space="preserve">Quantificar peças (cartazes, folders, posts, impulsionamento), período, canais e aplicação das marcas obrigatórias (art. 21).</t>
  </si>
  <si>
    <t xml:space="preserve">Não existe planilha; pendência ALTA 8.</t>
  </si>
  <si>
    <t xml:space="preserve">Adotar a planilha deste parecer (R$ 500.000) e validar cotações.</t>
  </si>
  <si>
    <t xml:space="preserve">Rouanet + LEIC-MG citados, sem divisão.</t>
  </si>
  <si>
    <t xml:space="preserve">Informar no SALIC 'R Art. 18 + E': definir quais rubricas/etapas a LEIC cobrirá, sem duplicidade, e lançar 'outras fontes' se houver.</t>
  </si>
  <si>
    <t xml:space="preserve">Pendências ALTA 1 e 2 (dados jurídicos e portfólio) abertas; sem projeto pedagógico formal nem currículos.</t>
  </si>
  <si>
    <t xml:space="preserve">Cartão CNPJ (CNAE), contrato social, documentos do representante; portfólio de atuação cultural (obrigatório: projeto &gt; R$ 200 mil); projeto pedagógico com currículo do responsável e plano de execução com carga horária e conteúdo (Anexo II 7.1–7.3); currículos (3.1); autorização autoral do texto da mostra (3.3); anuências dos núcleos.</t>
  </si>
  <si>
    <t xml:space="preserve">Item 17 traz tabela meta–indicador–referência–comprovação; item 21 lista evidências.</t>
  </si>
  <si>
    <t xml:space="preserve">Fixar meta de público da mostra e taxa de conclusão; incluir indicador de acessibilidade (atendimentos).</t>
  </si>
  <si>
    <t xml:space="preserve">Checklist interno</t>
  </si>
  <si>
    <t xml:space="preserve">Democratizar o primeiro contato com os ofícios dos bastidores das artes cênicas.</t>
  </si>
  <si>
    <t xml:space="preserve">9 turmas/270 vagas + mostra integrada.</t>
  </si>
  <si>
    <t xml:space="preserve">BH/RMBH, 3 núcleos candidatos.</t>
  </si>
  <si>
    <t xml:space="preserve">Confirmar equipamentos e anuências.</t>
  </si>
  <si>
    <t xml:space="preserve">14+ anos, prioridade escola pública, periferias, sem experiência.</t>
  </si>
  <si>
    <t xml:space="preserve">Definir reserva percentual.</t>
  </si>
  <si>
    <t xml:space="preserve">270 vagas, ago–nov/2027.</t>
  </si>
  <si>
    <t xml:space="preserve">Datas exatas e matriz núcleo x turma x mês.</t>
  </si>
  <si>
    <t xml:space="preserve">Gratuito, inscrição aberta, critérios socioeconômicos, frequência 60%.</t>
  </si>
  <si>
    <t xml:space="preserve">Grade objetiva de seleção.</t>
  </si>
  <si>
    <t xml:space="preserve">Educare; Túlio Gama e Jade Oliveira nomeados.</t>
  </si>
  <si>
    <t xml:space="preserve">Documentação jurídica, portfólio, coordenação técnica e educadores.</t>
  </si>
  <si>
    <t xml:space="preserve">Armind, CRJ, CC Padre Eustáquio, Palácio das Artes, Sesc Palladium, PUC/UFMG, NET, R2 – todos 'possibilidades'.</t>
  </si>
  <si>
    <t xml:space="preserve">Cartas de anuência/interesse. Atenção: Armind também é proponente (P09) – se for fornecedora remunerada, contratar por cotação e respeitar 20% por fornecedor.</t>
  </si>
  <si>
    <t xml:space="preserve">Só o valor de referência de R$ 500 mil.</t>
  </si>
  <si>
    <t xml:space="preserve">Planilha (fornecida neste parecer) e estratégia de captação.</t>
  </si>
  <si>
    <t xml:space="preserve">Rouanet + LEIC, adaptação 'na etapa de submissão'.</t>
  </si>
  <si>
    <t xml:space="preserve">Declarar Art. 18 e a divisão Rouanet/LEIC.</t>
  </si>
  <si>
    <t xml:space="preserve">Listas, formulários, relatórios, registros, certificados, estimativa de público.</t>
  </si>
  <si>
    <t xml:space="preserve">Termos de imagem para menores (pendência BAIXA 5).</t>
  </si>
  <si>
    <t xml:space="preserve">Pergunta específica</t>
  </si>
  <si>
    <t xml:space="preserve">Quais ofícios serão ensinados: iluminação, sonorização, cenografia, figurino, produção, operação de palco ou outros?</t>
  </si>
  <si>
    <t xml:space="preserve">Figurino, maquiagem para artes cênicas, iluminação e audiovisual (integração de vídeo à cena).</t>
  </si>
  <si>
    <t xml:space="preserve">Explicitar que sonorização, cenografia e produção não fazem parte do escopo 2027 (ou incluí-las conceitualmente na mostra).</t>
  </si>
  <si>
    <t xml:space="preserve">Quem poderá participar, quais conhecimentos prévios serão exigidos e quantas vagas haverá por curso?</t>
  </si>
  <si>
    <t xml:space="preserve">A partir de 14 anos, sem experiência prévia, 30 vagas por turma, prioridade escola pública e periferias.</t>
  </si>
  <si>
    <t xml:space="preserve">Regra de participante único x vagas formativas (pendência ALTA 6 marcada, mas não descrita na proposta).</t>
  </si>
  <si>
    <t xml:space="preserve">Qual será a carga horária, a divisão entre teoria e prática e o conteúdo de cada formação?</t>
  </si>
  <si>
    <t xml:space="preserve">24h por turma (16h oficinas + 4h visita + 4h mostra); 30–40% teoria/60–70% prática; ementas por eixo.</t>
  </si>
  <si>
    <t xml:space="preserve">Conteúdo programático encontro a encontro (Anexo II 7.3) e projeto pedagógico assinado com currículo do responsável.</t>
  </si>
  <si>
    <t xml:space="preserve">Onde acontecerão as aulas e quais equipamentos, materiais e profissionais estarão disponíveis?</t>
  </si>
  <si>
    <t xml:space="preserve">Núcleos candidatos (CRJ, Venda Nova, Contagem, reserva CC Padre Eustáquio); estrutura 'preferencialmente' cedida; Armind possível parceira técnica; educadores a selecionar.</t>
  </si>
  <si>
    <t xml:space="preserve">Anuências dos espaços, lista de equipamentos por eixo (orçada nesta planilha como locação), nomes dos educadores.</t>
  </si>
  <si>
    <t xml:space="preserve">Como será avaliada a aprendizagem? Haverá montagem prática, apresentação final, certificação ou aproximação com oportunidades de trabalho?</t>
  </si>
  <si>
    <t xml:space="preserve">Frequência mínima 60%, avaliação dos educadores e participação na mostra; certificado da Educare; sem promessa de inserção profissional.</t>
  </si>
  <si>
    <t xml:space="preserve">Instrumentos de avaliação (ficha do educador, questionário) – pendência MÉDIA 7.</t>
  </si>
  <si>
    <t xml:space="preserve">Conformidade IN 29</t>
  </si>
  <si>
    <t xml:space="preserve">Limite por projeto e carteira PJ (arts. 10–11)</t>
  </si>
  <si>
    <t xml:space="preserve">R$ 500 mil ≤ R$ 1,5 mi; carteira Educare = P01 R$ 500 mil + P18 R$ 250 mil = R$ 750 mil, 2 projetos.</t>
  </si>
  <si>
    <t xml:space="preserve">CNAE cultural compatível (art. 4º §3º)</t>
  </si>
  <si>
    <t xml:space="preserve">ATENÇÃO</t>
  </si>
  <si>
    <t xml:space="preserve">Razão social 'Formação e Desenvolvimento' indica CNAE de treinamento; se não houver CNAE cultural (ex.: 85.92-9/99, 90.01-9/99) o SALIC bloqueia. Incluir CNAE secundário antes do cadastro, se necessário.</t>
  </si>
  <si>
    <t xml:space="preserve">Portfólio (art. 4º §4º/§5º; Anexo II 1.1)</t>
  </si>
  <si>
    <t xml:space="preserve">Valor &gt; R$ 200 mil: portfólio cultural obrigatório. Pendência ALTA 2 em aberto.</t>
  </si>
  <si>
    <t xml:space="preserve">Mesma carteira (art. 15) e remuneração do proponente (art. 23)</t>
  </si>
  <si>
    <t xml:space="preserve">Túlio Gama (coord. geral) é proponente PF de P07/P12. Se for sócio/dirigente da Educare, as carteiras se unem e os pagamentos a ele contam no limite de 20% do proponente; confirmar quadro societário.</t>
  </si>
  <si>
    <t xml:space="preserve">Fracionamento (art. 32, VII; Anexo I XXXIII)</t>
  </si>
  <si>
    <t xml:space="preserve">Objetos próximos no portfólio: P03 (oficinas de música/grafite/audiovisual para jovens de vilas de BH/Contagem – IHV) e P18 (Educare – idosos). Objetivos e públicos diferem e nenhum limite é ultrapassado; manter redações e territórios distintos e não usar o eixo audiovisual de forma idêntica ao P03.</t>
  </si>
  <si>
    <t xml:space="preserve">Art. 18 da IN (projetos educativos/sociais: só custos artístico-culturais)</t>
  </si>
  <si>
    <t xml:space="preserve">Planilha contém apenas custos culturais; lanche e transporte coletivo estão vinculados às atividades. Não incluir bolsas, auxílios individuais ou promessas de emprego.</t>
  </si>
  <si>
    <t xml:space="preserve">Custos vinculados e captação (arts. 19, 20, 22)</t>
  </si>
  <si>
    <t xml:space="preserve">Adm 8,5%, acessibilidade/divulgação 17,8%, captação 10% (R$ 36.670) do valor do projeto (R$ 366.700).</t>
  </si>
  <si>
    <t xml:space="preserve">Limite de 20% por fornecedor (art. 24)</t>
  </si>
  <si>
    <t xml:space="preserve">Maior fornecedor potencial (locação de luz/som e ônibus) &lt; R$ 60 mil (12%). Se Armind fornecer toda a luz, conferir o teto.</t>
  </si>
  <si>
    <t xml:space="preserve">Cachês (art. 26)</t>
  </si>
  <si>
    <t xml:space="preserve">Direção R$ 10 mil (individual) e grupo R$ 8 mil – abaixo dos tetos.</t>
  </si>
  <si>
    <t xml:space="preserve">Acessibilidade obrigatória e Guia MDHC (arts. 38–40)</t>
  </si>
  <si>
    <t xml:space="preserve">Texto genérico; a planilha prevê recursos concretos – atualizar o texto.</t>
  </si>
  <si>
    <t xml:space="preserve">Democratização (art. 41) / ampliação (art. 42) / contrapartida (art. 44)</t>
  </si>
  <si>
    <t xml:space="preserve">100% gratuito (OK); falta declarar a medida do art. 42 (sugestão VI + III); art. 44 não se aplica (sem venda).</t>
  </si>
  <si>
    <t xml:space="preserve">Direito autoral do texto da mostra (Anexo II 3.3; art. 27)</t>
  </si>
  <si>
    <t xml:space="preserve">Grupo/espetáculo da mostra não definido – anexar autorização do autor ou usar texto em domínio público/criação coletiva.</t>
  </si>
  <si>
    <t xml:space="preserve">Marcas obrigatórias (art. 21)</t>
  </si>
  <si>
    <t xml:space="preserve">Não mencionadas no plano de comunicação.</t>
  </si>
  <si>
    <t xml:space="preserve">Prazo de apresentação (art. 5º – até 31/10)</t>
  </si>
  <si>
    <t xml:space="preserve">Faltam 17 dias (hoje 14/10/2026) e as pendências ALTA 1, 2, 4, 8 e 9 seguem abertas.</t>
  </si>
  <si>
    <t xml:space="preserve">P02 Mestres e Aprendizes</t>
  </si>
  <si>
    <t xml:space="preserve">Título, Aver Mídia Produções LTDA, CNPJ 46.152.875/0001-00; enquadramento preliminar Patrimônio/Salvaguarda, 'pretendido art. 18'.</t>
  </si>
  <si>
    <t xml:space="preserve">Confirmar CNAE compatível com Patrimônio Cultural (produtora audiovisual pode não ter CNAE correspondente – art. 4º §3º); fechar segmento definitivo (pendência ALTA 5).</t>
  </si>
  <si>
    <t xml:space="preserve">8 meses: jul/2027 a fev/2028, com correspondência mês a mês.</t>
  </si>
  <si>
    <t xml:space="preserve">Datas exatas e prazo de captação.</t>
  </si>
  <si>
    <t xml:space="preserve">Item 3 'Resumo' completo; item 28 traz texto para o produto principal.</t>
  </si>
  <si>
    <t xml:space="preserve">Objetivos</t>
  </si>
  <si>
    <t xml:space="preserve">Objetivo geral e 10 específicos quantificados (4 mestres, 120 vagas, 24 encontros, 48h, 1 exposição).</t>
  </si>
  <si>
    <t xml:space="preserve">Incluir meta de conclusão (frequência mínima).</t>
  </si>
  <si>
    <t xml:space="preserve">Justificativa</t>
  </si>
  <si>
    <t xml:space="preserve">Justificativa conceitual forte (transmissão pela convivência, remuneração e reconhecimento dos mestres, intergeracionalidade).</t>
  </si>
  <si>
    <t xml:space="preserve">Dados e histórico de cada saber/bem (depende dos mestres), citar art. 1º e art. 3º (II e IV) da Lei 8.313 e aderência à salvaguarda (Decreto 3.551/2000).</t>
  </si>
  <si>
    <t xml:space="preserve">Acessibilidade</t>
  </si>
  <si>
    <t xml:space="preserve">Item 15: critérios físicos, linguagem clara, legendas, descrição de imagens; Libras/AD 'conforme necessidades'.</t>
  </si>
  <si>
    <t xml:space="preserve">Fixar recursos: Libras em acolhimento/integrados/abertura, AD e recursos táteis na exposição, consultor; citar Guia MDHC.</t>
  </si>
  <si>
    <t xml:space="preserve">Democratização de acesso</t>
  </si>
  <si>
    <t xml:space="preserve">100% gratuito, apoio presencial à inscrição, catálogo digital gratuito, critérios transparentes.</t>
  </si>
  <si>
    <t xml:space="preserve">Fixar proporção de vagas reservadas a escolas/comunidades (pendência MÉDIA 10).</t>
  </si>
  <si>
    <t xml:space="preserve">Medidas implícitas (exposição gratuita, catálogo digital, jovens a partir de 12 anos). Sem venda: art. 44 não se aplica.</t>
  </si>
  <si>
    <t xml:space="preserve">Declarar art. 42, I (doação de 10% do catálogo), III (vídeos com Libras/AD) e/ou VI (ação para adolescentes/jovens e educadores).</t>
  </si>
  <si>
    <t xml:space="preserve">Item 13: Etapas 1–4 com atividades; item 22 cronograma de 14 atividades.</t>
  </si>
  <si>
    <t xml:space="preserve">Todas as funções 'nome a definir', inclusive os 4 mestres.</t>
  </si>
  <si>
    <t xml:space="preserve">Nomes e currículos de coordenação, curadoria e mestres; experiência junto às comunidades (Anexo II 8.1.6).</t>
  </si>
  <si>
    <t xml:space="preserve">Descrição do conteúdo/bens culturais</t>
  </si>
  <si>
    <t xml:space="preserve">Saberes de referência (bordado, cerâmica, bonecos, viola) 'não definitivos'.</t>
  </si>
  <si>
    <t xml:space="preserve">Identificar cada bem/saber, seu território e detentores.</t>
  </si>
  <si>
    <t xml:space="preserve">Item 12: dimensionar insumos, reutilização, descarte e armazenamento seguros.</t>
  </si>
  <si>
    <t xml:space="preserve">Detalhar destino de resíduos de cerâmica/tintas.</t>
  </si>
  <si>
    <t xml:space="preserve">4 percursos x 30 x 24 encontros/48h; exposição e catálogo sem especificação.</t>
  </si>
  <si>
    <t xml:space="preserve">Duração e local da exposição, nº de páginas/tiragem do catálogo, nº e duração dos vídeos, frequência mínima.</t>
  </si>
  <si>
    <t xml:space="preserve">Itens 5, 7 e 9: curadoria, metodologia por convivência e prática orientada, componentes por turma.</t>
  </si>
  <si>
    <t xml:space="preserve">BH e RMBH; todos os espaços 'a mapear'.</t>
  </si>
  <si>
    <t xml:space="preserve">Espaços por turma e para a exposição, com anuências (pendência ALTA 6).</t>
  </si>
  <si>
    <t xml:space="preserve">Tabela do item 18; público da exposição e tiragem 'a definir'.</t>
  </si>
  <si>
    <t xml:space="preserve">Quantificar: 120 vagas; público da exposição (ex.: 1.500); catálogo 120 impressos + digital; % social/educativo.</t>
  </si>
  <si>
    <t xml:space="preserve">Três momentos (mobilização, formação, conclusão) e cuidados éticos.</t>
  </si>
  <si>
    <t xml:space="preserve">Peças, quantidades, canais e aplicação das marcas (art. 21).</t>
  </si>
  <si>
    <t xml:space="preserve">Item 25 lista apenas grupos de despesa.</t>
  </si>
  <si>
    <t xml:space="preserve">Adotar a planilha deste parecer (R$ 400.000).</t>
  </si>
  <si>
    <t xml:space="preserve">Item 24: Rouanet e LEIC 'alternativas ou complementares' sem decisão.</t>
  </si>
  <si>
    <t xml:space="preserve">Definir composição 'R Art. 18 + E' e separação de despesas por fonte.</t>
  </si>
  <si>
    <t xml:space="preserve">Item 26 reconhece a necessidade; nada reunido.</t>
  </si>
  <si>
    <t xml:space="preserve">Pacote do Anexo II 8.1 (identificação do bem, registro OU relatório de reconhecido valor, anuência da comunidade detentora, relatório do bem, justificativa, ficha técnica); portfólio da Aver Mídia (&gt; R$ 200 mil); documentos PJ; projeto pedagógico/plano de execução (Anexo II 7) e projeto expográfico (4.3) se a exposição for produto.</t>
  </si>
  <si>
    <t xml:space="preserve">Item 21: tabela com 9 indicadores e meios de comprovação.</t>
  </si>
  <si>
    <t xml:space="preserve">Fixar frequência mínima e público da exposição.</t>
  </si>
  <si>
    <t xml:space="preserve">Salvaguarda e transmissão intergeracional de saberes populares.</t>
  </si>
  <si>
    <t xml:space="preserve">4 percursos/120 vagas + exposição + catálogo.</t>
  </si>
  <si>
    <t xml:space="preserve">Decidir 4 x 5 mestres (base 4 adotada).</t>
  </si>
  <si>
    <t xml:space="preserve">BH e RMBH sem espaços.</t>
  </si>
  <si>
    <t xml:space="preserve">Mapear e formalizar espaços.</t>
  </si>
  <si>
    <t xml:space="preserve">12+ anos, intergeracional, sem experiência.</t>
  </si>
  <si>
    <t xml:space="preserve">8 meses (jul/2027–fev/2028), 6 de formação.</t>
  </si>
  <si>
    <t xml:space="preserve">Datas exatas.</t>
  </si>
  <si>
    <t xml:space="preserve">Gratuidade e seleção por formulário com reserva.</t>
  </si>
  <si>
    <t xml:space="preserve">Proporção de reservas.</t>
  </si>
  <si>
    <t xml:space="preserve">Aver Mídia definida; equipe toda a definir.</t>
  </si>
  <si>
    <t xml:space="preserve">Ficha técnica nominal.</t>
  </si>
  <si>
    <t xml:space="preserve">Nenhum parceiro nomeado.</t>
  </si>
  <si>
    <t xml:space="preserve">Equipamentos/associações/coletivos com anuência.</t>
  </si>
  <si>
    <t xml:space="preserve">Valor de referência apenas.</t>
  </si>
  <si>
    <t xml:space="preserve">Planilha deste parecer.</t>
  </si>
  <si>
    <t xml:space="preserve">Rouanet + LEIC; Patrimônio/Salvaguarda preliminar.</t>
  </si>
  <si>
    <t xml:space="preserve">Fechar segmento e documentação patrimonial ou acionar Plano B.</t>
  </si>
  <si>
    <t xml:space="preserve">Indicadores e kit documental de execução previstos (pendência 22).</t>
  </si>
  <si>
    <t xml:space="preserve">Quem são os 'mestres' e quais saberes serão transmitidos: tradições populares, artesanato, práticas artísticas ou ofícios técnicos?</t>
  </si>
  <si>
    <t xml:space="preserve">Conceito de mestre definido (detentor reconhecido, vínculo real com o saber); saberes de referência: bordado, cerâmica, construção de bonecos, viola; abertura a manifestações afro-mineiras.</t>
  </si>
  <si>
    <t xml:space="preserve">Nomes dos 4 mestres e saberes efetivos (pendência ALTA 3).</t>
  </si>
  <si>
    <t xml:space="preserve">Quais mestres e comunidades participarão, como serão escolhidos e qual será sua participação na concepção do projeto?</t>
  </si>
  <si>
    <t xml:space="preserve">Escolha por indicação, pesquisa curatorial e convite; mestres constroem o plano formativo e os limites de registro.</t>
  </si>
  <si>
    <t xml:space="preserve">Mestres e comunidades identificados e anuências (do mestre e, se coletivo, da comunidade detentora).</t>
  </si>
  <si>
    <t xml:space="preserve">Quantos aprendizes serão atendidos por mestre e quais critérios orientarão a seleção?</t>
  </si>
  <si>
    <t xml:space="preserve">Até 30 aprendizes por mestre; 12+ anos; formulário gratuito; parte das vagas para escolas/comunidades; lista de espera.</t>
  </si>
  <si>
    <t xml:space="preserve">Proporção de vagas reservadas e critérios de desempate (pendência MÉDIA 10).</t>
  </si>
  <si>
    <t xml:space="preserve">Como ocorrerá a transmissão: encontros regulares, oficinas, acompanhamento individual ou vivências comunitárias? Com qual duração?</t>
  </si>
  <si>
    <t xml:space="preserve">24 encontros semanais de 2h (48h) por turma em ~6 meses: 2 acolhimento, 16 prática, até 4 integrados/vivências, 2 preparação da mostra.</t>
  </si>
  <si>
    <t xml:space="preserve">Validar com cada mestre (pendência ALTA 7).</t>
  </si>
  <si>
    <t xml:space="preserve">Haverá apresentação, exposição ou registro dos saberes? Como serão definidos remuneração, créditos, autorizações e conteúdos que podem ser divulgados?</t>
  </si>
  <si>
    <t xml:space="preserve">Exposição gratuita, catálogo, acervo e vídeos; mestres creditados como detentores; não divulgação de saberes restritos; autorizações específicas.</t>
  </si>
  <si>
    <t xml:space="preserve">Memória de cálculo da remuneração (adotada aqui: R$ 2.800/mês por mestre + cachês de concepção e abertura), termos e ficha de limites de registro (pendência 16).</t>
  </si>
  <si>
    <t xml:space="preserve">Limites de valor/carteira (arts. 10, 11, 14)</t>
  </si>
  <si>
    <t xml:space="preserve">R$ 400 mil; carteira Aver Mídia = P02 R$ 400 mil + P15 R$ 450 mil = R$ 850 mil, 2 projetos; patrimônio ainda fica fora dos limites (art. 14, II e §ú).</t>
  </si>
  <si>
    <t xml:space="preserve">Verificar se o CNPJ da Aver Mídia tem CNAE aceito pelo SALIC para Patrimônio Cultural (ou Artes Visuais, no Plano B).</t>
  </si>
  <si>
    <t xml:space="preserve">Portfólio (art. 4º §4º)</t>
  </si>
  <si>
    <t xml:space="preserve">Obrigatório (&gt; R$ 200 mil); pendência ALTA 1.</t>
  </si>
  <si>
    <t xml:space="preserve">Documentos de Patrimônio Cultural (Anexo II 8.1)</t>
  </si>
  <si>
    <t xml:space="preserve">VIOLA</t>
  </si>
  <si>
    <t xml:space="preserve">No estado atual não há identificação dos bens, relatório de reconhecido valor nem anuência da comunidade detentora – proposta seria arquivada na admissibilidade/Iphan.</t>
  </si>
  <si>
    <t xml:space="preserve">Fracionamento (Anexo I XXXIII)</t>
  </si>
  <si>
    <t xml:space="preserve">Proximidade temática com P05 Sons do Congado (Ado Viana – salvaguarda de congado). Não incluir congado entre os saberes e manter objetivos distintos.</t>
  </si>
  <si>
    <t xml:space="preserve">Art. 18 da IN (custos permitidos)</t>
  </si>
  <si>
    <t xml:space="preserve">Manifestação de tradição/patrimônio imaterial – custos integrais admitidos.</t>
  </si>
  <si>
    <t xml:space="preserve">Adm 7,8%, acessibilidade/divulgação 14,5%, captação 10% (R$ 30.219) sobre R$ 302.191.</t>
  </si>
  <si>
    <t xml:space="preserve">Mestres: R$ 2.800/mês e cachês de R$ 1.500 – muito abaixo de R$ 25 mil.</t>
  </si>
  <si>
    <t xml:space="preserve">Bens permanentes (art. 30)</t>
  </si>
  <si>
    <t xml:space="preserve">10 violas (R$ 6 mil): justificar economicidade x locação e declarar destinação cultural.</t>
  </si>
  <si>
    <t xml:space="preserve">Nenhum fornecedor acima de ~R$ 15 mil; mestres são pessoas distintas.</t>
  </si>
  <si>
    <t xml:space="preserve">Acessibilidade e Guia MDHC (arts. 38–40)</t>
  </si>
  <si>
    <t xml:space="preserve">Texto condicionado ('conforme necessidades'); planilha prevê recursos – alinhar texto.</t>
  </si>
  <si>
    <t xml:space="preserve">Declarar medida(s) do art. 42; sem venda, art. 44 não se aplica.</t>
  </si>
  <si>
    <t xml:space="preserve">Direitos e conhecimentos tradicionais (Anexo II 8.1.3)</t>
  </si>
  <si>
    <t xml:space="preserve">Protocolo ético existe; falta transformar em termos e anuências.</t>
  </si>
  <si>
    <t xml:space="preserve">Prazo (art. 5º – 31/10/2026)</t>
  </si>
  <si>
    <t xml:space="preserve">17 dias para selecionar mestres e reunir dossiês – caminho crítico.</t>
  </si>
  <si>
    <t xml:space="preserve">P03 Cultura Viva nas Vilas</t>
  </si>
  <si>
    <t xml:space="preserve">Nome e proponente 'Instituto Horizonte Vivo (IHGV)'; sem CNPJ; Ado Viana como referência institucional com nome civil e função 'a confirmar'.</t>
  </si>
  <si>
    <t xml:space="preserve">CNPJ, estatuto, ata e representante; padronizar a sigla (IHV x IHGV); CNAE cultural compatível com Artes Visuais (ex.: 94.93-6/00 com objeto cultural, 85.92-9/99, 90.02-7/01); declarar área/segmento e Art. 18.</t>
  </si>
  <si>
    <t xml:space="preserve">4 a 6 meses, janela indicativa abr–set/2027; cronograma mensal.</t>
  </si>
  <si>
    <t xml:space="preserve">Fixar datas (sugestão 01/04 a 30/09/2027) e prazo de captação; as oficinas de jun–jul coincidem com férias escolares de julho – validar com escolas.</t>
  </si>
  <si>
    <t xml:space="preserve">Seção 'Resumo' clara com metas.</t>
  </si>
  <si>
    <t xml:space="preserve">Objetivo geral e 8 específicos quantificados (8 oficinas, 200 participantes, 6 artistas, 4 mostras).</t>
  </si>
  <si>
    <t xml:space="preserve">Aderência à Política Cultura Viva de BH, descentralização, remuneração de artistas locais.</t>
  </si>
  <si>
    <t xml:space="preserve">Dados de cada território (IVS, equipamentos culturais, jovens) e citação do art. 1º e art. 3º da Lei 8.313; diagnóstico local (pergunta 1).</t>
  </si>
  <si>
    <t xml:space="preserve">Vistoria/checklist por espaço, formulário com necessidades, legendas nos vídeos, Libras nas mostras e AD conforme necessidade.</t>
  </si>
  <si>
    <t xml:space="preserve">Fixar AD nas mostras, consultor, Guia MDHC e acessibilidade nas oficinas (pendência 8 riscada, mas sem plano por espaço no texto).</t>
  </si>
  <si>
    <t xml:space="preserve">Gratuito; 12 vagas por oficina via escolas e 13 abertas; cadastro único; lista de espera.</t>
  </si>
  <si>
    <t xml:space="preserve">Não declarada; o projeto se encaixa no art. 42, VI (crianças, adolescentes, jovens e educadores). Sem venda: art. 44 n/a.</t>
  </si>
  <si>
    <t xml:space="preserve">Declarar art. 42, VI e, se houver vídeo com Libras/AD, inciso III.</t>
  </si>
  <si>
    <t xml:space="preserve">Cronograma preliminar com 5 etapas mensais.</t>
  </si>
  <si>
    <t xml:space="preserve">Datas por território.</t>
  </si>
  <si>
    <t xml:space="preserve">Somente Ado Viana como referência; curadoria, coordenação pedagógica e oficineiros a definir.</t>
  </si>
  <si>
    <t xml:space="preserve">Nomes e currículos (curadoria, coordenação, ≥6 oficineiros).</t>
  </si>
  <si>
    <t xml:space="preserve">Descrição do conteúdo artístico</t>
  </si>
  <si>
    <t xml:space="preserve">Linguagens e distribuição por território definidas; resultados (painel, curtas, apresentação).</t>
  </si>
  <si>
    <t xml:space="preserve">Ementa de cada oficina.</t>
  </si>
  <si>
    <t xml:space="preserve">Não há medidas ambientais.</t>
  </si>
  <si>
    <t xml:space="preserve">Tintas base água quando possível, coleta e descarte correto de latas de spray, reaproveitamento de painéis, digitalização.</t>
  </si>
  <si>
    <t xml:space="preserve">8 oficinas x 25 vagas, 8 encontros de 3h (24h), 4 mostras, 200–250 pessoas por mostra.</t>
  </si>
  <si>
    <t xml:space="preserve">Conteúdo programático por oficina.</t>
  </si>
  <si>
    <t xml:space="preserve">Etapas de articulação, mobilização, formação, criação, compartilhamento e avaliação.</t>
  </si>
  <si>
    <t xml:space="preserve">Espaços candidatos com endereço: CC Vila Marçola, CC Liberalino A. de Oliveira (Mercado da Lagoinha), CC Michele Ferreira, Estação Juventude (Contagem); Parque do Eldorado alternativo.</t>
  </si>
  <si>
    <t xml:space="preserve">Cartas de anuência (pendência 2 está riscada, mas o texto ainda trata como 'candidato'); resolver faixa 12–14 anos na Estação Juventude (15–29).</t>
  </si>
  <si>
    <t xml:space="preserve">200 vagas gratuitas; 800–1.000 participações nas mostras.</t>
  </si>
  <si>
    <t xml:space="preserve">Lançar por produto no SALIC: oficinas 200 beneficiários; mostras 800 (100% gratuito, cota social).</t>
  </si>
  <si>
    <t xml:space="preserve">Mobilização em escolas e redes; pendência BAIXA 14 aberta.</t>
  </si>
  <si>
    <t xml:space="preserve">Peças, quantidades, canais e marcas obrigatórias.</t>
  </si>
  <si>
    <t xml:space="preserve">Pendência ALTA 6 aberta.</t>
  </si>
  <si>
    <t xml:space="preserve">Adotar a planilha deste parecer (R$ 200.000, sem ultrapassar o teto).</t>
  </si>
  <si>
    <t xml:space="preserve">Rouanet prioritária + versão LEIC; fontes por despesa a definir.</t>
  </si>
  <si>
    <t xml:space="preserve">Matriz de fontes sem duplicidade; apoios materiais só se confirmados (pendência 15).</t>
  </si>
  <si>
    <t xml:space="preserve">Documentos institucionais do IHV não reunidos (pendência ALTA 1).</t>
  </si>
  <si>
    <t xml:space="preserve">CNPJ, estatuto, ata de eleição, documento do dirigente; portfólio dispensado só se for de fato o 1º projeto no Pronac e valor ≤ R$ 200 mil; beneficiários e forma de seleção + plano de execução com carga horária e conteúdo programático (Anexo II 7.1/7.3); currículos.</t>
  </si>
  <si>
    <t xml:space="preserve">Tabela de metas, indicadores e meios de comprovação; contagem sem duplicidade.</t>
  </si>
  <si>
    <t xml:space="preserve">Acesso de jovens de periferias a formação, produção e fruição.</t>
  </si>
  <si>
    <t xml:space="preserve">8 oficinas + 4 mostras.</t>
  </si>
  <si>
    <t xml:space="preserve">4 territórios nomeados com espaços candidatos.</t>
  </si>
  <si>
    <t xml:space="preserve">Anuências.</t>
  </si>
  <si>
    <t xml:space="preserve">12–29 anos, moradores/estudantes.</t>
  </si>
  <si>
    <t xml:space="preserve">Faixa 12–14 no Eldorado.</t>
  </si>
  <si>
    <t xml:space="preserve">4–6 meses, abr–set/2027.</t>
  </si>
  <si>
    <t xml:space="preserve">Gratuito; vagas escola/comunidade; cadastro único.</t>
  </si>
  <si>
    <t xml:space="preserve">IHV; Ado Viana com função a confirmar; equipe a contratar.</t>
  </si>
  <si>
    <t xml:space="preserve">Regularidade cadastral e função estatutária de Ado Viana.</t>
  </si>
  <si>
    <t xml:space="preserve">Espaços candidatos; Pontos de Cultura 'a identificar'; CRJ/CRAS como apoio.</t>
  </si>
  <si>
    <t xml:space="preserve">Cartas de parceria e consulta à Rede Cultura Viva.</t>
  </si>
  <si>
    <t xml:space="preserve">Teto de R$ 200 mil sem memória de cálculo.</t>
  </si>
  <si>
    <t xml:space="preserve">Rouanet prioritária + LEIC; cita a dispensa de portfólio do 1º projeto.</t>
  </si>
  <si>
    <t xml:space="preserve">Declarar Art. 18 e área/segmento.</t>
  </si>
  <si>
    <t xml:space="preserve">Lista detalhada de evidências por território.</t>
  </si>
  <si>
    <t xml:space="preserve">Quais vilas ou comunidades serão atendidas e quais demandas culturais foram identificadas com seus moradores?</t>
  </si>
  <si>
    <t xml:space="preserve">Serra/Vila Marçola, Lagoinha, Cabana do Pai Tomás (BH) e Eldorado (Contagem).</t>
  </si>
  <si>
    <t xml:space="preserve">Demandas identificadas com moradores – o texto diz que o diagnóstico 'será complementado' com escuta futura.</t>
  </si>
  <si>
    <t xml:space="preserve">Quais linguagens e atividades integrarão o projeto: música, dança, teatro, leitura, artes visuais ou outras?</t>
  </si>
  <si>
    <t xml:space="preserve">Música e musicalidade, grafite e audiovisual; distribuição: Marçola música+grafite; Lagoinha grafite+audiovisual; Cabana música+audiovisual; Eldorado música+grafite.</t>
  </si>
  <si>
    <t xml:space="preserve">Será uma programação contínua, uma circulação entre comunidades ou um evento em cada território?</t>
  </si>
  <si>
    <t xml:space="preserve">4 ciclos territoriais contínuos (8 encontros semanais) com 1 mostra gratuita em cada território.</t>
  </si>
  <si>
    <t xml:space="preserve">Definir se os ciclos serão simultâneos ou escalonados.</t>
  </si>
  <si>
    <t xml:space="preserve">Quais artistas, coletivos e espaços locais participarão da organização e da execução?</t>
  </si>
  <si>
    <t xml:space="preserve">Espaços candidatos nomeados; ≥6 artistas/oficineiros com vínculo territorial a selecionar pela curadoria.</t>
  </si>
  <si>
    <t xml:space="preserve">Nomes de artistas/coletivos e anuências dos espaços.</t>
  </si>
  <si>
    <t xml:space="preserve">O nome 'Cultura Viva' será apenas a identidade do projeto ou haverá articulação efetiva com Pontos de Cultura e iniciativas dessa política?</t>
  </si>
  <si>
    <t xml:space="preserve">O texto diz que é o nome do projeto, com intenção de articulação com Pontos de Cultura, sem afirmar certificação.</t>
  </si>
  <si>
    <t xml:space="preserve">Identificar Pontos de Cultura nos 4 territórios (Rede Cultura Viva) e obter cartas de parceria, ou deixar explícito que não há vínculo com a política (evita leitura de uso indevido do nome).</t>
  </si>
  <si>
    <t xml:space="preserve">1º projeto ≤ R$ 200 mil – dispensa de portfólio (art. 4º §5º)</t>
  </si>
  <si>
    <t xml:space="preserve">Valor total fixado em exatamente R$ 200.000 (valor do projeto R$ 149.291). Confirmar que o IHV nunca apresentou projeto ao Pronac; qualquer acréscimo exige portfólio.</t>
  </si>
  <si>
    <t xml:space="preserve">Mesma carteira PF/PJ dirigente (art. 15, I)</t>
  </si>
  <si>
    <t xml:space="preserve">Ado Viana é proponente PF de P05 (R$ 300 mil) e P16 (R$ 200 mil) – carteira PF já no limite (2 projetos/R$ 500 mil). Se ele for sócio/dirigente do IHV, as carteiras se unem (prevalece o limite PJ, então não há estouro numérico), mas: o IHV deixa de ser 'proponente novo' na prática e a dispensa de portfólio pode ser questionada; a operação pode ser lida como contorno do teto PF; pagamentos a Ado contam no limite de remuneração do proponente (art. 23). Confirmar função estatutária e registrar de forma transparente.</t>
  </si>
  <si>
    <t xml:space="preserve">CNAE cultural (art. 4º §3º)</t>
  </si>
  <si>
    <t xml:space="preserve">Verificar CNAE do IHV compatível com Artes Visuais/educação cultural.</t>
  </si>
  <si>
    <t xml:space="preserve">Limite de projeto/carteira PJ (arts. 10–11)</t>
  </si>
  <si>
    <t xml:space="preserve">R$ 200 mil, 1 projeto.</t>
  </si>
  <si>
    <t xml:space="preserve">Proximidade com P01 (Educare – oficinas para jovens de periferias de BH/Contagem com eixo audiovisual). Linguagens, territórios e proponentes distintos; nenhum limite ultrapassado. Manter Eldorado/Contagem e o recorte de cultura urbana distintos do P01.</t>
  </si>
  <si>
    <t xml:space="preserve">Art. 18 da IN (projeto de caráter social)</t>
  </si>
  <si>
    <t xml:space="preserve">Só custos artístico-culturais; planilha atende. Evitar linguagem 'socioassistencial'.</t>
  </si>
  <si>
    <t xml:space="preserve">Risco Art. 26 (música popular cantada / Humanidades)</t>
  </si>
  <si>
    <t xml:space="preserve">Produto principal em Artes Visuais Educ-Cult; apresentações musicais apenas como parte das mostras.</t>
  </si>
  <si>
    <t xml:space="preserve">Adm 6,7%, acessibilidade/divulgação 17,3%, captação 10% (R$ 14.929).</t>
  </si>
  <si>
    <t xml:space="preserve">Cachês (art. 26) e fornecedor 20% (art. 24)</t>
  </si>
  <si>
    <t xml:space="preserve">Cachês de R$ 1.500; maior fornecedor &lt; R$ 15 mil (7,5%).</t>
  </si>
  <si>
    <t xml:space="preserve">Acessibilidade (arts. 38–40)</t>
  </si>
  <si>
    <t xml:space="preserve">Planilha prevê Libras, AD, apoio e consultor; texto ainda condicional.</t>
  </si>
  <si>
    <t xml:space="preserve">Gratuito (OK); declarar art. 42, VI; art. 44 n/a.</t>
  </si>
  <si>
    <t xml:space="preserve">Participação de menores e autorizações de grafite</t>
  </si>
  <si>
    <t xml:space="preserve">Termos de responsáveis, uso de imagem e autorização formal para painéis (pendência ALTA 9 aberta).</t>
  </si>
  <si>
    <t xml:space="preserve">Prazo (31/10/2026)</t>
  </si>
  <si>
    <t xml:space="preserve">Pendências ALTA 1, 6 e 9 abertas; regularidade do IHV é pré-requisito do cadastro.</t>
  </si>
  <si>
    <t xml:space="preserve">P04 Cena Mineira em Movimento</t>
  </si>
  <si>
    <t xml:space="preserve">Título; proponente 'Mobox' sem razão social/CNPJ; área Artes Cênicas; produto 'Espetáculo de Artes Cênicas'.</t>
  </si>
  <si>
    <t xml:space="preserve">Razão social, CNPJ e representante (pendência ALTA 1); CNAE cultural (ex.: 90.01-9/99, 90.01-9/02); segmento exato do Anexo IV e pedido de Art. 18.</t>
  </si>
  <si>
    <t xml:space="preserve">Abr–nov/2027 com distribuição mensal por eixo.</t>
  </si>
  <si>
    <t xml:space="preserve">Datas exatas (sugestão 01/04 a 30/11/2027) e prazo de captação; julho concentra o eixo Histórico em período de férias escolares – rever matinês escolares.</t>
  </si>
  <si>
    <t xml:space="preserve">Item 1 completo.</t>
  </si>
  <si>
    <t xml:space="preserve">Trocar faixas '12 a 24' por números fechados.</t>
  </si>
  <si>
    <t xml:space="preserve">Objetivo geral e 12 específicos; metas em faixas (12–24 sessões e oficinas).</t>
  </si>
  <si>
    <t xml:space="preserve">Fixar 24 apresentações e 24 oficinas (premissa da planilha) ou outro número decidido.</t>
  </si>
  <si>
    <t xml:space="preserve">Concentração da oferta nas capitais; 'estudos recentes' sobre impacto da Rouanet sem fonte.</t>
  </si>
  <si>
    <t xml:space="preserve">Dados por município (existência de teatro, programação, IDH/população), fonte dos estudos citados, art. 1º e 3º da Lei 8.313.</t>
  </si>
  <si>
    <t xml:space="preserve">Lista de requisitos físicos; Libras/AD 'definidos após a seleção'.</t>
  </si>
  <si>
    <t xml:space="preserve">Fixar: Libras em todas as sessões, AD em ao menos 1 sessão por cidade, apoio PcD, programas em braille, consultor e Guia MDHC (orçados).</t>
  </si>
  <si>
    <t xml:space="preserve">100% gratuito, retirada antecipada, reserva para escolas e organizações.</t>
  </si>
  <si>
    <t xml:space="preserve">Percentual reservado a escolas públicas/organizações sociais.</t>
  </si>
  <si>
    <t xml:space="preserve">Oficinas e conversas pós-espetáculo como ampliação (art. 42, V). Sem venda: art. 44 n/a.</t>
  </si>
  <si>
    <t xml:space="preserve">Reforçar com art. 42, III (6 sessões publicadas com Libras/AD) e VI (matinês escolares).</t>
  </si>
  <si>
    <t xml:space="preserve">Item 23: cronograma abr–nov com eixos.</t>
  </si>
  <si>
    <t xml:space="preserve">Datas por município.</t>
  </si>
  <si>
    <t xml:space="preserve">Item 20 lista só perfis.</t>
  </si>
  <si>
    <t xml:space="preserve">Nomes e currículos da coordenação, curadoria, coordenação técnica e acessibilidade (Anexo II 3.1).</t>
  </si>
  <si>
    <t xml:space="preserve">Sinopse/descrição das obras</t>
  </si>
  <si>
    <t xml:space="preserve">Espetáculos não selecionados.</t>
  </si>
  <si>
    <t xml:space="preserve">Pré-selecionar os 4 espetáculos (ou ao menos parte por convite) com sinopse, duração, classificação e ficha técnica antes do cadastro.</t>
  </si>
  <si>
    <t xml:space="preserve">Organização por eixos para reduzir deslocamentos.</t>
  </si>
  <si>
    <t xml:space="preserve">Medidas adicionais: material digital, compensação de emissões, LED, reaproveitamento de banners.</t>
  </si>
  <si>
    <t xml:space="preserve">12 municípios, 4 espetáculos, faixas de sessões/oficinas, oficinas ~2h, 30–40 vagas.</t>
  </si>
  <si>
    <t xml:space="preserve">Fechar quantitativos, duração dos espetáculos (45–120 min), integrantes máximos por companhia (pendências 13 e 14).</t>
  </si>
  <si>
    <t xml:space="preserve">Item 8: planejamento territorial, seleção, planejamento técnico, circulação, apresentações, oficinas, intercâmbio.</t>
  </si>
  <si>
    <t xml:space="preserve">12 municípios + 6 reservas; espaços não identificados.</t>
  </si>
  <si>
    <t xml:space="preserve">Equipamento por município com ficha técnica, lotação e anuência das prefeituras (pendências 7–9).</t>
  </si>
  <si>
    <t xml:space="preserve">Gratuidade e formas de retirada; público 2.400–9.600.</t>
  </si>
  <si>
    <t xml:space="preserve">Quantificar: 24 sessões x lotação (premissa ~300) = ~7.200 ingressos gratuitos; 24 oficinas x 35 = 840 vagas; cotas social/educativa.</t>
  </si>
  <si>
    <t xml:space="preserve">Canais listados (redes, prefeituras, imprensa regional, escolas).</t>
  </si>
  <si>
    <t xml:space="preserve">Quantidades de peças, período, mídia paga e marcas obrigatórias (art. 21).</t>
  </si>
  <si>
    <t xml:space="preserve">Só diretrizes (item 22).</t>
  </si>
  <si>
    <t xml:space="preserve">Adotar a planilha deste parecer (R$ 900.000).</t>
  </si>
  <si>
    <t xml:space="preserve">Nenhuma outra fonte confirmada; parcerias não financeiras com municípios.</t>
  </si>
  <si>
    <t xml:space="preserve">Definir divisão Rouanet/LEIC e registrar contrapartidas não financeiras (cessão de teatros).</t>
  </si>
  <si>
    <t xml:space="preserve">Nada reunido.</t>
  </si>
  <si>
    <t xml:space="preserve">Documentos PJ e portfólio da Mobox (&gt; R$ 200 mil); currículos da ficha técnica (3.1); contratos de direito autoral/anuência dos autores dos textos (3.3) dos espetáculos; plano de execução das oficinas com carga horária e conteúdo (7.3); anuências dos municípios/espaços.</t>
  </si>
  <si>
    <t xml:space="preserve">Tabela de metas com faixas; item 19 lista instrumentos.</t>
  </si>
  <si>
    <t xml:space="preserve">Metas numéricas fechadas e indicadores qualitativos (pendência 30).</t>
  </si>
  <si>
    <t xml:space="preserve">Descentralizar o acesso à produção cênica mineira e formar público.</t>
  </si>
  <si>
    <t xml:space="preserve">4 espetáculos, 12–24 sessões, 12–24 oficinas.</t>
  </si>
  <si>
    <t xml:space="preserve">Números fechados.</t>
  </si>
  <si>
    <t xml:space="preserve">12 municípios em 3 eixos + reservas.</t>
  </si>
  <si>
    <t xml:space="preserve">Validação com prefeituras.</t>
  </si>
  <si>
    <t xml:space="preserve">População dos municípios; foco em jovens, estudantes, artistas locais.</t>
  </si>
  <si>
    <t xml:space="preserve">Abr–nov/2027 por eixo.</t>
  </si>
  <si>
    <t xml:space="preserve">Datas e matriz espetáculo x cidade (pendência 4).</t>
  </si>
  <si>
    <t xml:space="preserve">Gratuito, retirada antecipada, reserva para escolas.</t>
  </si>
  <si>
    <t xml:space="preserve">Mobox; perfis de equipe.</t>
  </si>
  <si>
    <t xml:space="preserve">Dados jurídicos, nomes e currículos.</t>
  </si>
  <si>
    <t xml:space="preserve">Prefeituras/equipamentos a contatar.</t>
  </si>
  <si>
    <t xml:space="preserve">Cartas de anuência.</t>
  </si>
  <si>
    <t xml:space="preserve">Valor global; rubricas listadas.</t>
  </si>
  <si>
    <t xml:space="preserve">Planilha deste parecer; cachê de referência validado com 4–6 companhias.</t>
  </si>
  <si>
    <t xml:space="preserve">LEIC + SALIC; produto principal sugerido.</t>
  </si>
  <si>
    <t xml:space="preserve">Segmento exato e Art. 18.</t>
  </si>
  <si>
    <t xml:space="preserve">Item 19: sessões, público, listas, registros, clipping, declarações dos equipamentos.</t>
  </si>
  <si>
    <t xml:space="preserve">O projeto será dedicado a teatro, dança, circo ou reunirá diferentes linguagens cênicas?</t>
  </si>
  <si>
    <t xml:space="preserve">Teatro e dança como eixo, podendo incorporar performance e circo.</t>
  </si>
  <si>
    <t xml:space="preserve">Definir a linguagem predominante para o segmento do produto principal.</t>
  </si>
  <si>
    <t xml:space="preserve">O foco será criar espetáculos, circular produções existentes ou realizar uma mostra ou festival?</t>
  </si>
  <si>
    <t xml:space="preserve">Circulação de produções existentes (trajetória mínima de 1 ano), sem criação.</t>
  </si>
  <si>
    <t xml:space="preserve">Evitar o termo 'mostra/festival' no cadastro.</t>
  </si>
  <si>
    <t xml:space="preserve">Quantos grupos, espetáculos, apresentações e municípios participarão? Como será feita a seleção artística?</t>
  </si>
  <si>
    <t xml:space="preserve">4 espetáculos, 12 municípios, 12 a 24 sessões; seleção mista (chamada pública, convite, curadoria; até 6 pré-selecionados).</t>
  </si>
  <si>
    <t xml:space="preserve">Número final de sessões, critérios/pontuação da chamada, composição da curadoria (pendências 2, 11, 12).</t>
  </si>
  <si>
    <t xml:space="preserve">Quais espaços receberão as apresentações e quais adaptações técnicas, deslocamentos e hospedagens serão necessários?</t>
  </si>
  <si>
    <t xml:space="preserve">Teatros municipais, centros culturais e praças; projeto pode complementar som, luz, palco, transporte, hospedagem e alimentação.</t>
  </si>
  <si>
    <t xml:space="preserve">Espaço e lotação por cidade, rider médio e tamanho das companhias (pendências 6, 8, 9).</t>
  </si>
  <si>
    <t xml:space="preserve">Haverá oficinas, conversas com artistas ou outras atividades de formação de público? Qual será a quantidade e como se relacionarão com os espetáculos?</t>
  </si>
  <si>
    <t xml:space="preserve">1 a 2 oficinas por cidade (~2h, 30–40 vagas) ministradas pelos artistas das companhias; conversas pós-espetáculo.</t>
  </si>
  <si>
    <t xml:space="preserve">Quantidade final (planilha usa 24 oficinas de 3h) e conteúdo programático.</t>
  </si>
  <si>
    <t xml:space="preserve">R$ 900 mil ≤ R$ 1,5 mi; carteira Mobox = P04 R$ 900 mil + P11 R$ 800 mil = R$ 1,7 mi, 2 projetos.</t>
  </si>
  <si>
    <t xml:space="preserve">CNAE cultural (art. 4º §3º) e portfólio (§4º)</t>
  </si>
  <si>
    <t xml:space="preserve">Conferir CNAE de produção/artes cênicas e anexar portfólio da Mobox.</t>
  </si>
  <si>
    <t xml:space="preserve">Outros projetos de circulação no interior de MG no portfólio: P07 Concertos nas Praças (música), P09 Auto de Natal Mineiro (Armind), P10 Natal nas Cidades Mineiras, P17 Corpo em Cena (dança?) e P11 Festa Junina (Mobox). Objetivos distintos e sem estouro de limites; evitar sobreposição de municípios/calendário com P09/P10/P17 e não selecionar espetáculos desses projetos.</t>
  </si>
  <si>
    <t xml:space="preserve">Remuneração do proponente (art. 23)</t>
  </si>
  <si>
    <t xml:space="preserve">Se coordenação geral e produção executiva forem da própria Mobox: R$ 108 mil = 12% do valor – dentro dos 20%; somar outros pagamentos a coligadas.</t>
  </si>
  <si>
    <t xml:space="preserve">Maior fornecedor potencial (vans R$ 50 mil, ou luz+som R$ 42 mil) &lt; 20% (R$ 180 mil).</t>
  </si>
  <si>
    <t xml:space="preserve">R$ 6.000 por apresentação de grupo (teto R$ 50 mil).</t>
  </si>
  <si>
    <t xml:space="preserve">Direitos autorais (art. 27; Anexo II 3.3) e ECAD (art. 29)</t>
  </si>
  <si>
    <t xml:space="preserve">Sem espetáculos definidos não há autorizações dos autores; prever na chamada a obrigação de apresentar anuência; ECAD orçado.</t>
  </si>
  <si>
    <t xml:space="preserve">Adm 9,0%, acessibilidade/divulgação 18,1%, captação 10% (R$ 65.643) sobre R$ 656.437.</t>
  </si>
  <si>
    <t xml:space="preserve">Texto adia a definição; planilha prevê Libras em 24 sessões, AD em 12, apoio PcD, rampas e consultor.</t>
  </si>
  <si>
    <t xml:space="preserve">100% gratuito; oficinas como art. 42, V (+ III recomendado); sem venda, art. 44 n/a.</t>
  </si>
  <si>
    <t xml:space="preserve">Incluir no plano de divulgação e nos materiais das prefeituras (§4º).</t>
  </si>
  <si>
    <t xml:space="preserve">17 dias; decisões de número de sessões, cachê e logística ainda abertas.</t>
  </si>
  <si>
    <t xml:space="preserve">P05 Sons do Congado</t>
  </si>
  <si>
    <t xml:space="preserve">Identificação (nome, proponente PF/PJ, CNPJ/CNAE, área/segmento, enquadramento Art. 18)</t>
  </si>
  <si>
    <t xml:space="preserve">Nome definido; proponente 'Ado Viana — identificação jurídica/cadastral a confirmar'; enquadramento 'patrimônio imaterial... verificar o Art. 18'.</t>
  </si>
  <si>
    <t xml:space="preserve">Cadastrar Ado Viana como PF (CPF, endereço, portfólio). Fixar área Patrimônio Cultural, segmento Salvaguarda do patrimônio cultural imaterial e Art. 18.</t>
  </si>
  <si>
    <t xml:space="preserve">Janela indicativa abr-out/2027 com 5-6 meses efetivos; cronograma macro por mês.</t>
  </si>
  <si>
    <t xml:space="preserve">Datas de início/fim da execução e prazo de captação no SALIC, compatíveis com o calendário congadeiro (festas de maio, agosto e outubro).</t>
  </si>
  <si>
    <t xml:space="preserve">Resumo do projeto</t>
  </si>
  <si>
    <t xml:space="preserve">Síntese do escopo e apresentação claras (álbum + formação + circulação + devolutiva).</t>
  </si>
  <si>
    <t xml:space="preserve">Inserir quantitativos no resumo: 4 guardas, 12 faixas, 6 oficinas, 1 apresentação, 1 minidoc.</t>
  </si>
  <si>
    <t xml:space="preserve">Objetivos (geral e específicos, mensuráveis)</t>
  </si>
  <si>
    <t xml:space="preserve">Objetivo geral e 8 específicos coerentes, mas com 'quantidade a definir'.</t>
  </si>
  <si>
    <t xml:space="preserve">Torná-los mensuráveis: nº de guardas/mestres, faixas, oficinas e vagas, público da apresentação, cópias devolvidas.</t>
  </si>
  <si>
    <t xml:space="preserve">Justificativa (art. 1º/3º Lei 8.313/91, relevância, dados)</t>
  </si>
  <si>
    <t xml:space="preserve">Justificativa conceitual sólida (oralidade, transmissão intergeracional, consentimento).</t>
  </si>
  <si>
    <t xml:space="preserve">Citar art. 1º e um objetivo do art. 3º da Lei 8.313/91. Trazer dados (nº de guardas/irmandades em MG, situação de registro). Mostrar aderência à Portaria Iphan 299/2015 e os benefícios diretos aos detentores (Anexo II, 8.8).</t>
  </si>
  <si>
    <t xml:space="preserve">Acessibilidade (arquitetônica, comunicacional, divulgação acessível, Guia MDHC)</t>
  </si>
  <si>
    <t xml:space="preserve">Diretrizes arquitetônica, comunicacional e atitudinal; Libras/AD 'conforme desenho orçamentário/viabilidade'.</t>
  </si>
  <si>
    <t xml:space="preserve">Recursos firmes e orçados: Libras nas 6 oficinas e na apresentação; AD, LSE e janela de Libras no minidoc; encarte em braille; rampa; monitores. Referência ao Guia MDHC (art. 40), atenção a pessoas autistas e divulgação acessível.</t>
  </si>
  <si>
    <t xml:space="preserve">Gratuidade integral das oficinas e da apresentação; distribuição digital 'a definir'.</t>
  </si>
  <si>
    <t xml:space="preserve">Plano de distribuição com quantidades: 300 CDs gratuitos (comunidades, escolas, bibliotecas), streaming gratuito, exibição do minidoc.</t>
  </si>
  <si>
    <t xml:space="preserve">Ampliação de acesso (art. 42) e contrapartida social (art. 44, se houver venda)</t>
  </si>
  <si>
    <t xml:space="preserve">Oficinas gratuitas com jovens das irmandades e devolutiva pública estão previstas, mas não declaradas como medida do art. 42.</t>
  </si>
  <si>
    <t xml:space="preserve">Declarar art. 42, V (oficinas gratuitas), VI (ação para jovens) e III (registro AV na internet com Libras e AD). Registrar que não há venda, portanto não há contrapartida do art. 44.</t>
  </si>
  <si>
    <t xml:space="preserve">Cronograma macro por etapa (pesquisa, pactuação, formação, registro, pós-produção, encerramento).</t>
  </si>
  <si>
    <t xml:space="preserve">Transcrever para os campos de etapas do SALIC com entregas por etapa.</t>
  </si>
  <si>
    <t xml:space="preserve">Todas as funções 'a definir' (coordenação, produção, articulação, direção musical, audiovisual, acessibilidade).</t>
  </si>
  <si>
    <t xml:space="preserve">Nomes e currículos: coordenação, direção musical, articulador com experiência comprovada junto às comunidades (Anexo II, 8.1.6) e equipe audiovisual.</t>
  </si>
  <si>
    <t xml:space="preserve">Conceito do álbum como processo de salvaguarda; repertório a construir com os mestres.</t>
  </si>
  <si>
    <t xml:space="preserve">Descrição do conteúdo: guardas/ternos (Moçambique, Congo, Catopé etc.), eixos do repertório e conceito do minidoc. O repertório final pode ficar condicionado à pactuação.</t>
  </si>
  <si>
    <t xml:space="preserve">Não há seção de impacto ambiental.</t>
  </si>
  <si>
    <t xml:space="preserve">Medidas simples: gravação no território (menos deslocamento), distribuição prioritariamente digital, tiragem física reduzida, gestão de resíduos na apresentação.</t>
  </si>
  <si>
    <t xml:space="preserve">Especificações técnicas do produto</t>
  </si>
  <si>
    <t xml:space="preserve">Faixas, duração, formato, carga horária das oficinas e duração do minidoc 'a definir'.</t>
  </si>
  <si>
    <t xml:space="preserve">Especificar: 12 faixas (~45 min), formato digital + 300 CDs; 6 oficinas de 4h com 30 vagas; minidoc de ~15 min com acessibilidade; 1 apresentação de ~2h.</t>
  </si>
  <si>
    <t xml:space="preserve">Metodologia em 4 etapas (pesquisa/seleção, construção participativa, conteúdos restritos, formação).</t>
  </si>
  <si>
    <t xml:space="preserve">Formalizar os critérios de seleção (seção 9.1) e o protocolo de consentimento.</t>
  </si>
  <si>
    <t xml:space="preserve">Local de realização e deslocamentos</t>
  </si>
  <si>
    <t xml:space="preserve">RMBH como base e guardas de diferentes regiões; nenhum município ou espaço definido.</t>
  </si>
  <si>
    <t xml:space="preserve">Listar municípios das guardas, local das oficinas e da apresentação final, com anuências.</t>
  </si>
  <si>
    <t xml:space="preserve">Público e distribuição 'a definir após dimensionamento'.</t>
  </si>
  <si>
    <t xml:space="preserve">Plano de distribuição por produto (oficinas: 180 participações; apresentação: ~400; CDs: 300; digital gratuito), 100% gratuito.</t>
  </si>
  <si>
    <t xml:space="preserve">Diretrizes de comunicação (identidade, campanha, conteúdos validados pelas comunidades).</t>
  </si>
  <si>
    <t xml:space="preserve">Peças e quantidades (cartazes, folders, redes 3 meses, lançamento) e aplicação das marcas do Pronac (art. 21).</t>
  </si>
  <si>
    <t xml:space="preserve">Não há planilha (pendência ALTA nº 10).</t>
  </si>
  <si>
    <t xml:space="preserve">Adotar a planilha analítica proposta neste parecer (R$ 300.000) e substituir as referências por cotações.</t>
  </si>
  <si>
    <t xml:space="preserve">Rouanet + LEIC-MG mencionados.</t>
  </si>
  <si>
    <t xml:space="preserve">Definir o que será solicitado em cada fonte e evitar duplicidade de rubricas entre os mecanismos.</t>
  </si>
  <si>
    <t xml:space="preserve">Documentos obrigatórios do Anexo II</t>
  </si>
  <si>
    <t xml:space="preserve">Nenhum documento reunido; anuências e termos 'a obter'.</t>
  </si>
  <si>
    <t xml:space="preserve">PF: identidade com CPF e portfólio. Patrimônio: itens 8.1.1-8.1.6 e 8.8 do Anexo II, em especial a anuência de cada guarda/comunidade. Música: currículos.</t>
  </si>
  <si>
    <t xml:space="preserve">Metas/indicadores e forma de comprovação</t>
  </si>
  <si>
    <t xml:space="preserve">Tabela de metas com indicadores e formas de comprovação, com quantidades 'a definir'.</t>
  </si>
  <si>
    <t xml:space="preserve">Fixar números das metas e manter as formas de comprovação já listadas (anuências, listas, masters, relatórios).</t>
  </si>
  <si>
    <t xml:space="preserve">Necessidade de fortalecer a transmissão intergeracional e o registro qualificado com consentimento.</t>
  </si>
  <si>
    <t xml:space="preserve">Agregar dados quantitativos sobre as guardas mineiras.</t>
  </si>
  <si>
    <t xml:space="preserve">Álbum como entrega principal; oficinas, minidoc e apresentação como complementares.</t>
  </si>
  <si>
    <t xml:space="preserve">Fixar o número de faixas.</t>
  </si>
  <si>
    <t xml:space="preserve">RMBH + guardas de várias regiões, sem municípios definidos.</t>
  </si>
  <si>
    <t xml:space="preserve">Lista de municípios e espaços.</t>
  </si>
  <si>
    <t xml:space="preserve">Público geral de 18-50 anos e jovens das irmandades; estimativas 'a definir'.</t>
  </si>
  <si>
    <t xml:space="preserve">Rever a faixa etária: as oficinas devem aceitar adolescentes (a partir de 12 anos, com autorização). Quantificar o público.</t>
  </si>
  <si>
    <t xml:space="preserve">6 a 8 ações, 1 álbum, 1 minidoc, 1 apresentação; janela indicativa.</t>
  </si>
  <si>
    <t xml:space="preserve">Calendário conciliado com as festas das guardas e número exato de ações.</t>
  </si>
  <si>
    <t xml:space="preserve">Gratuidade integral; critérios de inscrição ainda não definidos; acessibilidade em diretrizes.</t>
  </si>
  <si>
    <t xml:space="preserve">Fluxo de inscrição com vagas reservadas aos jovens das irmandades e recursos de acessibilidade orçados.</t>
  </si>
  <si>
    <t xml:space="preserve">Proponente sem dados cadastrais; equipe toda 'a definir'.</t>
  </si>
  <si>
    <t xml:space="preserve">Dados de Ado Viana, portfólio e currículos da equipe.</t>
  </si>
  <si>
    <t xml:space="preserve">Articulação inicial com o presidente de uma associação de municípios; demais parcerias não formalizadas.</t>
  </si>
  <si>
    <t xml:space="preserve">Cartas de apoio e anuências das guardas, espaços e municípios.</t>
  </si>
  <si>
    <t xml:space="preserve">Teto de referência sem distribuição.</t>
  </si>
  <si>
    <t xml:space="preserve">Planilha deste parecer e cotações (estúdio/unidade móvel, audiovisual, transporte).</t>
  </si>
  <si>
    <t xml:space="preserve">R + E previsto, mas o Art. 18 está registrado apenas como 'a verificar'.</t>
  </si>
  <si>
    <t xml:space="preserve">Validar Patrimônio/Salvaguarda (Art. 18) e definir as despesas de cada fonte.</t>
  </si>
  <si>
    <t xml:space="preserve">Lista robusta de comprovação (anuências, listas, masters, ficha técnica, relatórios).</t>
  </si>
  <si>
    <t xml:space="preserve">Planilha de autorizações vinculada a cada arquivo do acervo.</t>
  </si>
  <si>
    <t xml:space="preserve">Quais guardas, ternos, mestres e comunidades participarão e de quais municípios?</t>
  </si>
  <si>
    <t xml:space="preserve">'O projeto ainda não possui a relação nominal definitiva de guardas, ternos, mestres e comunidades.'</t>
  </si>
  <si>
    <t xml:space="preserve">Lista principal (mín. 4 guardas, com município e mestre de referência) e lista de reserva, com anuências.</t>
  </si>
  <si>
    <t xml:space="preserve">O objetivo central será promover encontros, transmitir saberes, apoiar apresentações ou registrar a memória e a musicalidade do Congado?</t>
  </si>
  <si>
    <t xml:space="preserve">Articula valorização, formação, salvaguarda e circulação, com o álbum como núcleo e instrumento de salvaguarda (registro da musicalidade).</t>
  </si>
  <si>
    <t xml:space="preserve">Manter o registro sonoro/salvaguarda como objetivo central na redação do SALIC.</t>
  </si>
  <si>
    <t xml:space="preserve">Quais atividades serão construídas com as próprias comunidades e como se integrarão aos seus calendários?</t>
  </si>
  <si>
    <t xml:space="preserve">Repertório, metodologia das oficinas e limites de registro serão construídos com os mestres; circulação poderá dialogar com festas 'desde que pactuadas'.</t>
  </si>
  <si>
    <t xml:space="preserve">Matriz das 6 oficinas (tema, mestre, data, local) e cronograma conciliado com o calendário de cada guarda.</t>
  </si>
  <si>
    <t xml:space="preserve">Haverá gravações, entrevistas, fotografias ou publicações? Quais conteúdos poderão ser registrados e quais deverão permanecer restritos?</t>
  </si>
  <si>
    <t xml:space="preserve">Prevê álbum, entrevistas, fotos e minidoc; conteúdos sagrados/reservados não serão registrados nem divulgados; letras só com autorização expressa.</t>
  </si>
  <si>
    <t xml:space="preserve">Protocolo de consentimento livre, prévio e informado e termos de imagem, voz e cessão de direitos conexos, com a lista do que fica restrito por guarda.</t>
  </si>
  <si>
    <t xml:space="preserve">Como serão previstos remuneração, transporte, alimentação, instrumentos e devolução dos resultados às comunidades participantes?</t>
  </si>
  <si>
    <t xml:space="preserve">Remuneração 'compatível', transporte, alimentação e hospedagem 'quando necessários'; apoio a instrumentos indefinido; devolução do acervo prevista.</t>
  </si>
  <si>
    <t xml:space="preserve">Valores por guarda/mestre, ficha logística por grupo e decisão sobre instrumentos (o orçamento proposto prevê só transporte, sem aquisição). Devolução com CDs e cópia do acervo para cada guarda.</t>
  </si>
  <si>
    <t xml:space="preserve">Enquadramento Art. 18 – área/segmento do produto principal (art. 46; Anexo IV)</t>
  </si>
  <si>
    <t xml:space="preserve">Atende se o projeto for cadastrado em Patrimônio Cultural/Salvaguarda (ou Música Regional) com o álbum como maior custo. Não descrever como música popular cantada.</t>
  </si>
  <si>
    <t xml:space="preserve">Limites de PF – 2 projetos e R$ 500 mil de carteira; R$ 500 mil por projeto (arts. 10, I e 11, I)</t>
  </si>
  <si>
    <t xml:space="preserve">Carteira de Ado Viana: P05 (R$ 300 mil) + P16 Música nos Hospitais (R$ 200 mil) = R$ 500 mil e 2 projetos, ou seja, no limite exato, sem folga para ajuste para cima. A exceção de patrimônio (art. 14) vale só para limites de PJ.</t>
  </si>
  <si>
    <t xml:space="preserve">Portfólio / 1º projeto (art. 4º, §§4º-5º)</t>
  </si>
  <si>
    <t xml:space="preserve">Valor acima de R$ 200 mil exige portfólio comprovado de Ado Viana, mesmo que seja o primeiro projeto no Pronac.</t>
  </si>
  <si>
    <t xml:space="preserve">CNAE cultural (art. 4º, §3º)</t>
  </si>
  <si>
    <t xml:space="preserve">Não se aplica a pessoa física.</t>
  </si>
  <si>
    <t xml:space="preserve">Fracionamento (art. 32, VII; Anexo I, XXXIII)</t>
  </si>
  <si>
    <t xml:space="preserve">P02 Mestres e Aprendizes (Aver Mídia, R$ 400 mil) também é salvaguarda/transmissão de saberes de mestres na RMBH. Diferenciar o objeto (P05: Congado + registro fonográfico; P02: percursos continuados multissaberes) e não repetir mestres/guardas entre os dois. P16 tem objeto distinto.</t>
  </si>
  <si>
    <t xml:space="preserve">Vedação a proselitismo/culto religioso (art. 32, VI)</t>
  </si>
  <si>
    <t xml:space="preserve">O Congado tem dimensão devocional. Tratar como forma de expressão do patrimônio imaterial e não custear ritos ou celebrações religiosas em si.</t>
  </si>
  <si>
    <t xml:space="preserve">Acessibilidade obrigatória (arts. 38-40; Guia MDHC)</t>
  </si>
  <si>
    <t xml:space="preserve">Diretrizes existem, mas 'conforme viabilidade'. Orçamento proposto: consultor, Libras (7 diárias), AD/LSE/Libras no minidoc, braille, rampa e monitores.</t>
  </si>
  <si>
    <t xml:space="preserve">Democratização (art. 41)</t>
  </si>
  <si>
    <t xml:space="preserve">100% gratuito; falta o plano de distribuição quantificado.</t>
  </si>
  <si>
    <t xml:space="preserve">Ampliação de acesso (art. 42)</t>
  </si>
  <si>
    <t xml:space="preserve">Previstas na prática (oficinas gratuitas, jovens, registro AV acessível), mas não declaradas.</t>
  </si>
  <si>
    <t xml:space="preserve">Contrapartida social (art. 44)</t>
  </si>
  <si>
    <t xml:space="preserve">Não há venda de ingressos ou produtos; não se aplica.</t>
  </si>
  <si>
    <t xml:space="preserve">Guardas a R$ 3.500-4.500 (teto R$ 50 mil por grupo); mestres a R$ 1.800 (teto R$ 25 mil).</t>
  </si>
  <si>
    <t xml:space="preserve">Direitos conexos (art. 27)</t>
  </si>
  <si>
    <t xml:space="preserve">Cessão de direitos dos intérpretes por termo; eventual remuneração específica deve ficar abaixo de 10% do valor aprovado.</t>
  </si>
  <si>
    <t xml:space="preserve">Adm 7.4%. acessibilidade/divulgação 17.1%. captação 10% (R$ 22.307).</t>
  </si>
  <si>
    <t xml:space="preserve">Maior fornecedor previsto (unidade móvel de gravação) &lt; 5% do total.</t>
  </si>
  <si>
    <t xml:space="preserve">Remuneração do proponente PF ≤ 30% do captado (art. 23, §2º, II)</t>
  </si>
  <si>
    <t xml:space="preserve">Se Ado Viana assumir coordenação e/ou direção musical, a soma deve ficar ≤ R$ 90 mil.</t>
  </si>
  <si>
    <t xml:space="preserve">Nenhum documento reunido; sem anuência da comunidade detentora (8.1.3) a proposta é inadmitida no caminho Patrimônio.</t>
  </si>
  <si>
    <t xml:space="preserve">Prazo de apresentação (art. 5º)</t>
  </si>
  <si>
    <t xml:space="preserve">Submissão até 31/10/2026, e hoje restam cerca de 17 dias para reunir anuências e documentos.</t>
  </si>
  <si>
    <t xml:space="preserve">Incluir no plano de divulgação e no encarte do álbum/minidoc.</t>
  </si>
  <si>
    <t xml:space="preserve">P06 Mural Minas</t>
  </si>
  <si>
    <t xml:space="preserve">Título e área (Artes Visuais) definidos; modalidade 'Incentivo Fiscal à Cultura de Minas Gerais'; dados do proponente pendentes (pendência 1).</t>
  </si>
  <si>
    <t xml:space="preserve">Versão Rouanet: Morsa (CNPJ, CNAE compatível), segmento 'Exposição Cultural/Artística' e Art. 18.</t>
  </si>
  <si>
    <t xml:space="preserve">Duração de 8 meses, mas com datas inconsistentes: 'abril e novembro de 2027' em um campo e 'Maio a Dezembro de 2027' em outro.</t>
  </si>
  <si>
    <t xml:space="preserve">Unificar datas e informar o prazo de captação.</t>
  </si>
  <si>
    <t xml:space="preserve">Resumo claro, com quantitativos (75 vagas, 3 turmas, 48 encontros, 6 murais).</t>
  </si>
  <si>
    <t xml:space="preserve">Retirar 'pixo' do resumo ou qualificá-lo como objeto de estudo.</t>
  </si>
  <si>
    <t xml:space="preserve">Objetivos mensuráveis (75 vagas, 15/10 por turma, 48 encontros, 6 murais, ≥60 concluintes, 3 visitas).</t>
  </si>
  <si>
    <t xml:space="preserve">Nenhuma pendência relevante.</t>
  </si>
  <si>
    <t xml:space="preserve">Justificativa consistente (acesso de jovens periféricos, autoria, descentralização).</t>
  </si>
  <si>
    <t xml:space="preserve">Dados dos territórios (indicadores de oferta cultural/IDH, público escolar) e vínculo com o art. 1º e o art. 3º da Lei 8.313/91.</t>
  </si>
  <si>
    <t xml:space="preserve">Acessibilidade física e comunicacional 'poderão ser previstos' conforme demanda das inscrições.</t>
  </si>
  <si>
    <t xml:space="preserve">Recursos fixos e orçados: AD de cada mural com QR Code, placas em braille/fonte ampliada, Libras em encontros e no encerramento, monitores, consultor. Citar o Guia MDHC e prever atendimento a pessoas autistas.</t>
  </si>
  <si>
    <t xml:space="preserve">100% gratuito; 15 vagas por escola e 10 para a comunidade em cada município; murais de fruição livre.</t>
  </si>
  <si>
    <t xml:space="preserve">Formação gratuita para adolescentes/jovens e visitas mediadas existem, mas não são declaradas como medida do art. 42.</t>
  </si>
  <si>
    <t xml:space="preserve">Declarar art. 42, V e VI. Sem venda, logo sem art. 44.</t>
  </si>
  <si>
    <t xml:space="preserve">Detalhamento por meses (preparação 1-2, produção 3-6, conclusão 7-8) e cronograma com 14 atividades.</t>
  </si>
  <si>
    <t xml:space="preserve">Transcrever para as etapas do SALIC.</t>
  </si>
  <si>
    <t xml:space="preserve">Funções listadas (coordenações, produção, educadores, apoio técnico, comunicação), mas 'nomes, currículos... serão inseridos após a confirmação'.</t>
  </si>
  <si>
    <t xml:space="preserve">Relação nominal com currículos (Anexo II, 4.1), ao menos da coordenação geral, artística e pedagógica.</t>
  </si>
  <si>
    <t xml:space="preserve">Temas construídos pelos participantes a partir das memórias dos bairros.</t>
  </si>
  <si>
    <t xml:space="preserve">Conceito artístico/curatorial do conjunto e critérios estéticos dos murais.</t>
  </si>
  <si>
    <t xml:space="preserve">Dimensionamento de tintas, proteção do entorno, reaproveitamento e destinação de resíduos.</t>
  </si>
  <si>
    <t xml:space="preserve">Incluir a destinação de latas de spray (logística reversa).</t>
  </si>
  <si>
    <t xml:space="preserve">16 encontros/turma (9+6+1), murais de 5-20 m e ~30 m² (180 m²). Porém o detalhamento das despesas fala em 'aproximadamente 80 m²' e a carga horária não está definida.</t>
  </si>
  <si>
    <t xml:space="preserve">Corrigir a área (180 x 80 m²), fixar a carga horária por encontro (ex.: 4h = 64h/turma) e as dimensões por mural após vistoria.</t>
  </si>
  <si>
    <t xml:space="preserve">Metodologia completa: seleção de artistas por chamada, criação coletiva, execução sequencial por município.</t>
  </si>
  <si>
    <t xml:space="preserve">BH, Contagem e Santa Luzia; espaços e superfícies 'a definir'.</t>
  </si>
  <si>
    <t xml:space="preserve">Endereços e cartas de anuência dos espaços de oficina e das 6 superfícies.</t>
  </si>
  <si>
    <t xml:space="preserve">Tabela de distribuição por produto/atividade e condições de acesso.</t>
  </si>
  <si>
    <t xml:space="preserve">Incluir o público estimado da cerimônia.</t>
  </si>
  <si>
    <t xml:space="preserve">Três momentos de comunicação e canais; 'quantidades... serão definidas com o orçamento'.</t>
  </si>
  <si>
    <t xml:space="preserve">Quantidades de peças e meses de redes/imprensa, e marcas do Pronac (art. 21).</t>
  </si>
  <si>
    <t xml:space="preserve">'A planilha orçamentária será elaborada após o dimensionamento.'</t>
  </si>
  <si>
    <t xml:space="preserve">Adotar a planilha deste parecer e substituir referências por cotações.</t>
  </si>
  <si>
    <t xml:space="preserve">Só o incentivo estadual; nenhum patrocinador ou carta de intenção.</t>
  </si>
  <si>
    <t xml:space="preserve">Definir Rouanet (Art. 18) como principal e LEIC como complementar, com despesas por fonte.</t>
  </si>
  <si>
    <t xml:space="preserve">Lista documental genérica; nada reunido.</t>
  </si>
  <si>
    <t xml:space="preserve">Cartão CNPJ com CNAE cultural, contrato social, documentos do dirigente, portfólio da Morsa, currículos, anuências das superfícies, ficha técnica/'projeto expográfico' dos murais e plano pedagógico com carga horária.</t>
  </si>
  <si>
    <t xml:space="preserve">Tabela de metas com quantidades e documentos comprobatórios.</t>
  </si>
  <si>
    <t xml:space="preserve">Corrigir a numeração duplicada da meta 5.</t>
  </si>
  <si>
    <t xml:space="preserve">Ampliar a formação artística de jovens periféricos e a autoria juvenil no espaço público.</t>
  </si>
  <si>
    <t xml:space="preserve">Dados de diagnóstico.</t>
  </si>
  <si>
    <t xml:space="preserve">6 murais (principal) + formação de 75 vagas (complementar).</t>
  </si>
  <si>
    <t xml:space="preserve">Decidir entre 6 e 9 murais (pendência 3).</t>
  </si>
  <si>
    <t xml:space="preserve">3 municípios definidos; bairros e espaços não.</t>
  </si>
  <si>
    <t xml:space="preserve">Bairros, espaços e superfícies.</t>
  </si>
  <si>
    <t xml:space="preserve">15-29 anos, 75 vagas, critérios de prioridade.</t>
  </si>
  <si>
    <t xml:space="preserve">Autorização dos responsáveis para menores de 18.</t>
  </si>
  <si>
    <t xml:space="preserve">48 encontros, 8 meses; datas divergentes e carga horária indefinida.</t>
  </si>
  <si>
    <t xml:space="preserve">Calendário único e carga horária.</t>
  </si>
  <si>
    <t xml:space="preserve">Gratuito, inscrição com reserva escolar/comunitária; acessibilidade sob demanda.</t>
  </si>
  <si>
    <t xml:space="preserve">Recursos de acessibilidade fixos.</t>
  </si>
  <si>
    <t xml:space="preserve">Proponente sem dados; equipe sem nomes.</t>
  </si>
  <si>
    <t xml:space="preserve">Dados cadastrais, CNAE e equipe com currículos.</t>
  </si>
  <si>
    <t xml:space="preserve">Parceiros potenciais (escolas, centros culturais); nada formalizado.</t>
  </si>
  <si>
    <t xml:space="preserve">Cartas de anuência/parceria.</t>
  </si>
  <si>
    <t xml:space="preserve">Sem planilha; nenhum patrocinador.</t>
  </si>
  <si>
    <t xml:space="preserve">Planilha + prospecção.</t>
  </si>
  <si>
    <t xml:space="preserve">Documento só no modelo estadual.</t>
  </si>
  <si>
    <t xml:space="preserve">Versão SALIC (Art. 18) e divisão de fontes R + E.</t>
  </si>
  <si>
    <t xml:space="preserve">Comprovação detalhada (listas, registros antes/durante/depois, certificados).</t>
  </si>
  <si>
    <t xml:space="preserve">Quantos murais serão produzidos, em quais cidades e com quais dimensões aproximadas?</t>
  </si>
  <si>
    <t xml:space="preserve">6 murais (2 em BH, 2 em Contagem, 2 em Santa Luzia), 5-20 m de extensão, ~30 m² de média (180 m²). O detalhamento de despesas cita ~80 m², e a pendência 3 mantém aberto o cenário de 9 murais.</t>
  </si>
  <si>
    <t xml:space="preserve">Decidir 6 ou 9 murais e corrigir a área total após vistoria.</t>
  </si>
  <si>
    <t xml:space="preserve">Quais superfícies já estão identificadas e quem poderá autorizar as intervenções?</t>
  </si>
  <si>
    <t xml:space="preserve">Superfícies 'a definir' entre escolas, equipamentos públicos e imóveis particulares autorizados.</t>
  </si>
  <si>
    <t xml:space="preserve">Lista de superfícies candidatas com responsável e autorização/termo de cessão.</t>
  </si>
  <si>
    <t xml:space="preserve">Qual será o conceito artístico e como serão selecionados os artistas?</t>
  </si>
  <si>
    <t xml:space="preserve">Artistas-educadores por chamada on-line (portfólio, experiência), com prioridade a artistas dos territórios; temas construídos pelos participantes.</t>
  </si>
  <si>
    <t xml:space="preserve">Conceito artístico do conjunto e critérios/comissão da chamada.</t>
  </si>
  <si>
    <t xml:space="preserve">Haverá participação dos moradores, oficinas, visitas mediadas ou atividades educativas relacionadas aos murais?</t>
  </si>
  <si>
    <t xml:space="preserve">Moradores contribuem com referências; 48 encontros com visitas mediadas e criação coletiva; cerimônia final.</t>
  </si>
  <si>
    <t xml:space="preserve">Quais serviços serão necessários para preparação, execução e conservação das obras? Quem ficará responsável pela manutenção após o projeto?</t>
  </si>
  <si>
    <t xml:space="preserve">Limpeza, lixamento, fundo, base, lonas, andaimes/plataformas e reparos; conservação cotidiana pelo responsável pelo local, sem manutenção indefinida.</t>
  </si>
  <si>
    <t xml:space="preserve">Cláusula de conservação no termo de cessão, verniz de proteção e fluxo de reparos.</t>
  </si>
  <si>
    <t xml:space="preserve">Enquadramento Art. 18 (Anexo IV)</t>
  </si>
  <si>
    <t xml:space="preserve">Artes Visuais: Exposição e Ações Educ-Cult são Art. 18. Manter fora de Humanidades e tratar 'pixo' só como objeto de estudo.</t>
  </si>
  <si>
    <t xml:space="preserve">Limite PJ por projeto/carteira (arts. 10, III e 11, II)</t>
  </si>
  <si>
    <t xml:space="preserve">R$ 750 mil ≤ R$ 1,5 mi. Carteira a conferir no SALIC.</t>
  </si>
  <si>
    <t xml:space="preserve">Carteira unificada (art. 15)</t>
  </si>
  <si>
    <t xml:space="preserve">Túlio Gama aparece como representante da Morsa. Se for sócio/dirigente, P06 + P07 (+P12, se for à Rouanet) formam uma carteira única, com o limite de PJ.</t>
  </si>
  <si>
    <t xml:space="preserve">CNAE cultural compatível (art. 4º, §3º)</t>
  </si>
  <si>
    <t xml:space="preserve">CNAE principal de edição de jornais. Sem CNAE secundário compatível com Artes Visuais/ensino de arte, a proposta é inadmitida. Alterar o CNPJ antes de 31/10/2026.</t>
  </si>
  <si>
    <t xml:space="preserve">Portfólio (art. 4º, §4º)</t>
  </si>
  <si>
    <t xml:space="preserve">Portfólio da Morsa em ações culturais (não editoriais) é obrigatório.</t>
  </si>
  <si>
    <t xml:space="preserve">Fracionamento (art. 32, VII)</t>
  </si>
  <si>
    <t xml:space="preserve">P13 Skate e Rua (ESIP) usa grafite só como ambientação, custeado fora do incentivo cultural. Objetos distintos.</t>
  </si>
  <si>
    <t xml:space="preserve">Licitude do objeto (Lei 9.605/98, art. 65)</t>
  </si>
  <si>
    <t xml:space="preserve">Retirar a prática de 'pixo' do objeto; só intervenções autorizadas.</t>
  </si>
  <si>
    <t xml:space="preserve">Segurança de menores/trabalho em altura (ECA; NR-35)</t>
  </si>
  <si>
    <t xml:space="preserve">Participantes de 15-17 anos não devem operar plataformas. Prever termos dos responsáveis e seguro.</t>
  </si>
  <si>
    <t xml:space="preserve">Acessibilidade (arts. 38-40)</t>
  </si>
  <si>
    <t xml:space="preserve">Só sob demanda no texto. A planilha prevê consultor, Libras, AD dos murais, placas em braille e monitores.</t>
  </si>
  <si>
    <t xml:space="preserve">Integralmente gratuito.</t>
  </si>
  <si>
    <t xml:space="preserve">Existe na prática (V e VI), mas precisa ser declarada.</t>
  </si>
  <si>
    <t xml:space="preserve">Contrapartida (art. 44)</t>
  </si>
  <si>
    <t xml:space="preserve">Sem comercialização.</t>
  </si>
  <si>
    <t xml:space="preserve">Autoria por mural a R$ 9.000 (teto individual de R$ 25 mil); grupo no encerramento a R$ 5.000.</t>
  </si>
  <si>
    <t xml:space="preserve">Adm 7.9%, acessibilidade/divulgação 14.4%, captação 10% (R$ 56.700).</t>
  </si>
  <si>
    <t xml:space="preserve">Fornecedor ≤ 20% (art. 24)</t>
  </si>
  <si>
    <t xml:space="preserve">Maior fornecedor (plataformas) ≈ R$ 21,6 mil (&lt; 3%).</t>
  </si>
  <si>
    <t xml:space="preserve">Economicidade (art. 33, V)</t>
  </si>
  <si>
    <t xml:space="preserve">R$ 750 mil para 6 murais de ~30 m² e 75 vagas (≈ R$ 10 mil por vaga; equipe central ≈ 25% do total) tende a ser questionado. Ampliar a área/número de murais (cenário de 9) ou justificar a equipe; a alternativa é reduzir o valor.</t>
  </si>
  <si>
    <t xml:space="preserve">Plataformas e equipamentos locados; EPIs e materiais são de consumo.</t>
  </si>
  <si>
    <t xml:space="preserve">Nada reunido: CNPJ/CNAE, contrato social, ata, portfólio, currículos, anuências, ficha técnica das superfícies, plano pedagógico.</t>
  </si>
  <si>
    <t xml:space="preserve">Marcas (art. 21)</t>
  </si>
  <si>
    <t xml:space="preserve">O texto cita 'orientações de aplicação de marcas pertinentes'. Explicitar as marcas do Pronac.</t>
  </si>
  <si>
    <t xml:space="preserve">P07 Concertos nas Praças do Interior (documentos: 'Concertos na Praça')</t>
  </si>
  <si>
    <t xml:space="preserve">Proponente 'Túlio Gama - pessoa física; dados civis e cadastrais a conferir'; título 'Concertos na Praça' diferente do da planilha; segmento 'a confirmar'.</t>
  </si>
  <si>
    <t xml:space="preserve">CPF/endereço do proponente, título único, área Música, segmento Instrumental/Erudita e Art. 18. Corrigir o nome da pasta (PRO SP).</t>
  </si>
  <si>
    <t xml:space="preserve">6 meses por etapa (mês 1 a 6); 'ano e janela exata ainda precisam ser confirmados'.</t>
  </si>
  <si>
    <t xml:space="preserve">Datas reais (ex.: mar-ago/2027) e prazo de captação.</t>
  </si>
  <si>
    <t xml:space="preserve">Resumo executivo claro (8 concertos, 4-8 municípios, aberturas regionais, ensaios abertos).</t>
  </si>
  <si>
    <t xml:space="preserve">Objetivos específicos mensuráveis (8 concertos, 8 ensaios, 6-8 grupos, 4-8 municípios).</t>
  </si>
  <si>
    <t xml:space="preserve">Fixar o número de municípios.</t>
  </si>
  <si>
    <t xml:space="preserve">Diagnóstico de concentração da oferta de concertos nas capitais.</t>
  </si>
  <si>
    <t xml:space="preserve">Dados (municípios sem sala de concerto, oferta cultural) e vínculo com o art. 1º e o art. 3º da Lei 8.313/91.</t>
  </si>
  <si>
    <t xml:space="preserve">Rotas acessíveis, área reservada, soluções temporárias; Libras/AD 'poderão' ou 'conforme orçamento'.</t>
  </si>
  <si>
    <t xml:space="preserve">Recursos firmes: rampa, área reservada, monitores, Libras nas falas/ensaios, AD/legendas/Libras no aftermovie, consultor, Guia MDHC.</t>
  </si>
  <si>
    <t xml:space="preserve">Integralmente gratuito, entrada livre, mobilização de escolas e bandas.</t>
  </si>
  <si>
    <t xml:space="preserve">8 ensaios abertos (art. 42, V) e mobilização escolar (art. 42, VI); sem venda.</t>
  </si>
  <si>
    <t xml:space="preserve">Declarar as medidas no SALIC; transporte de estudantes pode somar o art. 42, II.</t>
  </si>
  <si>
    <t xml:space="preserve">Cronograma de 6 meses com etapas e atividades.</t>
  </si>
  <si>
    <t xml:space="preserve">Coordenação/produção: Túlio Gama; direção artística, produção executiva e locais 'a contratar/definir'.</t>
  </si>
  <si>
    <t xml:space="preserve">Nomes e currículos (Anexo II, 5.1), em especial de regente/diretor artístico e formação principal.</t>
  </si>
  <si>
    <t xml:space="preserve">Linha curatorial (música brasileira, mineira, de concerto e popular instrumental).</t>
  </si>
  <si>
    <t xml:space="preserve">Programa/repertório de referência e formações convidadas.</t>
  </si>
  <si>
    <t xml:space="preserve">Gestão de resíduos nas praças, transporte compartilhado e materiais digitais.</t>
  </si>
  <si>
    <t xml:space="preserve">Blocos de 30-50 min, ensaio aberto por concerto; formação 'orquestra de câmara ou equivalente' sem tamanho.</t>
  </si>
  <si>
    <t xml:space="preserve">Número de músicos/instrumentação, duração de cada concerto e rider técnico de referência.</t>
  </si>
  <si>
    <t xml:space="preserve">Formato, participação local, contingência climática e logística descritos.</t>
  </si>
  <si>
    <t xml:space="preserve">Banco de 12 municípios em 3 eixos + 6 reservas; seleção final pendente.</t>
  </si>
  <si>
    <t xml:space="preserve">Lista final de municípios e praças com anuências municipais.</t>
  </si>
  <si>
    <t xml:space="preserve">250-500 pessoas por concerto; 2.000-4.000 no total; gratuito.</t>
  </si>
  <si>
    <t xml:space="preserve">Plano de distribuição formal por produto (concertos, ensaios), com estimativa única.</t>
  </si>
  <si>
    <t xml:space="preserve">Identidade, campanha por município, registro, cortes, aftermovie.</t>
  </si>
  <si>
    <t xml:space="preserve">Quantidades de peças e mídia e marcas do Pronac (art. 21).</t>
  </si>
  <si>
    <t xml:space="preserve">Só diretrizes orçamentárias por bloco.</t>
  </si>
  <si>
    <t xml:space="preserve">Planilha deste parecer + cotações (palco, som, ônibus, ECAD).</t>
  </si>
  <si>
    <t xml:space="preserve">Rouanet prioritária; possíveis apoios de prefeituras e Grupo Armind.</t>
  </si>
  <si>
    <t xml:space="preserve">Formalizar contrapartidas municipais/Armind como outras fontes, sem sobreposição de despesas.</t>
  </si>
  <si>
    <t xml:space="preserve">Documentos 'a reunir' (pendência 1).</t>
  </si>
  <si>
    <t xml:space="preserve">Identidade com CPF, portfólio de Túlio Gama, currículos da ficha técnica, anuências municipais.</t>
  </si>
  <si>
    <t xml:space="preserve">Tabela de metas com comprovação e metodologia de aferição de público.</t>
  </si>
  <si>
    <t xml:space="preserve">Definir o método de contagem (pendência 16).</t>
  </si>
  <si>
    <t xml:space="preserve">Desigualdade de acesso à música de concerto no interior.</t>
  </si>
  <si>
    <t xml:space="preserve">Dados.</t>
  </si>
  <si>
    <t xml:space="preserve">8 concertos + 8 ensaios abertos.</t>
  </si>
  <si>
    <t xml:space="preserve">Banco de municípios; escolha final pendente.</t>
  </si>
  <si>
    <t xml:space="preserve">4 a 8 municípios definidos.</t>
  </si>
  <si>
    <t xml:space="preserve">Público geral e estudantes; 250-500 por concerto.</t>
  </si>
  <si>
    <t xml:space="preserve">Meta de estudantes nos ensaios.</t>
  </si>
  <si>
    <t xml:space="preserve">8 concertos em 6 meses; ano/janela não confirmados.</t>
  </si>
  <si>
    <t xml:space="preserve">Datas.</t>
  </si>
  <si>
    <t xml:space="preserve">Gratuito, livre; acessibilidade em diretrizes.</t>
  </si>
  <si>
    <t xml:space="preserve">Recursos firmes.</t>
  </si>
  <si>
    <t xml:space="preserve">Túlio Gama (PF) na coordenação, mas a pasta do Drive diz PRO SP; restante da equipe a contratar.</t>
  </si>
  <si>
    <t xml:space="preserve">Confirmar o proponente e corrigir a pasta; equipe com currículos.</t>
  </si>
  <si>
    <t xml:space="preserve">Prefeituras e Grupo Armind como parceiros potenciais, sem nada confirmado.</t>
  </si>
  <si>
    <t xml:space="preserve">Cartas de anuência com contrapartidas explícitas.</t>
  </si>
  <si>
    <t xml:space="preserve">Teto de R$ 500 mil com prioridade ao artístico; sem cotações.</t>
  </si>
  <si>
    <t xml:space="preserve">Planilha e cotações. 8 concertos só cabem com estrutura enxuta e contrapartidas municipais.</t>
  </si>
  <si>
    <t xml:space="preserve">Rouanet + LEIC; carteira PF de Túlio a conferir.</t>
  </si>
  <si>
    <t xml:space="preserve">Confirmar P07 na Rouanet e P12 na LEIC.</t>
  </si>
  <si>
    <t xml:space="preserve">Monitoramento e comprovação definidos.</t>
  </si>
  <si>
    <t xml:space="preserve">Qual será a formação musical: orquestra, banda, conjunto de câmara, coral ou outra?</t>
  </si>
  <si>
    <t xml:space="preserve">'Referência em orquestra de câmara ou formação instrumental equivalente, ainda sem grupo nominal definido.'</t>
  </si>
  <si>
    <t xml:space="preserve">Tamanho e instrumentação. A planilha assume 8 músicos + regente.</t>
  </si>
  <si>
    <t xml:space="preserve">Qual repertório será apresentado e quem responderá pela direção artística?</t>
  </si>
  <si>
    <t xml:space="preserve">Música brasileira/mineira, de concerto e popular instrumental; direção artística 'a ser contratada'.</t>
  </si>
  <si>
    <t xml:space="preserve">Nome do diretor/regente e programa de referência, com obras em domínio público e arranjos próprios.</t>
  </si>
  <si>
    <t xml:space="preserve">Quais municípios e praças integrarão o circuito, com quantos concertos e qual público estimado por apresentação?</t>
  </si>
  <si>
    <t xml:space="preserve">8 concertos em 4-8 municípios do banco (Ouro Preto, Mariana, Congonhas, Lafaiete, Pará de Minas, Itaúna, Divinópolis, Formiga, Curvelo, Diamantina, Montes Claros, Janaúba + reservas); 250-500 pessoas por concerto.</t>
  </si>
  <si>
    <t xml:space="preserve">Escolher municípios e praças e confirmar com anuências.</t>
  </si>
  <si>
    <t xml:space="preserve">Que estrutura cada local oferece e o que precisará ser contratado, inclusive para eventual mudança por chuva?</t>
  </si>
  <si>
    <t xml:space="preserve">Base técnica listada (palco coberto, som, luz, banheiros, energia, gradil); plano de chuva genérico; prefeituras como possíveis cedentes.</t>
  </si>
  <si>
    <t xml:space="preserve">Rider por formato e ficha por praça com o que a prefeitura cede e o local alternativo coberto.</t>
  </si>
  <si>
    <t xml:space="preserve">Haverá participação de músicos locais, concertos didáticos ou ações com escolas? Como essas atividades serão organizadas?</t>
  </si>
  <si>
    <t xml:space="preserve">Aberturas por bandas, corais e grupos locais; 1 ensaio aberto por concerto com escolas (ensino médio e anos finais); sem concertos didáticos exclusivos.</t>
  </si>
  <si>
    <t xml:space="preserve">Lista de escolas e logística de transporte.</t>
  </si>
  <si>
    <t xml:space="preserve">Enquadramento Art. 18 (Anexo IV; art. 46)</t>
  </si>
  <si>
    <t xml:space="preserve">Música Instrumental/Erudita é Art. 18. Evitar atrações de música popular cantada e o rótulo 'festival'.</t>
  </si>
  <si>
    <t xml:space="preserve">Teto PF por projeto (art. 11, I)</t>
  </si>
  <si>
    <t xml:space="preserve">R$ 500 mil = teto exato, sem margem para aumento.</t>
  </si>
  <si>
    <t xml:space="preserve">Carteira PF – 2 projetos/R$ 500 mil (art. 10, I)</t>
  </si>
  <si>
    <t xml:space="preserve">P07 consome toda a carteira de Túlio: P12 (R$ 250 mil) precisa ir para a LEIC e P08 não pode ser de Túlio. Conferir projetos ativos no SALIC.</t>
  </si>
  <si>
    <t xml:space="preserve">Carteira unificada PF/PJ (art. 15)</t>
  </si>
  <si>
    <t xml:space="preserve">Túlio aparece como representante da Morsa (P06). Se for sócio/dirigente, a carteira se une à da Morsa (limite de PJ prevalece). Confirmar.</t>
  </si>
  <si>
    <t xml:space="preserve">Divergência de proponente (planilha x pasta)</t>
  </si>
  <si>
    <t xml:space="preserve">Documentos e planilha dizem Túlio Gama (PF); a pasta diz PRO SP (provável troca com P08). Corrigir antes do cadastro.</t>
  </si>
  <si>
    <t xml:space="preserve">Remuneração do proponente PF ≤ 30% (art. 23, §2º, II)</t>
  </si>
  <si>
    <t xml:space="preserve">Coordenação de Túlio na planilha: R$ 30 mil (6%).</t>
  </si>
  <si>
    <t xml:space="preserve">Palco + som + luz somam R$ 57,6 mil (11,5%). Mantido abaixo de 20% se não forem contratados de um único fornecedor; o mesmo vale para eventual fornecimento pelo Grupo Armind.</t>
  </si>
  <si>
    <t xml:space="preserve">Cachês (art. 26, III)</t>
  </si>
  <si>
    <t xml:space="preserve">Músicos a R$ 800 (teto R$ 5.000) e regente a R$ 2.500 (teto R$ 25.000) por concerto.</t>
  </si>
  <si>
    <t xml:space="preserve">ECAD (art. 29)</t>
  </si>
  <si>
    <t xml:space="preserve">Verba estimada de R$ 800/concerto; simulação ECAD obrigatória após definir as praças.</t>
  </si>
  <si>
    <t xml:space="preserve">Texto condicional. A planilha garante rampa, área reservada, monitores, Libras e AD/legendas no aftermovie.</t>
  </si>
  <si>
    <t xml:space="preserve">Gratuito e livre.</t>
  </si>
  <si>
    <t xml:space="preserve">Ensaios abertos (V), escolas (VI) e transporte de estudantes (II).</t>
  </si>
  <si>
    <t xml:space="preserve">Sem venda; não se aplica.</t>
  </si>
  <si>
    <t xml:space="preserve">Adm 7.0%, acessibilidade/divulgação 13.5%, captação 10% (R$ 38.314).</t>
  </si>
  <si>
    <t xml:space="preserve">Reaproveita o banco territorial de P04 Cena Mineira em Movimento (Mobox), mas o objeto é distinto (música x artes cênicas). Evitar as mesmas cidades/datas e equipes sobrepostas.</t>
  </si>
  <si>
    <t xml:space="preserve">Documentos obrigatórios (Anexo II, itens 1 e 5)</t>
  </si>
  <si>
    <t xml:space="preserve">Faltam identidade/CPF, portfólio do proponente e currículos da ficha técnica.</t>
  </si>
  <si>
    <t xml:space="preserve">P08 Sabores de Minas – Circuito de Cultura Alimentar, Memória e Patrimônio de Minas Gerais</t>
  </si>
  <si>
    <t xml:space="preserve">Proponente 'ProSP — razão social completa, CNPJ e representante legal a confirmar'; área e segmento não definidos; nenhuma menção a Art. 18; pasta do Drive em nome de Túlio Gama.</t>
  </si>
  <si>
    <t xml:space="preserve">Dados da ProSP (CNPJ com CNAE compatível com Patrimônio Cultural), área Patrimônio Cultural, segmento Salvaguarda do patrimônio imaterial e Art. 18. Corrigir a pasta.</t>
  </si>
  <si>
    <t xml:space="preserve">Janela maio-nov/2027 'indicativa'; número de meses indefinido (pendência 4).</t>
  </si>
  <si>
    <t xml:space="preserve">Datas por etapa e prazo de captação.</t>
  </si>
  <si>
    <t xml:space="preserve">Resumo claro do circuito e dos eixos.</t>
  </si>
  <si>
    <t xml:space="preserve">Reescrever com foco em salvaguarda/transmissão de saberes, não em festival gastronômico.</t>
  </si>
  <si>
    <t xml:space="preserve">Objetivo geral e 8 específicos qualitativos; um deles é 'criar oportunidades de comercialização'.</t>
  </si>
  <si>
    <t xml:space="preserve">Metas numéricas e retirada do objetivo comercial (vira efeito indireto, não objetivo incentivado).</t>
  </si>
  <si>
    <t xml:space="preserve">Justificativa forte sobre memória e cultura alimentar.</t>
  </si>
  <si>
    <t xml:space="preserve">Enquadrar como patrimônio imaterial (bens, detentores, riscos à transmissão), com Portaria Iphan 299/2015, benefícios aos detentores, dados e art. 1º/3º da Lei 8.313/91.</t>
  </si>
  <si>
    <t xml:space="preserve">Libras 'em atividades de maior relevância', AD 'aplicáveis', soluções temporárias 'quando viáveis'.</t>
  </si>
  <si>
    <t xml:space="preserve">Plano concreto: Libras nos fins de semana, rampas, monitores, AD/legendas nos vídeos, Caderno em EPUB acessível/braille, Guia MDHC.</t>
  </si>
  <si>
    <t xml:space="preserve">Programação cultural gratuita; comercialização pelos expositores 'conforme regulamento específico' a definir.</t>
  </si>
  <si>
    <t xml:space="preserve">Definir feira sem taxa; declarar que as vendas são receita privada dos expositores, sem receita para o projeto (art. 41, §4º).</t>
  </si>
  <si>
    <t xml:space="preserve">'Programa Saberes da Mesa': vagas reservadas a escolas públicas, ação por município, 'Cozinha de Memórias', publicação gratuita; sem quantidades.</t>
  </si>
  <si>
    <t xml:space="preserve">Quantificar (ex.: 4 ações com 30 estudantes cada e 25% das vagas das oficinas) e declarar art. 42, V e VI. Se houver taxa/receita, cumprir o art. 44 (≥10% do público, mín. 20, máx. 500 alunos/professores).</t>
  </si>
  <si>
    <t xml:space="preserve">Metodologia em 5 movimentos e cronograma por etapa.</t>
  </si>
  <si>
    <t xml:space="preserve">Só Rafael Bastos (curadoria) nomeado; demais funções da 'equipe ProSP' a definir.</t>
  </si>
  <si>
    <t xml:space="preserve">Organograma e currículos, incluindo pesquisador com experiência junto a comunidades tradicionais (8.1.6).</t>
  </si>
  <si>
    <t xml:space="preserve">Eixos de programação descritos (Cozinhas de Minas, Feira, Patrimônio à Mesa, Memória, Caderno).</t>
  </si>
  <si>
    <t xml:space="preserve">Lista dos saberes/bens e detentores por território.</t>
  </si>
  <si>
    <t xml:space="preserve">Seção de sustentabilidade (descartáveis, coleta seletiva, compras locais, resíduos orgânicos).</t>
  </si>
  <si>
    <t xml:space="preserve">Responsáveis e comprovação.</t>
  </si>
  <si>
    <t xml:space="preserve">Faixas: 2-4 atividades por fim de semana, 15-20 vagas, rodas de até 50 pessoas; formato do Caderno indefinido.</t>
  </si>
  <si>
    <t xml:space="preserve">Grade padrão por etapa (planilha: 7 atividades com mestres + 1 roda por etapa; 20 vagas) e especificação do Caderno (páginas, formato, tiragem de 500).</t>
  </si>
  <si>
    <t xml:space="preserve">Metodologia de mapeamento, curadoria, preparação, execução e memória/devolutiva.</t>
  </si>
  <si>
    <t xml:space="preserve">Incluir o protocolo de consentimento para saberes coletivos.</t>
  </si>
  <si>
    <t xml:space="preserve">BH, Ouro Preto e Mariana; 4º município e espaços a definir.</t>
  </si>
  <si>
    <t xml:space="preserve">4º município e espaços com anuência (2 opções por cidade).</t>
  </si>
  <si>
    <t xml:space="preserve">300-700 participações por fim de semana; vagas limitadas; publicação gratuita.</t>
  </si>
  <si>
    <t xml:space="preserve">Plano de distribuição por produto, sem dupla contagem, e tratamento da feira.</t>
  </si>
  <si>
    <t xml:space="preserve">Três frentes de comunicação e canais; sem quantidades.</t>
  </si>
  <si>
    <t xml:space="preserve">Peças, meses e mídia, e marcas do Pronac.</t>
  </si>
  <si>
    <t xml:space="preserve">Só lista de grupos de despesa.</t>
  </si>
  <si>
    <t xml:space="preserve">Planilha deste parecer + cotações (cozinha de demonstração, tendas, transporte, gráfica).</t>
  </si>
  <si>
    <t xml:space="preserve">Rouanet prioritária e adaptação à LEIC; receitas da feira indefinidas.</t>
  </si>
  <si>
    <t xml:space="preserve">Fontes por linha; declarar ausência de receita ou a receita prevista.</t>
  </si>
  <si>
    <t xml:space="preserve">Nenhum documento; portfólio a organizar (pendência 24).</t>
  </si>
  <si>
    <t xml:space="preserve">CNPJ/CNAE, contrato social, ata, documentos do dirigente, portfólio da ProSP; Anexo II, 8.1 e 8.8 (anuências dos detentores, relatório do bem/reconhecido valor); 7.1-7.3 para as oficinas.</t>
  </si>
  <si>
    <t xml:space="preserve">Metas preliminares em faixas, com indicadores.</t>
  </si>
  <si>
    <t xml:space="preserve">Metas fechadas e método de contagem.</t>
  </si>
  <si>
    <t xml:space="preserve">Visibilidade e transmissão dos saberes alimentares tradicionais e remuneração dos detentores.</t>
  </si>
  <si>
    <t xml:space="preserve">Formular como salvaguarda.</t>
  </si>
  <si>
    <t xml:space="preserve">Seis 'produtos centrais' (festival, cozinhas-show, feira, rodas, audiovisual, publicação), sem hierarquia.</t>
  </si>
  <si>
    <t xml:space="preserve">Eleger um principal de salvaguarda (transmissão de saberes com mestres).</t>
  </si>
  <si>
    <t xml:space="preserve">3 cidades definidas e 1 em aberto; espaços não.</t>
  </si>
  <si>
    <t xml:space="preserve">4º município e espaços.</t>
  </si>
  <si>
    <t xml:space="preserve">Público amplo listado; estimativas em faixas.</t>
  </si>
  <si>
    <t xml:space="preserve">Metas por cidade, sem dupla contagem.</t>
  </si>
  <si>
    <t xml:space="preserve">'Até dois finais de semana' por cidade; janela indicativa.</t>
  </si>
  <si>
    <t xml:space="preserve">Decidir 1 ou 2 fins de semana. A planilha de R$ 600 mil comporta 1 fim de semana (3 dias) por cidade.</t>
  </si>
  <si>
    <t xml:space="preserve">Gratuito; comercialização na feira e eventual taxa indefinidas.</t>
  </si>
  <si>
    <t xml:space="preserve">Regulamento da feira sem taxa.</t>
  </si>
  <si>
    <t xml:space="preserve">ProSP sem dados; Rafael Bastos sem currículo anexado; pasta em nome de Túlio Gama.</t>
  </si>
  <si>
    <t xml:space="preserve">Confirmar ProSP, organizar currículo e portfólio.</t>
  </si>
  <si>
    <t xml:space="preserve">Parceiros potenciais listados; nenhum formalizado.</t>
  </si>
  <si>
    <t xml:space="preserve">Grupos de despesa listados, sem valores.</t>
  </si>
  <si>
    <t xml:space="preserve">Planilha e memória de cálculo.</t>
  </si>
  <si>
    <t xml:space="preserve">Rouanet prioritária, sem enquadramento definido.</t>
  </si>
  <si>
    <t xml:space="preserve">Patrimônio/Salvaguarda (Art. 18) e separação de fontes R + E.</t>
  </si>
  <si>
    <t xml:space="preserve">Lista de comprovação completa (listas, contratos, autorizações, distribuição da publicação).</t>
  </si>
  <si>
    <t xml:space="preserve">Qual será o recorte cultural: receitas tradicionais, modos de fazer, histórias de comunidades, ingredientes ou territórios específicos?</t>
  </si>
  <si>
    <t xml:space="preserve">Cozinha tradicional mineira, quitandas, queijos, doces, café, agricultura familiar, comunidades rurais, quilombolas e indígenas, práticas de festas; sem saberes ou bens específicos.</t>
  </si>
  <si>
    <t xml:space="preserve">Eleger os saberes/bens de referência por território (ex.: queijo artesanal, quitandas de Ouro Preto/Mariana) com detentores identificados.</t>
  </si>
  <si>
    <t xml:space="preserve">Qual será a entrega principal: festival, oficinas, pesquisa, publicação, exposição ou circuito de experiências?</t>
  </si>
  <si>
    <t xml:space="preserve">'Festival gastronômico-cultural' + cozinhas-show/oficinas + feira + rodas + registro + publicação, sem principal definido.</t>
  </si>
  <si>
    <t xml:space="preserve">Entrega principal = encontros de transmissão de saberes com mestres (salvaguarda), nunca 'festival gastronômico'.</t>
  </si>
  <si>
    <t xml:space="preserve">Quais cozinheiras, cozinheiros, mestres e comunidades participarão e como serão selecionados e remunerados?</t>
  </si>
  <si>
    <t xml:space="preserve">Curadoria, convite direto e indicação dos territórios; 'remuneração adequada'; mínimo de 4 mestres por fim de semana.</t>
  </si>
  <si>
    <t xml:space="preserve">Critérios formais de curadoria, nomes e cachês (planilha: 28 cachês de R$ 2.000).</t>
  </si>
  <si>
    <t xml:space="preserve">Haverá degustação, distribuição gratuita ou comercialização de alimentos? Como funcionarão a participação dos expositores e as eventuais receitas?</t>
  </si>
  <si>
    <t xml:space="preserve">Comercialização direta pelos expositores; taxa e tratamento das receitas a definir (pendências 7 e 8); bebidas alcoólicas dependerão de licença.</t>
  </si>
  <si>
    <t xml:space="preserve">Feira sem taxa, vendas como receita privada, nenhuma compra de alimento para venda/degustação com incentivo, regras sanitárias e de bebidas fora do incentivo.</t>
  </si>
  <si>
    <t xml:space="preserve">Como os saberes serão transmitidos ao público? Se houver registro ou publicação, quem autorizará os conteúdos e como serão distribuídos?</t>
  </si>
  <si>
    <t xml:space="preserve">Oficinas, cozinhas-show, rodas e 'Cozinha de Memórias'; termos de imagem/voz/conteúdo e pactuação com comunidades; publicação digital gratuita + tiragem para comunidades, bibliotecas e escolas.</t>
  </si>
  <si>
    <t xml:space="preserve">Redigir os termos e o protocolo coletivo; definir a lista de destinatários dos exemplares.</t>
  </si>
  <si>
    <t xml:space="preserve">Como está (festival/gastronomia) = Humanidades/Gastronomia de valor cultural = Art. 26. Só atende ao Art. 18 se for reestruturado como Patrimônio/Salvaguarda, com a transmissão de saberes como maior custo.</t>
  </si>
  <si>
    <t xml:space="preserve">Restrição de custos em projetos gastronômicos (IN, art. 18)</t>
  </si>
  <si>
    <t xml:space="preserve">Sem caracterização como patrimônio imaterial, estrutura, ingredientes e feira seriam glosados. Comprovar tradição/memória (Anexo II, 8.1.2.1).</t>
  </si>
  <si>
    <t xml:space="preserve">Limite PJ por projeto (art. 11, II)</t>
  </si>
  <si>
    <t xml:space="preserve">R$ 600 mil ≤ R$ 1,5 mi com ProSP como PJ.</t>
  </si>
  <si>
    <t xml:space="preserve">Hipótese Túlio Gama PF (arts. 10, I e 11, I)</t>
  </si>
  <si>
    <t xml:space="preserve">R$ 600 mil &gt; teto de R$ 500 mil por projeto, e a carteira PF de Túlio já está tomada por P07 (R$ 500 mil). Inviável.</t>
  </si>
  <si>
    <t xml:space="preserve">Planilha e documentos: ProSP; pasta: Túlio Gama (provável troca com P07). Corrigir.</t>
  </si>
  <si>
    <t xml:space="preserve">Conferir se a ProSP tem CNAE compatível com Patrimônio Cultural; se tiver só CNAE de alimentação/eventos, a proposta é inadmitida.</t>
  </si>
  <si>
    <t xml:space="preserve">Receita e plano de distribuição (art. 41, §4º; art. 44)</t>
  </si>
  <si>
    <t xml:space="preserve">Com taxa de expositor ou venda pelo projeto, é obrigatório declarar a receita e cumprir a contrapartida do art. 44. Recomenda-se feira sem taxa.</t>
  </si>
  <si>
    <t xml:space="preserve">Despesas vedadas (art. 33; bufê/coquetel; alimentos)</t>
  </si>
  <si>
    <t xml:space="preserve">Ingredientes só como insumo pedagógico, sem degustação massiva ou venda; bebidas alcoólicas fora do incentivo.</t>
  </si>
  <si>
    <t xml:space="preserve">Texto genérico. A planilha garante Libras, rampas, monitores, AD nos vídeos e Caderno acessível.</t>
  </si>
  <si>
    <t xml:space="preserve">Programação cultural gratuita.</t>
  </si>
  <si>
    <t xml:space="preserve">'Saberes da Mesa' atende os incisos V e VI, desde que quantificado.</t>
  </si>
  <si>
    <t xml:space="preserve">Mestres a R$ 2.000 (teto R$ 25 mil) e mediadores a R$ 1.500 (teto R$ 5 mil para palestrante).</t>
  </si>
  <si>
    <t xml:space="preserve">Tiragem de livro (art. 25)</t>
  </si>
  <si>
    <t xml:space="preserve">500 exemplares (≤ 3.000).</t>
  </si>
  <si>
    <t xml:space="preserve">Adm 8.0%, acessibilidade/divulgação 15.5%, captação 10% (R$ 44.943).</t>
  </si>
  <si>
    <t xml:space="preserve">Maior item (cozinha de demonstração) ≈ R$ 14,4 mil.</t>
  </si>
  <si>
    <t xml:space="preserve">Sem projeto semelhante no portfólio (P11 Festa Junina tem só 1 oficina de culinária; P02 trata de outros saberes).</t>
  </si>
  <si>
    <t xml:space="preserve">Nada reunido: documentos da PJ, portfólio, anuências dos detentores, relatório de reconhecido valor, plano das oficinas.</t>
  </si>
  <si>
    <t xml:space="preserve">P09 Auto de Natal Mineiro</t>
  </si>
  <si>
    <t xml:space="preserve">Identificação (nome, proponente, área/segmento, enquadramento)</t>
  </si>
  <si>
    <t xml:space="preserve">Nome definido; proponente 'Arminde — dados cadastrais e portfólio a anexar'; 'Artes cênicas — espetáculo teatral-musical'; §16 diz que o artigo 'será confirmado'.</t>
  </si>
  <si>
    <t xml:space="preserve">Razão social, CNPJ e CNAE cultural da Arminde. A planilha e a pasta usam 'Armind', então é preciso padronizar o nome. Fixar Área Artes Cênicas / Segmento Teatro Musical e pedir expressamente o Art. 18.</t>
  </si>
  <si>
    <t xml:space="preserve">Pré-produção ago/2027, circulação fim out–dez/2027, pós até jan/2028, marcado como 'hipótese a confirmar'.</t>
  </si>
  <si>
    <t xml:space="preserve">Fixar datas de início e fim e o cronograma de captação, que precisa estar concluída até jul/2027 para contratar em agosto. Incluir janelas de chuva e remarcação (pendência 2).</t>
  </si>
  <si>
    <t xml:space="preserve">§1 Objeto descreve criação, 10 apresentações gratuitas, BH (2) + 8 municípios e integração de músicos locais.</t>
  </si>
  <si>
    <t xml:space="preserve">Ajustar ao limite de caracteres do SALIC e citar o segmento.</t>
  </si>
  <si>
    <t xml:space="preserve">§4 e §5: objetivo geral + 6 específicos com quantidades (1 obra de 60–90 min, 10 apresentações, 9 municípios).</t>
  </si>
  <si>
    <t xml:space="preserve">Quantificar o objetivo de acessibilidade (nº de sessões com Libras e com AD) e o de registro (1 vídeo integral e nº de clipes).</t>
  </si>
  <si>
    <t xml:space="preserve">Justificativa (art. 1º e 3º da Lei 8.313; relevância; dados)</t>
  </si>
  <si>
    <t xml:space="preserve">§3 traz boa argumentação sobre descentralização, gratuidade, remuneração local e memória natalina mineira.</t>
  </si>
  <si>
    <t xml:space="preserve">Citar expressamente o art. 1º (incisos I, II e III) e um objetivo do art. 3º (ex.: inciso II, 'c' – circulação de espetáculos). Incluir dados de oferta cultural e IDH dos municípios e do Barreiro.</t>
  </si>
  <si>
    <t xml:space="preserve">§10 traz Libras em todas as apresentações, AD presencial 'quando tecnicamente cabível', vídeo com legendas, Libras e AD, e avaliação de rotas.</t>
  </si>
  <si>
    <t xml:space="preserve">Definir e orçar a AD ao vivo em todas as sessões, com receptores (pendência 5). Prever área reservada, rota acessível e sanitário PcD por praça. Incluir atendimento a pessoas autistas (aviso de som e luz, área de menor estímulo) e linguagem simples. Citar o Guia de Acessibilidade do MDHC (IN art. 40).</t>
  </si>
  <si>
    <t xml:space="preserve">§9: as 10 apresentações são integralmente gratuitas, por ordem de chegada, sem venda de ingressos.</t>
  </si>
  <si>
    <t xml:space="preserve">Informar no plano de distribuição a quantidade gratuita por praça e a mobilização de escolas e entidades (caráter social e educativo – art. 43).</t>
  </si>
  <si>
    <t xml:space="preserve">Ampliação de acesso (art. 42) e contrapartida (art. 44)</t>
  </si>
  <si>
    <t xml:space="preserve">Registro audiovisual integral com Libras, AD e legendas publicado gratuitamente (art. 42, III). Não há venda, então a contrapartida do art. 44 não se aplica.</t>
  </si>
  <si>
    <t xml:space="preserve">Citar o inciso do art. 42 no formulário. Opcional: ensaio aberto em cada praça, que já está previsto como ensaio de integração (art. 42, V).</t>
  </si>
  <si>
    <t xml:space="preserve">§8 (8.1 a 8.5) e §12 descrevem pré-produção, montagem e ensaios, circulação e pós-produção.</t>
  </si>
  <si>
    <t xml:space="preserve">Converter em etapas do SALIC com datas.</t>
  </si>
  <si>
    <t xml:space="preserve">Só há funções genéricas; a pendência 3 está aberta (direção, dramaturgia, direção musical, elenco, técnicos).</t>
  </si>
  <si>
    <t xml:space="preserve">Nomes, funções e minicurrículos da dramaturgia, direção, direção musical, cenografia, figurino, luz, produção executiva e acessibilidade, com cartas de aceite.</t>
  </si>
  <si>
    <t xml:space="preserve">Sinopse / conteúdo artístico</t>
  </si>
  <si>
    <t xml:space="preserve">§2 traz o conceito: releitura do nascimento com referências mineiras, narrador, 60–90 min.</t>
  </si>
  <si>
    <t xml:space="preserve">Sinopse em atos ou cenas, repertório previsto e mapa de direitos (pendência 9).</t>
  </si>
  <si>
    <t xml:space="preserve">Cenário reutilizável, viagens de ida e volta no mesmo dia, peças físicas pontuais (§3, §11, §13).</t>
  </si>
  <si>
    <t xml:space="preserve">Medidas verificáveis: iluminação LED, gestão de resíduos nas praças, redução de descartáveis, reaproveitamento ou doação da cenografia ao final.</t>
  </si>
  <si>
    <t xml:space="preserve">60–90 min, palco e plateia, 10 sessões, ~1.000 pessoas por praça.</t>
  </si>
  <si>
    <t xml:space="preserve">Nº de artistas em cena, dimensões de palco, potência de som e luz, tempo de montagem e capacidade por praça.</t>
  </si>
  <si>
    <t xml:space="preserve">§8 detalha pesquisa, montagem, articulação local com critérios transparentes, logística e registro.</t>
  </si>
  <si>
    <t xml:space="preserve">BH (centro + Barreiro) e 6 municípios cogitados; 2 a definir; praças não definidas.</t>
  </si>
  <si>
    <t xml:space="preserve">Fechar os 8 municípios, a praça principal e a substituta de cada um, e anexar manifestações de interesse das prefeituras (pendência 1).</t>
  </si>
  <si>
    <t xml:space="preserve">Público-meta preliminar de 10 mil (média de 1.000 por apresentação), totalmente gratuito.</t>
  </si>
  <si>
    <t xml:space="preserve">Tabela de público por praça baseada na lotação real, com método de contagem (pendência 11).</t>
  </si>
  <si>
    <t xml:space="preserve">§11: identidade visual, redes, imprensa regional, canais locais, peças físicas pontuais.</t>
  </si>
  <si>
    <t xml:space="preserve">Quantidades por peça e por mídia, cronograma e aplicação das marcas obrigatórias (IN art. 21).</t>
  </si>
  <si>
    <t xml:space="preserve">Os documentos só trazem o teto de R$ 700 mil e as diretrizes (§13, pendência 4).</t>
  </si>
  <si>
    <t xml:space="preserve">Adotar a planilha proposta nesta revisão (R$ 700.000 com check OK) e substituir os valores por cotações (3 por grupo relevante).</t>
  </si>
  <si>
    <t xml:space="preserve">Rouanet prioritária e adaptação à LEIC-MG, com aviso de que a compatibilidade não autoriza duplo custeio (§16).</t>
  </si>
  <si>
    <t xml:space="preserve">Declarar no SALIC se haverá outra fonte (LEIC/ICMS) e separar rubricas por fonte, sem sobreposição (pendência 14).</t>
  </si>
  <si>
    <t xml:space="preserve">Pendência 6: dossiê cadastral e portfólio ainda a reunir.</t>
  </si>
  <si>
    <t xml:space="preserve">Cartão CNPJ (CNAE cultural), contrato social e ata, documento do dirigente, portfólio (obrigatório: valor &gt; R$ 200 mil), currículos da ficha técnica (3.1) e contrato ou anuência do autor do texto (3.3).</t>
  </si>
  <si>
    <t xml:space="preserve">Metas, indicadores e comprovação</t>
  </si>
  <si>
    <t xml:space="preserve">§6 tem tabela de metas com indicadores; §15 traz monitoramento por praça e método de aferição de público.</t>
  </si>
  <si>
    <t xml:space="preserve">Incluir meta de acessibilidade (10 sessões com Libras e AD) e meta do vídeo acessível publicado.</t>
  </si>
  <si>
    <t xml:space="preserve">Democratizar artes cênicas e valorizar tradições natalinas mineiras (§4).</t>
  </si>
  <si>
    <t xml:space="preserve">1 espetáculo original + 10 apresentações gratuitas.</t>
  </si>
  <si>
    <t xml:space="preserve">BH (centro/Barreiro) + 8 municípios, dos quais 6 cogitados.</t>
  </si>
  <si>
    <t xml:space="preserve">Confirmar os 8 municípios e as praças.</t>
  </si>
  <si>
    <t xml:space="preserve">Famílias, crianças, idosos, periferias; meta preliminar de 10 mil.</t>
  </si>
  <si>
    <t xml:space="preserve">Validar a meta pela lotação.</t>
  </si>
  <si>
    <t xml:space="preserve">10 sessões entre fim de out e dez/2027 (hipótese).</t>
  </si>
  <si>
    <t xml:space="preserve">Calendário fechado por município.</t>
  </si>
  <si>
    <t xml:space="preserve">Gratuidade total, mobilização comunitária, grupos locais remunerados.</t>
  </si>
  <si>
    <t xml:space="preserve">Proponente sem dados cadastrais; equipe não definida (pendências 3 e 6).</t>
  </si>
  <si>
    <t xml:space="preserve">Dossiê da Arminde e ficha técnica com currículos.</t>
  </si>
  <si>
    <t xml:space="preserve">Prefeituras e grupos a convidar; patrocinadores apenas como alvos (Cemig, Copasa, Vale).</t>
  </si>
  <si>
    <t xml:space="preserve">Cartas de intenção das prefeituras e plano de patrocínio.</t>
  </si>
  <si>
    <t xml:space="preserve">Teto de R$ 700 mil e diretrizes de economicidade.</t>
  </si>
  <si>
    <t xml:space="preserve">Planilha analítica (proposta aqui) e cotações.</t>
  </si>
  <si>
    <t xml:space="preserve">Rouanet prioritária + adaptação LEIC; artigo 'a confirmar'.</t>
  </si>
  <si>
    <t xml:space="preserve">Declarar Rouanet Art. 18 e definir o papel da LEIC como fonte complementar sem sobreposição.</t>
  </si>
  <si>
    <t xml:space="preserve">Relatórios por praça, fotos, vídeos, contratos, contagem de público (§6 e §15).</t>
  </si>
  <si>
    <t xml:space="preserve">Será criado um espetáculo original ou adaptada uma obra existente? Qual será a narrativa e sua relação com Minas Gerais?</t>
  </si>
  <si>
    <t xml:space="preserve">Espetáculo original, com dramaturgia criada para o projeto: releitura do nascimento de Jesus a partir da memória afetiva, dos sons e das imagens do Natal mineiro (Folias de Reis, Pastorinhas, presépios, bandas, viola caipira).</t>
  </si>
  <si>
    <t xml:space="preserve">Sinopse em atos ou cenas e definição do autor do texto, com a anuência dele.</t>
  </si>
  <si>
    <t xml:space="preserve">Quais linguagens integrarão a montagem: teatro, música, dança, circo ou outras?</t>
  </si>
  <si>
    <t xml:space="preserve">Teatro (cenas dialogadas, narração) e música ao vivo (núcleo itinerante + corais, bandas e músicos locais). Formato palco e plateia, sem cortejo.</t>
  </si>
  <si>
    <t xml:space="preserve">Dizer se haverá dança (afeta o segmento Teatro Musical).</t>
  </si>
  <si>
    <t xml:space="preserve">Quantas apresentações serão realizadas, em quais locais e para qual capacidade de público?</t>
  </si>
  <si>
    <t xml:space="preserve">10 apresentações: 2 em BH (centro e Barreiro) e 1 em cada um de 8 municípios (6 cogitados); média referencial de 1.000 pessoas.</t>
  </si>
  <si>
    <t xml:space="preserve">Praças definidas, lotação real de cada uma e os 2 municípios restantes.</t>
  </si>
  <si>
    <t xml:space="preserve">Quem comporá o elenco e a equipe criativa? Qual será o período de preparação e ensaios?</t>
  </si>
  <si>
    <t xml:space="preserve">Núcleo de atores e direção sediado em BH; montagem e ensaios gerais em set–out/2027.</t>
  </si>
  <si>
    <t xml:space="preserve">Nomes e quantidade (premissa desta revisão: 6 atores, 3 músicos), currículos e cartas de aceite.</t>
  </si>
  <si>
    <t xml:space="preserve">Quais necessidades de cenário, figurino, iluminação, som e direitos autorais precisam entrar no orçamento? A montagem será fixa ou itinerante?</t>
  </si>
  <si>
    <t xml:space="preserve">Itinerante. Cenografia modular com presépio de destaque e estrelas, figurinos com referências mineiras, iluminação temática, palco, som e luz por praça; pesquisa de direitos de execução e fixação.</t>
  </si>
  <si>
    <t xml:space="preserve">Memorial técnico e mapa de direitos (textos, arranjos, ECAD, uso de imagem), cotados.</t>
  </si>
  <si>
    <t xml:space="preserve">Limite por projeto e carteira (arts. 10–11 e 15)</t>
  </si>
  <si>
    <t xml:space="preserve">R$ 700 mil é admissível para PJ (até R$ 1,5 mi por projeto). Se 'Arminde' for PF, o projeto VIOLA o limite de R$ 500 mil e precisa ser reduzido. A carteira da Arminde também inclui o P10, que tem a Arminde como proponente nos documentos, somando R$ 1,2 mi (ok para PJ ou MEI).</t>
  </si>
  <si>
    <t xml:space="preserve">Fracionamento (art. 32, VII; Anexo I, XXXIII) – comparação com P10 Natal nas Cidades Mineiras</t>
  </si>
  <si>
    <t xml:space="preserve">RISCO ALTO. O P10 tem o MESMO proponente (Arminde, representada por Gustavo Ribeiro) e objeto semelhante: criação e circulação gratuita de um Auto de Natal em praças mineiras, também em nov–dez/2027 e com BH em ambos. Para PJ a soma (R$ 1,2 mi) não ultrapassa o limite por projeto, então a definição estrita (que exige 'permitir ultrapassar limites') pode não se configurar. Ainda assim, o parecerista tende a ver objetivos semelhantes e possível dupla contagem de custos de criação. Ver recomendações.</t>
  </si>
  <si>
    <t xml:space="preserve">Portfólio / 1º projeto (art. 4º §§4º–5º) e CNAE (art. 4º §3º)</t>
  </si>
  <si>
    <t xml:space="preserve">Acima de R$ 200 mil o portfólio é obrigatório, mesmo que seja o 1º projeto. O CNAE da Arminde precisa ser compatível com Artes Cênicas (ex.: 9001-9/01, 9001-9/02 ou 9001-9/99).</t>
  </si>
  <si>
    <t xml:space="preserve">Proselitismo/culto religioso (art. 32, VI)</t>
  </si>
  <si>
    <t xml:space="preserve">O tema é o nascimento de Jesus. O escopo já declara finalidade artística e não litúrgica (§2). Manter esse texto, evitar locais de culto e qualquer ato religioso, e não usar a marca de igrejas.</t>
  </si>
  <si>
    <t xml:space="preserve">Libras está prevista, mas a AD presencial está 'quando cabível'. A planilha proposta orça Libras e AD em todas as sessões, consultor, monitores, braille e vídeo acessível. Falta citar o Guia MDHC e definir as medidas arquitetônicas por praça.</t>
  </si>
  <si>
    <t xml:space="preserve">Democratização (art. 41) e custo por beneficiário (art. 16)</t>
  </si>
  <si>
    <t xml:space="preserve">100% gratuito, então o limite de R$ 300 por pessoa não se aplica (R$ 70 por espectador estimado).</t>
  </si>
  <si>
    <t xml:space="preserve">Inciso III (vídeo com Libras e AD na internet); pode somar o inciso V (ensaios abertos).</t>
  </si>
  <si>
    <t xml:space="preserve">Não se aplica: não há venda de ingressos ou produtos.</t>
  </si>
  <si>
    <t xml:space="preserve">Maior cachê por apresentação: grupo local R$ 2.500 e direção R$ 20 mil pela criação. Todos abaixo dos tetos.</t>
  </si>
  <si>
    <t xml:space="preserve">Fornecedor ≤ 20% do captado (art. 24)</t>
  </si>
  <si>
    <t xml:space="preserve">Palco, som, luz e gerador somam R$ 104 mil (14,9% de R$ 700 mil). Ficam abaixo de 20%, mas não se deve somar a esse fornecedor o transporte ou a cenografia; o ideal é cotar com 2 ou mais fornecedores.</t>
  </si>
  <si>
    <t xml:space="preserve">Se a Arminde coordenar ou produzir: R$ 56 mil (8%), abaixo do limite de 20%.</t>
  </si>
  <si>
    <t xml:space="preserve">Administração 7,1%, acessibilidade e divulgação 14,7%, captação 10,0% (check_budget OK).</t>
  </si>
  <si>
    <t xml:space="preserve">Marcas (art. 21) e duplo custeio Rouanet + LEIC</t>
  </si>
  <si>
    <t xml:space="preserve">Submeter as peças ao MinC e não financiar as mesmas despesas pelas duas leis (o escopo já alerta para isso).</t>
  </si>
  <si>
    <t xml:space="preserve">P10 Natal nas Cidades Mineiras</t>
  </si>
  <si>
    <t xml:space="preserve">Identificação</t>
  </si>
  <si>
    <t xml:space="preserve">Título definido; proponente 'Arminde — razão social/CNPJ a confirmar; representante legal: Gustavo Ribeiro'; Artes Cênicas / Apresentação ou Performance de Teatro; Art. 18 pretendido.</t>
  </si>
  <si>
    <t xml:space="preserve">CNPJ, CNAE e natureza jurídica. Hoje a planilha do cliente indica 'Gustavo Ribeiro' como proponente e os documentos indicam 'Arminde'; decidir quem é o titular.</t>
  </si>
  <si>
    <t xml:space="preserve">Período de execução e captação</t>
  </si>
  <si>
    <t xml:space="preserve">Set/2027 a fev/2028 (pré set–out, execução nov–dez, pós jan–fev).</t>
  </si>
  <si>
    <t xml:space="preserve">Datas por cidade (5 fins de semana) e prazo de captação compatível.</t>
  </si>
  <si>
    <t xml:space="preserve">§02 descreve objeto, cidades, programação e gratuidade.</t>
  </si>
  <si>
    <t xml:space="preserve">§05: objetivo geral + 7 específicos com metas numéricas (5 apresentações, 5 corais, 5 ambientações, 5 feiras).</t>
  </si>
  <si>
    <t xml:space="preserve">Com a feira fora dos produtos incentivados, reescrever o objetivo da feira como ação associada sem custo incentivado.</t>
  </si>
  <si>
    <t xml:space="preserve">§04: descentralização, mão de obra cultural, repertórios locais; não alega salvaguarda patrimonial.</t>
  </si>
  <si>
    <t xml:space="preserve">Citar art. 1º e art. 3º da Lei 8.313 e incluir dados (oferta cultural, público, IDH) das 5 cidades.</t>
  </si>
  <si>
    <t xml:space="preserve">§09: Libras nos momentos centrais, áreas reservadas, rotas, sinalização, AD ao vivo do Auto com escuta, AD e legendas no vídeo.</t>
  </si>
  <si>
    <t xml:space="preserve">Libras em toda a programação artística, sanitário acessível por cidade, medidas para pessoas autistas, rampas em calçamento histórico, referência ao Guia MDHC (art. 40) e orçamento (incluído na planilha proposta).</t>
  </si>
  <si>
    <t xml:space="preserve">Democratização</t>
  </si>
  <si>
    <t xml:space="preserve">Acesso livre e gratuito a apresentações, ambientação e feira; sem inscrição nem compra.</t>
  </si>
  <si>
    <t xml:space="preserve">Indicar o público gratuito por produto no plano de distribuição.</t>
  </si>
  <si>
    <t xml:space="preserve">Ampliação de acesso (art. 42) / contrapartida</t>
  </si>
  <si>
    <t xml:space="preserve">Transporte gratuito citado só 'quando viável', e o próprio texto diz que não será meta obrigatória. O vídeo é síntese, não registro do espetáculo.</t>
  </si>
  <si>
    <t xml:space="preserve">Assumir ao menos 1 medida firme. Sugestão: art. 42, VI (sessão ou ação com escolas, crianças e educadores em cada cidade) ou art. 42, III (registro integral do Auto com Libras e AD na internet). A contrapartida do art. 44 não se aplica (sem venda pelo projeto).</t>
  </si>
  <si>
    <t xml:space="preserve">§07 (fluxo operacional) e §11 (cronograma macro).</t>
  </si>
  <si>
    <t xml:space="preserve">Detalhar datas no SALIC.</t>
  </si>
  <si>
    <t xml:space="preserve">Só funções genéricas (§12).</t>
  </si>
  <si>
    <t xml:space="preserve">Direção, dramaturgia, elenco, direção musical, cenotecnia, acessibilidade, com currículos (pendência 06).</t>
  </si>
  <si>
    <t xml:space="preserve">Sinopse/conteúdo artístico</t>
  </si>
  <si>
    <t xml:space="preserve">Conceito em §03; 'dramaturgia, número de artistas, desenho cênico e direitos... serão especificados na fase de produção'.</t>
  </si>
  <si>
    <t xml:space="preserve">Sinopse, autoria (texto novo ou adaptado), duração e anuência do autor (Anexo II 3.3).</t>
  </si>
  <si>
    <t xml:space="preserve">§10: LED, reaproveitamento de cenografia e tendas, menos impressos e descartáveis, nenhuma intervenção permanente.</t>
  </si>
  <si>
    <t xml:space="preserve">Incluir gestão de resíduos por edição.</t>
  </si>
  <si>
    <t xml:space="preserve">1 sessão por cidade e edição de até 2 dias; 10–20 expositores por cidade.</t>
  </si>
  <si>
    <t xml:space="preserve">Duração do Auto, nº de artistas, porte de palco, som e luz, lotação.</t>
  </si>
  <si>
    <t xml:space="preserve">§07 e §11: fluxo de articulação, curadoria, montagem itinerante, desmontagem e rota.</t>
  </si>
  <si>
    <t xml:space="preserve">5 cidades definidas; praças ainda não.</t>
  </si>
  <si>
    <t xml:space="preserve">Praça principal e alternativa por cidade, com anuência municipal e de órgãos de patrimônio (pendências 03–04).</t>
  </si>
  <si>
    <t xml:space="preserve">Gratuidade total, mas 'a expectativa quantitativa de público será dimensionada' (§06).</t>
  </si>
  <si>
    <t xml:space="preserve">Público estimado por produto e por cidade (premissa desta revisão: ~1.000 por apresentação, 5.000 no total).</t>
  </si>
  <si>
    <t xml:space="preserve">§13: identidade comum, canais digitais, imprensa regional, parceiros.</t>
  </si>
  <si>
    <t xml:space="preserve">Quantidades de peças e mídias e cronograma.</t>
  </si>
  <si>
    <t xml:space="preserve">Planilha orçamentária</t>
  </si>
  <si>
    <t xml:space="preserve">Apenas distribuição preliminar por grupos (§12), sem custos vinculados nem captação, com R$ 45 mil para tendas e feira.</t>
  </si>
  <si>
    <t xml:space="preserve">Adotar a planilha proposta (R$ 500.000; check OK), sem custos de feira, e substituir por cotações.</t>
  </si>
  <si>
    <t xml:space="preserve">Rouanet; o texto cita o Banco Cemig, que exigiu LEIC, e existe versão LEIC idêntica.</t>
  </si>
  <si>
    <t xml:space="preserve">Definir se a LEIC será fonte complementar (sem sobreposição de rubricas) ou mecanismo alternativo.</t>
  </si>
  <si>
    <t xml:space="preserve">Pendência 01: razão social, CNPJ, contrato social e poderes do representante a obter.</t>
  </si>
  <si>
    <t xml:space="preserve">Cartão CNPJ (CNAE cultural), contrato social, ata, documento do dirigente, portfólio (valor &gt; R$ 200 mil), currículos (3.1), anuência do autor (3.3).</t>
  </si>
  <si>
    <t xml:space="preserve">Metas e comprovação</t>
  </si>
  <si>
    <t xml:space="preserve">§08: tabela de metas com evidências esperadas.</t>
  </si>
  <si>
    <t xml:space="preserve">Meta de público com método verificável e metas de acessibilidade.</t>
  </si>
  <si>
    <t xml:space="preserve">Democratizar artes cênicas e manifestações natalinas em 5 cidades (§05).</t>
  </si>
  <si>
    <t xml:space="preserve">5 apresentações gratuitas do Auto de Natal.</t>
  </si>
  <si>
    <t xml:space="preserve">BH, Sabará, Ouro Preto, São João del-Rei, Diamantina.</t>
  </si>
  <si>
    <t xml:space="preserve">Praças a definir.</t>
  </si>
  <si>
    <t xml:space="preserve">Perfil descrito (§06), sem número.</t>
  </si>
  <si>
    <t xml:space="preserve">Estimativa por cidade.</t>
  </si>
  <si>
    <t xml:space="preserve">1 edição de até 2 dias por cidade, nov–dez/2027.</t>
  </si>
  <si>
    <t xml:space="preserve">Gratuidade total; corais e expositores locais.</t>
  </si>
  <si>
    <t xml:space="preserve">Arminde, representada por Gustavo Ribeiro; equipe genérica; possível contratação de empresa ligada (pendência 15).</t>
  </si>
  <si>
    <t xml:space="preserve">Definir o titular, a ficha técnica e o parecer sobre partes relacionadas.</t>
  </si>
  <si>
    <t xml:space="preserve">Prefeituras a contatar; Cemig como referência.</t>
  </si>
  <si>
    <t xml:space="preserve">Anuências municipais.</t>
  </si>
  <si>
    <t xml:space="preserve">Teto de R$ 500 mil e distribuição preliminar.</t>
  </si>
  <si>
    <t xml:space="preserve">Planilha SALIC (proposta aqui) e estratégia de captação.</t>
  </si>
  <si>
    <t xml:space="preserve">Há duas versões (SALIC e LEIC) com o mesmo objeto. A versão LEIC repete por erro 'Artigo 18; sujeito à... MinC'.</t>
  </si>
  <si>
    <t xml:space="preserve">Decidir o mecanismo, considerando o P09, e corrigir a versão LEIC.</t>
  </si>
  <si>
    <t xml:space="preserve">Relatórios por cidade, fotos, vídeos, listas, contratos.</t>
  </si>
  <si>
    <t xml:space="preserve">Quais cidades serão atendidas e quantos dias de programação haverá em cada uma?</t>
  </si>
  <si>
    <t xml:space="preserve">BH, Sabará, Ouro Preto, São João del-Rei, Diamantina; 1 edição por cidade, em fim de semana de até 2 dias, com 1 sessão obrigatória do Auto.</t>
  </si>
  <si>
    <t xml:space="preserve">Datas e praças.</t>
  </si>
  <si>
    <t xml:space="preserve">Qual programação artística será realizada: espetáculos, corais, cortejos, oficinas ou apresentações musicais?</t>
  </si>
  <si>
    <t xml:space="preserve">Auto de Natal (5), cantata ou coral local (5), abertura com acionamento da iluminação, feira; folias, pastorinhas e bandas conforme viabilidade. Sem oficinas nem cortejo.</t>
  </si>
  <si>
    <t xml:space="preserve">Confirmar se as atrações complementares serão pagas (se sim, orçar).</t>
  </si>
  <si>
    <t xml:space="preserve">Haverá decoração ou instalações? Como se relacionarão com a proposta artística e qual será seu peso no orçamento?</t>
  </si>
  <si>
    <t xml:space="preserve">Iluminação LED, projetores e elementos cenográficos desmontáveis vinculados à cena; sem árvore monumental nem iluminação da cidade. Peso só por grupos ('tendas, feira e cenografia complementar' R$ 45 mil).</t>
  </si>
  <si>
    <t xml:space="preserve">Peso explícito. Na planilha proposta a ambientação custa R$ 7,5 mil e a cenografia R$ 24,75 mil; a feira sai do orçamento incentivado.</t>
  </si>
  <si>
    <t xml:space="preserve">O que será fornecido pelas prefeituras e parceiros locais, especialmente espaços, infraestrutura e apoio operacional?</t>
  </si>
  <si>
    <t xml:space="preserve">Busca de apoio (energia, limpeza, banheiros, equipamentos) como adicional; o orçamento básico não depende dele.</t>
  </si>
  <si>
    <t xml:space="preserve">Anuências formais com a lista do que cada prefeitura cede (praça, energia, limpeza, banheiros, estrutura da feira).</t>
  </si>
  <si>
    <t xml:space="preserve">Como este projeto se distinguirá do Auto de Natal Mineiro em programação, território, equipe e despesas?</t>
  </si>
  <si>
    <t xml:space="preserve">Os documentos não mencionam o P09. Pelo contrário: o proponente é o mesmo (Arminde) e o produto principal também é a criação e circulação de um Auto de Natal gratuito em praças mineiras no mesmo período (nov–dez/2027), com BH presente nos dois projetos.</t>
  </si>
  <si>
    <t xml:space="preserve">Diferenciação documentada ou fusão. Ver recomendações: território sem sobreposição (só cidades históricas), segmento distinto (ex.: Canto Coral), equipe criativa e cenografia próprias, e declaração cruzada de que não há despesas sobrepostas.</t>
  </si>
  <si>
    <t xml:space="preserve">Fracionamento (art. 32, VII; Anexo I, XXXIII) – comparação com P09</t>
  </si>
  <si>
    <t xml:space="preserve">RISCO ALTO. Mesmo proponente (Arminde) e objetivos praticamente iguais aos do P09 (Auto de Natal gratuito em praças de MG, nov–dez/2027, BH nos dois). Se a Arminde for PJ, a soma de R$ 1,2 mi cabe no limite por projeto, então a definição estrita pode não se configurar. Ainda assim, o MinC pode tratar como duplicidade e glosar custos de criação contados duas vezes. Se o titular passar a ser Gustavo Ribeiro (PF) e ele for dirigente da Arminde, a carteira é a mesma (art. 15, I), e a divisão do Natal em dois projetos de proponentes ligados se encaixa na hipótese de 'proponentes diversos' do Anexo I, XXXIII.</t>
  </si>
  <si>
    <t xml:space="preserve">Limite por projeto e carteira (arts. 10, 11, 15)</t>
  </si>
  <si>
    <t xml:space="preserve">Como PJ, R$ 500 mil está ok. Como PF (Gustavo), R$ 500 mil é exatamente o teto e ocupa toda a carteira PF, impedindo um 2º projeto. O tipo de proponente não está informado.</t>
  </si>
  <si>
    <t xml:space="preserve">Portfólio e CNAE (art. 4º)</t>
  </si>
  <si>
    <t xml:space="preserve">Acima de R$ 200 mil o portfólio é obrigatório; o CNAE precisa ser compatível com Artes Cênicas.</t>
  </si>
  <si>
    <t xml:space="preserve">Partes relacionadas e remuneração do proponente (arts. 23–24)</t>
  </si>
  <si>
    <t xml:space="preserve">Pendência 15 prevê possível contratação da própria Arminde ou de empresa ligada como fornecedora. Isso conta no limite de 20% do proponente (ou 30% para PF) e exige pesquisa de preços. Na planilha, coordenação e produção somam R$ 48 mil (9,6%).</t>
  </si>
  <si>
    <t xml:space="preserve">Custos gastronômicos/comerciais (IN art. 18; art. 33, V)</t>
  </si>
  <si>
    <t xml:space="preserve">Feira com gastronomia retirada do orçamento incentivado. Se for mantida, restringir a artesanato tradicional e sem estrutura de venda paga pelo projeto.</t>
  </si>
  <si>
    <t xml:space="preserve">Proselitismo (art. 32, VI)</t>
  </si>
  <si>
    <t xml:space="preserve">O escopo diz 'sem subordinar a fruição a adesão religiosa'. Manter essa redação e não incluir atos religiosos.</t>
  </si>
  <si>
    <t xml:space="preserve">Bens tombados (Ouro Preto, Diamantina, São João del-Rei, Sabará)</t>
  </si>
  <si>
    <t xml:space="preserve">Instalações reversíveis e autorizações do IPHAN e do órgão municipal antes do protocolo, ou ao menos o protocolo do pedido (pendência 04).</t>
  </si>
  <si>
    <t xml:space="preserve">Bem descrita, mas precisa de orçamento (incluído), do Guia MDHC e de sanitários acessíveis.</t>
  </si>
  <si>
    <t xml:space="preserve">Tudo gratuito; o art. 16 não se aplica (cerca de R$ 100 por espectador estimado).</t>
  </si>
  <si>
    <t xml:space="preserve">Nenhuma medida está firmada; transporte e vídeo aparecem como 'quando viável'. Escolher ao menos uma.</t>
  </si>
  <si>
    <t xml:space="preserve">Não se aplica: as vendas da feira são dos expositores, sem receita ao projeto.</t>
  </si>
  <si>
    <t xml:space="preserve">Cachês (art. 26) e fornecedor ≤ 20% (art. 24)</t>
  </si>
  <si>
    <t xml:space="preserve">Corais a R$ 3.500 por apresentação. Palco, som, luz e gerador somam R$ 65 mil (13% de R$ 500 mil).</t>
  </si>
  <si>
    <t xml:space="preserve">Administração 7,7%, acessibilidade e divulgação 15,5%, captação 10,0% (check OK).</t>
  </si>
  <si>
    <t xml:space="preserve">P11 Festa Junina 2027 – Saberes e Tradições do Forró</t>
  </si>
  <si>
    <t xml:space="preserve">'Festa Junina 2027 – Saberes e Tradições do Forró'; Mobox Produções ('razão social e dados cadastrais a conferir'); Patrimônio Cultural / Salvaguarda do PCI; produto Festival/Festa; Art. 18 pretendido.</t>
  </si>
  <si>
    <t xml:space="preserve">CNPJ e CNAE cultural da Mobox. Definir área e segmento de cada produto secundário (ver enquadramento).</t>
  </si>
  <si>
    <t xml:space="preserve">'Ciclo junino de 2027, com calendário municipal a confirmar'; pré 90–120 dias antes; pós até 60 dias.</t>
  </si>
  <si>
    <t xml:space="preserve">Datas dos 4 fins de semana e das semanas formativas. A captação precisa estar concluída até abril de 2027 para contratar a tempo.</t>
  </si>
  <si>
    <t xml:space="preserve">§2 completo, com quantidades.</t>
  </si>
  <si>
    <t xml:space="preserve">§5: objetivo geral de salvaguarda + 7 específicos, mensurados em §13.</t>
  </si>
  <si>
    <t xml:space="preserve">§4 é sólido: registro Iphan 2021, Plano de Salvaguarda 2024, os 4 eixos, descentralização e benefícios aos detentores.</t>
  </si>
  <si>
    <t xml:space="preserve">Citar art. 1º e art. 3º da Lei 8.313. Mostrar a presença do forró tradicional em cada município escolhido (diagnóstico local – Anexo II 8.1.4).</t>
  </si>
  <si>
    <t xml:space="preserve">§9: Libras em momentos definidos, banheiros acessíveis, comunicação acessível, AD de conteúdos selecionados, formação atitudinal, vistoria das rotas.</t>
  </si>
  <si>
    <t xml:space="preserve">Plano por cidade com quantidades e responsáveis, citando o Guia MDHC (art. 40). Libras em todas as apresentações principais. Medidas para pessoas autistas (áreas de menor estímulo, aviso sonoro). Já orçado na planilha proposta.</t>
  </si>
  <si>
    <t xml:space="preserve">Todas as apresentações, mostras e oficinas são gratuitas (§9).</t>
  </si>
  <si>
    <t xml:space="preserve">Incluir a distribuição de vagas das oficinas com prioridade a escolas públicas (caráter educativo – art. 43, II).</t>
  </si>
  <si>
    <t xml:space="preserve">Ampliação de acesso / contrapartida</t>
  </si>
  <si>
    <t xml:space="preserve">Oficinas gratuitas (art. 42, V), ação com escolas (VI), minidocumentários públicos (III, se tiverem Libras e AD). Não há venda pelo projeto.</t>
  </si>
  <si>
    <t xml:space="preserve">Citar os incisos no formulário e garantir Libras e AD nos vídeos (orçado).</t>
  </si>
  <si>
    <t xml:space="preserve">§14: pré-produção, formação e mobilização, realização, pós-produção.</t>
  </si>
  <si>
    <t xml:space="preserve">§8.1 e §15 trazem as funções (3 curadores, produção executiva, coordenação técnica, acessibilidade, audiovisual).</t>
  </si>
  <si>
    <t xml:space="preserve">Nomes, currículos e cartas de aceite, com experiência junto às comunidades detentoras (Anexo II 8.1.6).</t>
  </si>
  <si>
    <t xml:space="preserve">Conteúdo artístico / proposta curatorial</t>
  </si>
  <si>
    <t xml:space="preserve">§7 traz programação-tipo e critérios curatoriais gerais.</t>
  </si>
  <si>
    <t xml:space="preserve">Proposta curatorial e pré-grade das 16 atrações e 12 quadrilhas (Anexo II 6.7), com critérios de seleção (6.1).</t>
  </si>
  <si>
    <t xml:space="preserve">§10: redução de descartáveis, coleta seletiva, destinação de resíduos da praça de alimentação, contratação local.</t>
  </si>
  <si>
    <t xml:space="preserve">Metas quantitativas (ex.: % de resíduos destinados).</t>
  </si>
  <si>
    <t xml:space="preserve">16 shows, 12 quadrilhas, 12 oficinas de 30 vagas, 4 vídeos de ~5 min, 2.500 pessoas por município.</t>
  </si>
  <si>
    <t xml:space="preserve">Carga horária e conteúdo programático das oficinas (Anexo II 7.3) e duração das apresentações.</t>
  </si>
  <si>
    <t xml:space="preserve">§8: metodologia de salvaguarda pelos 4 eixos do Iphan, curadoria participativa, mapeamento e registro.</t>
  </si>
  <si>
    <t xml:space="preserve">4 municípios preliminares (alternativa Matozinhos); praça ou parque a pactuar.</t>
  </si>
  <si>
    <t xml:space="preserve">Locais e substitutos com cartas das prefeituras (checklist 06–07).</t>
  </si>
  <si>
    <t xml:space="preserve">10.000 pessoas (2.500 por município); 360 vagas; vídeos gratuitos.</t>
  </si>
  <si>
    <t xml:space="preserve">Distribuir o público por produto (shows, quadrilhas, oficinas, vídeos) no formato SALIC.</t>
  </si>
  <si>
    <t xml:space="preserve">§12: identidade do circuito, redes, mídia local, escolas e prefeituras; o orçamento seria de um 'pacote próprio'.</t>
  </si>
  <si>
    <t xml:space="preserve">Quantidades de peças e mídias, cronograma e aplicação das marcas (art. 21).</t>
  </si>
  <si>
    <t xml:space="preserve">§16: 'planilha financeira será preparada por setor específico'.</t>
  </si>
  <si>
    <t xml:space="preserve">Adotar a planilha proposta (R$ 800.000; check OK) e confirmar com cotações.</t>
  </si>
  <si>
    <t xml:space="preserve">Rouanet, captação sem patrocinador definido; vendas das barracas ficam com os expositores.</t>
  </si>
  <si>
    <t xml:space="preserve">Declarar se haverá aporte municipal (estrutura, energia) como outra fonte não financeira e se haverá taxa de ocupação de barracas (receita).</t>
  </si>
  <si>
    <t xml:space="preserve">§16 lista os documentos patrimoniais exigidos, mas nenhum está pronto (checklist 01–05 e 18).</t>
  </si>
  <si>
    <t xml:space="preserve">PJ: CNPJ, contrato social, ata, documento do dirigente e portfólio. Patrimônio: 8.1.1–8.1.6 (identificação, registro Iphan, ANUÊNCIA DOS DETENTORES, relatório, justificativa, ficha técnica) e 8.8.1–8.8.3. Festival: 6.1–6.4 e 6.7. Oficinas: 7.1 e 7.3. Educação patrimonial: 8.2.1 (Portaria Iphan 137/2016).</t>
  </si>
  <si>
    <t xml:space="preserve">§13: tabela de metas com comprovação.</t>
  </si>
  <si>
    <t xml:space="preserve">Incluir metas de acessibilidade e de beneficiários detentores remunerados.</t>
  </si>
  <si>
    <t xml:space="preserve">Salvaguarda e transmissão das Matrizes do Forró (§5.1).</t>
  </si>
  <si>
    <t xml:space="preserve">Circuito de 4 festas + 12 oficinas + 4 vídeos + mapeamento.</t>
  </si>
  <si>
    <t xml:space="preserve">4 municípios preliminares.</t>
  </si>
  <si>
    <t xml:space="preserve">Confirmar municípios e espaços.</t>
  </si>
  <si>
    <t xml:space="preserve">10 mil pessoas, 360 vagas, escolas e comunidades.</t>
  </si>
  <si>
    <t xml:space="preserve">4 fins de semana em junho e/ou julho de 2027.</t>
  </si>
  <si>
    <t xml:space="preserve">Gratuidade total, quadrilhas escolares, curadoria com detentores.</t>
  </si>
  <si>
    <t xml:space="preserve">Mobox; equipe por funções.</t>
  </si>
  <si>
    <t xml:space="preserve">Cadastro, portfólio e ficha técnica nominal.</t>
  </si>
  <si>
    <t xml:space="preserve">Prefeituras, escolas, grupos, Iphan-MG 'quando possível'; prospects Coca-Cola FEMSA/Fanta, Hexagon, Blip, Minas Shopping.</t>
  </si>
  <si>
    <t xml:space="preserve">Cartas das prefeituras e anuência dos detentores. Confirmar se os prospects apuram pelo lucro real.</t>
  </si>
  <si>
    <t xml:space="preserve">Teto de R$ 800 mil e prioridades de alocação.</t>
  </si>
  <si>
    <t xml:space="preserve">Planilha (proposta aqui) e cotações.</t>
  </si>
  <si>
    <t xml:space="preserve">Lei Rouanet com Art. 18 pretendido.</t>
  </si>
  <si>
    <t xml:space="preserve">§13: listas de presença, contratos, relatórios, links.</t>
  </si>
  <si>
    <t xml:space="preserve">Em qual município e espaço acontecerá, em quais datas e durante quantos dias?</t>
  </si>
  <si>
    <t xml:space="preserve">4 municípios (Sete Lagoas, Paraopeba, Esmeraldas, Pedro Leopoldo – preliminares), em praça ou parque a pactuar. Sábado tarde/noite e domingo manhã/tarde em junho e/ou julho de 2027, com semana formativa anterior.</t>
  </si>
  <si>
    <t xml:space="preserve">Espaços e datas confirmados.</t>
  </si>
  <si>
    <t xml:space="preserve">Qual será a programação cultural e quantas quadrilhas, grupos musicais e manifestações tradicionais participarão?</t>
  </si>
  <si>
    <t xml:space="preserve">16 apresentações musicais (4 por município), 12 de quadrilhas (3 por município), 12 oficinas, mediação e painéis educativos.</t>
  </si>
  <si>
    <t xml:space="preserve">Pré-grade e retirada do 'sertanejo raiz'.</t>
  </si>
  <si>
    <t xml:space="preserve">Como serão selecionados os grupos e qual espaço será destinado aos artistas e agentes culturais locais?</t>
  </si>
  <si>
    <t xml:space="preserve">Curadoria participativa de 3 profissionais, prioridade a artistas mineiros e a grupos e mestres populares, 2 quadrilhas locais por município, mapeamento consultivo.</t>
  </si>
  <si>
    <t xml:space="preserve">Critérios escritos de seleção, convite ou chamamento (Anexo II 6.1) e cota mínima de artistas de cada município.</t>
  </si>
  <si>
    <t xml:space="preserve">Haverá cobrança de ingresso, exploração de barracas ou outras receitas? Quem administrará essas operações?</t>
  </si>
  <si>
    <t xml:space="preserve">Sem ingresso. Barracas ocupadas por empreendedores locais com venda direta, sem repasse ao projeto. A seleção é da produção local com o município; eventuais taxas de ocupação estão em análise jurídica.</t>
  </si>
  <si>
    <t xml:space="preserve">Decisão sobre taxas. Recomenda-se não cobrar; se houver cobrança, informar como receita do projeto (art. 41, §4º) e manter fora da planilha.</t>
  </si>
  <si>
    <t xml:space="preserve">Além das apresentações, haverá oficinas ou ações de transmissão das tradições juninas? Quais estruturas serão necessárias para receber o público previsto?</t>
  </si>
  <si>
    <t xml:space="preserve">3 oficinas por município (ornamentação, dança de forró, culinária), 30 vagas cada; estrutura de palco, som, luz, tendas, banheiros incluindo acessíveis, segurança, brigadistas, APH, gerador, gradil, limpeza (§11).</t>
  </si>
  <si>
    <t xml:space="preserve">Planos de aula com carga horária e dimensionamento após vistoria.</t>
  </si>
  <si>
    <t xml:space="preserve">Limite por projeto e carteira PJ (arts. 10, 11, 13)</t>
  </si>
  <si>
    <t xml:space="preserve">R$ 800 mil, abaixo de R$ 1,5 mi (festas podem chegar a R$ 15 mi). Carteira Mobox: P04 (R$ 900 mil) + P11 = R$ 1,7 mi em 2 de 10 projetos. Se aceito como patrimônio, fica fora dos limites (art. 14).</t>
  </si>
  <si>
    <t xml:space="preserve">CNAE e portfólio (art. 4º)</t>
  </si>
  <si>
    <t xml:space="preserve">Confirmar CNAE cultural compatível (ex.: 9001-9/02 ou 9001-9/99; 8230-0/01 'organização de feiras e festas' pode não ser aceito sozinho). Portfólio obrigatório, sem alegar edições anteriores desta festa.</t>
  </si>
  <si>
    <t xml:space="preserve">Enquadramento de festa (art. 46, parágrafo único)</t>
  </si>
  <si>
    <t xml:space="preserve">Art. 18 depende do segmento do secundário de maior valor (apresentações de forró, R$ 158,2 mil). Cadastrar como Salvaguarda do PCI ou Música Regional, nunca Popular Cantada, e retirar o sertanejo raiz.</t>
  </si>
  <si>
    <t xml:space="preserve">Documentos de patrimônio imaterial (Anexo II, 8.1 e 8.8)</t>
  </si>
  <si>
    <t xml:space="preserve">CRÍTICO. Anuência da comunidade detentora, relatório do bem e comprovante de registro são obrigatórios para Patrimônio, e nenhum foi obtido ainda (checklist 03–04).</t>
  </si>
  <si>
    <t xml:space="preserve">Barracas e vendas fora da planilha. Insumos de culinária só para demonstração na oficina.</t>
  </si>
  <si>
    <t xml:space="preserve">Receitas (art. 41, §4º)</t>
  </si>
  <si>
    <t xml:space="preserve">Se houver taxa de ocupação de barracas, é receita do projeto e deve ser declarada. Recomenda-se não cobrar.</t>
  </si>
  <si>
    <t xml:space="preserve">Nenhum outro projeto do portfólio tem objeto semelhante (P05 é congado de outro proponente; P12 é carnaval).</t>
  </si>
  <si>
    <t xml:space="preserve">Diretrizes boas; falta plano por cidade com Guia MDHC. A planilha inclui Libras em 8 dias, AD, monitores, rampas e vídeos acessíveis.</t>
  </si>
  <si>
    <t xml:space="preserve">Democratização, ampliação e contrapartida (arts. 41, 42, 44)</t>
  </si>
  <si>
    <t xml:space="preserve">Tudo gratuito; ampliação pelos incisos V, VI e III. A contrapartida do art. 44 não se aplica.</t>
  </si>
  <si>
    <t xml:space="preserve">Maior cachê R$ 7 mil (grupo). Palco, som, luz, gerador e tendas somam R$ 81 mil (~10%).</t>
  </si>
  <si>
    <t xml:space="preserve">Direitos autorais / ECAD (arts. 27, 29) e menores</t>
  </si>
  <si>
    <t xml:space="preserve">Repertório de forró com obras protegidas: ECAD orçado (R$ 8 mil) e licenças de sincronização nos minidocumentários. Autorização dos responsáveis por crianças e adolescentes das quadrilhas e oficinas.</t>
  </si>
  <si>
    <t xml:space="preserve">Patrocínio (art. 33, IV; art. 21)</t>
  </si>
  <si>
    <t xml:space="preserve">Coca-Cola FEMSA/Fanta só como contrapartida de marca; não vincular a exclusividade de venda nas barracas ao incentivo e não prestar serviços ao patrocinador. Confirmar se Hexagon e Blip podem deduzir (lucro real).</t>
  </si>
  <si>
    <t xml:space="preserve">Administração 5,9%, acessibilidade e divulgação 13,7%, captação 10,0% (check OK).</t>
  </si>
  <si>
    <t xml:space="preserve">P12 Bloco do Nerd / Carnaval (Bloco Nerd)</t>
  </si>
  <si>
    <t xml:space="preserve">'Bloco Nerd – Carnaval 2027'; proponente 'a definir formalmente: Túlio dos Santos Gama (PF, se elegível) ou Morsa Produções Ltda.'; área Música (proposta LEIC).</t>
  </si>
  <si>
    <t xml:space="preserve">Definir o titular. Para a Rouanet, área Artes Cênicas / Desfiles festivos e pedido expresso de Art. 18. Ajustar o título à edição real (provavelmente Carnaval 2028).</t>
  </si>
  <si>
    <t xml:space="preserve">Cenário 2027 'condicionado à captação' e plano alternativo 2028 (§11).</t>
  </si>
  <si>
    <t xml:space="preserve">Na Rouanet, o Carnaval 2027 (9/02/2027) é inviável: a submissão vai até 31/10/2026 e ainda há admissibilidade, autorização de captação e contratações. Fixar o Carnaval 2028 (26–29/02/2028): pré-produção out/2027–jan/2028, oficinas e ensaios jan–fev/2028, pós-produção mar/2028.</t>
  </si>
  <si>
    <t xml:space="preserve">§1 e §2 descrevem cortejo, oficinas, ensaios, lançamento, seletiva e registro.</t>
  </si>
  <si>
    <t xml:space="preserve">Reescrever com a linguagem de desfile festivo (Rouanet).</t>
  </si>
  <si>
    <t xml:space="preserve">§4: objetivo geral + 6 específicos com quantidades (3 h, 500–1.000 pessoas, 4 oficinas, 80–120 vagas, 2 ensaios).</t>
  </si>
  <si>
    <t xml:space="preserve">§3: Carnaval de BH como encontro de linguagens, público geek, caráter colaborativo, profissionais locais.</t>
  </si>
  <si>
    <t xml:space="preserve">Citar art. 1º e 3º da Lei 8.313 e dados do Carnaval de BH (Belotur), e reforçar a relação com a tradição dos blocos (definição de desfile festivo).</t>
  </si>
  <si>
    <t xml:space="preserve">§7 diz 'recomenda-se' Libras no lançamento e nas oficinas, informação sobre ruído, áreas seguras; 'medidas finais dependerão de avaliação técnica'.</t>
  </si>
  <si>
    <t xml:space="preserve">Transformar as recomendações em compromissos: Libras no cortejo e nos ensaios, AD, monitores PcD, área segura de observação, kit sensorial, divulgação acessível, Guia MDHC (orçado na planilha proposta).</t>
  </si>
  <si>
    <t xml:space="preserve">Cortejo e oficinas gratuitos (§7).</t>
  </si>
  <si>
    <t xml:space="preserve">Prioridade de vagas para escolas públicas e periferias (art. 43).</t>
  </si>
  <si>
    <t xml:space="preserve">Ensaios abertos e oficinas gratuitas (art. 42, V), público jovem (VI). Sem venda, então o art. 44 não se aplica.</t>
  </si>
  <si>
    <t xml:space="preserve">Citar os incisos e oferecer o aftermovie com Libras e legendas.</t>
  </si>
  <si>
    <t xml:space="preserve">§11: pré-produção, formação, ensaios e lançamento, cortejo, pós-produção.</t>
  </si>
  <si>
    <t xml:space="preserve">Atualizar para o calendário 2028.</t>
  </si>
  <si>
    <t xml:space="preserve">§8: funções e ~10 músicos; §13 traz histórico público de Túlio (Nerd Experience, MICBR/Morsa).</t>
  </si>
  <si>
    <t xml:space="preserve">Nomes e currículos do mestre de bateria, oficineiros, produção e acessibilidade, e currículo documentado de Túlio (pendência 7).</t>
  </si>
  <si>
    <t xml:space="preserve">Conteúdo artístico</t>
  </si>
  <si>
    <t xml:space="preserve">Conceito: temas pop em ritmos de Carnaval, cosplays e fantasias (§2).</t>
  </si>
  <si>
    <t xml:space="preserve">Lista do repertório (10–12 temas) com titulares de direitos e o conceito cênico do desfile.</t>
  </si>
  <si>
    <t xml:space="preserve">§7: materiais reaproveitáveis, redução de descartáveis, plano de resíduos.</t>
  </si>
  <si>
    <t xml:space="preserve">Quantificar no plano de resíduos (pendência 12).</t>
  </si>
  <si>
    <t xml:space="preserve">3 h, 500–1.000 foliões, trio pequeno, 8–15 músicos, oficinas de 20–30 vagas.</t>
  </si>
  <si>
    <t xml:space="preserve">Carga horária das oficinas, extensão do percurso, porte do trio e dimensão da corda.</t>
  </si>
  <si>
    <t xml:space="preserve">§5 (metodologia formativa) e §6 (organização espacial e segurança).</t>
  </si>
  <si>
    <t xml:space="preserve">Local</t>
  </si>
  <si>
    <t xml:space="preserve">BH, bairros preferidos; percurso não homologado; oficinas no CC Padre Eustáquio ou CRJ dependem de anuência.</t>
  </si>
  <si>
    <t xml:space="preserve">Percurso protocolado na PBH/Belotur e anuência dos locais das oficinas.</t>
  </si>
  <si>
    <t xml:space="preserve">Público de 500–1.000 no cortejo; 80–120 vagas.</t>
  </si>
  <si>
    <t xml:space="preserve">Quantificar por produto (desfile, ensaios, oficinas, vídeo) no SALIC.</t>
  </si>
  <si>
    <t xml:space="preserve">§9: identidade, peças digitais, estandarte, bandeiras, abadás, aftermovie nas redes do projeto e do Nerd Experience.</t>
  </si>
  <si>
    <t xml:space="preserve">Quantidades e cronograma. Publicar o aftermovie nos canais do projeto, com a marca NXP só como apoio (ver conformidade).</t>
  </si>
  <si>
    <t xml:space="preserve">Orçamento gerencial da LEIC (§12), sem custos vinculados Rouanet nem cotações.</t>
  </si>
  <si>
    <t xml:space="preserve">Adotar a planilha Rouanet proposta (R$ 250.000; check OK) e cotar trio, corda e segurança (3 orçamentos cada).</t>
  </si>
  <si>
    <t xml:space="preserve">Só LEIC, sem contrapartida própria.</t>
  </si>
  <si>
    <t xml:space="preserve">Definir o mecanismo do P12 (Rouanet ou LEIC) frente ao P07, sem duplo custeio.</t>
  </si>
  <si>
    <t xml:space="preserve">Pendências 1 e 7: titularidade e portfólio por fechar.</t>
  </si>
  <si>
    <t xml:space="preserve">PF: documento de identidade/CPF. Portfólio obrigatório (&gt; R$ 200 mil). Currículos. Minuta do regulamento da seletiva com premiação (6.8). Beneficiários e forma de seleção das oficinas (7.1) e plano com carga horária (7.3).</t>
  </si>
  <si>
    <t xml:space="preserve">Tabela de produtos com indicadores (§5); modelo de relatório pendente (pendência 12).</t>
  </si>
  <si>
    <t xml:space="preserve">Meios de verificação por meta (listas, fotos, contagem de público, links).</t>
  </si>
  <si>
    <t xml:space="preserve">Ocupação cultural gratuita do Carnaval de BH pela cultura pop (§2–4).</t>
  </si>
  <si>
    <t xml:space="preserve">1 cortejo de ~3 h.</t>
  </si>
  <si>
    <t xml:space="preserve">BH, bairros preferidos, percurso não definido.</t>
  </si>
  <si>
    <t xml:space="preserve">Percurso.</t>
  </si>
  <si>
    <t xml:space="preserve">500–1.000 foliões; jovens e comunidades geek e periféricas.</t>
  </si>
  <si>
    <t xml:space="preserve">Carnaval 2027 ou 2028, indefinido.</t>
  </si>
  <si>
    <t xml:space="preserve">Fixar 2028 se for à Rouanet.</t>
  </si>
  <si>
    <t xml:space="preserve">Gratuito, oficinas, ensaios abertos, seletiva participativa.</t>
  </si>
  <si>
    <t xml:space="preserve">Titular indefinido (PF ou Morsa); equipe por funções.</t>
  </si>
  <si>
    <t xml:space="preserve">Decisão formal e currículos.</t>
  </si>
  <si>
    <t xml:space="preserve">Belotur, PBH, CC Padre Eustáquio, CRJ a articular; Nerd Experience.</t>
  </si>
  <si>
    <t xml:space="preserve">Gerencial de R$ 250 mil (LEIC).</t>
  </si>
  <si>
    <t xml:space="preserve">Planilha Rouanet (proposta aqui).</t>
  </si>
  <si>
    <t xml:space="preserve">Escrito para LEIC (Categoria 1 do IFC). A planilha do cliente diz que só um dos dois projetos do Túlio vai à Rouanet.</t>
  </si>
  <si>
    <t xml:space="preserve">Decidir entre P07 e P12 para a Rouanet.</t>
  </si>
  <si>
    <t xml:space="preserve">Registros e aftermovie previstos; relatório pendente.</t>
  </si>
  <si>
    <t xml:space="preserve">Modelo de relatório e métricas.</t>
  </si>
  <si>
    <t xml:space="preserve">O projeto será um bloco de rua, um cortejo, um baile ou uma programação em espaço fixo? Em qual edição do Carnaval?</t>
  </si>
  <si>
    <t xml:space="preserve">Cortejo de rua com trio elétrico de pequeno porte, ~3 h, no Carnaval ou pré-Carnaval de 2027 (alternativa 2028). Sem palco, feira ou arena.</t>
  </si>
  <si>
    <t xml:space="preserve">Para a Rouanet, fixar a edição de 2028.</t>
  </si>
  <si>
    <t xml:space="preserve">Qual será o conceito artístico e como a cultura nerd aparecerá no repertório, no figurino e na apresentação?</t>
  </si>
  <si>
    <t xml:space="preserve">Temas de games, cinema, animação e séries arranjados em marchinha, samba, axé, frevo e funk; foliões com fantasias e cosplays; estandartes, bandeiras e abadás; eventual presença de personagens do universo Nerd Experience.</t>
  </si>
  <si>
    <t xml:space="preserve">Concepção cênica do desfile e lista de temas.</t>
  </si>
  <si>
    <t xml:space="preserve">Haverá bateria própria, banda, músicos contratados ou formação de participantes por meio de oficinas e ensaios?</t>
  </si>
  <si>
    <t xml:space="preserve">Bateria de ~10 instrumentistas contratados (8–15), 2 oficinas de percussão com participação facultativa no cortejo, até 2 ensaios abertos; o texto admite 'reprodução de faixas'.</t>
  </si>
  <si>
    <t xml:space="preserve">Eliminar o playback (risco autoral e de enquadramento) e definir o mestre de bateria.</t>
  </si>
  <si>
    <t xml:space="preserve">Qual será o percurso ou local, a duração e a estimativa de público? Quais articulações serão necessárias para sua realização?</t>
  </si>
  <si>
    <t xml:space="preserve">Barro Preto, Prado ou Barroca (alternativas Centro, Savassi, entorno do Minas Shopping); 1–2 vias; ~3 h; 500–1.000 pessoas; articulação com Belotur, PBH, trânsito e segurança.</t>
  </si>
  <si>
    <t xml:space="preserve">Percurso definido e protocolado (pendência 4).</t>
  </si>
  <si>
    <t xml:space="preserve">Quais músicas, personagens e elementos visuais serão utilizados e que autorizações ou licenças precisam ser verificadas?</t>
  </si>
  <si>
    <t xml:space="preserve">Músicas, fonogramas, arranjos, sincronização no aftermovie, nome 'Bloco Nerd' (há outro bloco com nome igual: Unidos da Estrela da Morte) e personagens (Dr. Pat) aparecem como pendência crítica.</t>
  </si>
  <si>
    <t xml:space="preserve">Inventário de obras com titulares, plano de licenças e ECAD, consulta de nome/marca (INPI) e autorização de uso dos personagens.</t>
  </si>
  <si>
    <t xml:space="preserve">Carteira PF (art. 10, I) – Túlio Gama com P07 (R$ 500 mil) + P12 (R$ 250 mil)</t>
  </si>
  <si>
    <t xml:space="preserve">Os dois juntos na Rouanet somam R$ 750 mil e estouram a carteira PF de R$ 500 mil. Só um pode ir à Rouanet, como a própria planilha do cliente indica. O P07 sozinho já ocupa toda a carteira PF. A pasta do P08 também está em nome de Túlio: confirmar que ele não é proponente do P08.</t>
  </si>
  <si>
    <t xml:space="preserve">Mesma carteira PF + PJ (art. 15, I) – Morsa Produções</t>
  </si>
  <si>
    <t xml:space="preserve">Se Túlio for sócio ou dirigente da Morsa (proponente do P06, R$ 750 mil), PF e Morsa formam uma só carteira e vale o limite de PJ. Isso pode mudar o cálculo, mas cada projeto PF continua com teto de R$ 500 mil. Se o titular do P12 for a Morsa, o CNAE principal 'edição de jornais' não é compatível com Artes Cênicas (art. 4º, §3º). Confirmar com o jurídico antes de decidir.</t>
  </si>
  <si>
    <t xml:space="preserve">Prazo de submissão e execução (art. 5º)</t>
  </si>
  <si>
    <t xml:space="preserve">Carnaval 2027 inviável na Rouanet. Para Carnaval 2028, o projeto pode até ser submetido na janela de fev–out/2027, o que também separa o calendário do P07.</t>
  </si>
  <si>
    <t xml:space="preserve">Portfólio (art. 4º, §§4º–5º)</t>
  </si>
  <si>
    <t xml:space="preserve">R$ 250 mil &gt; R$ 200 mil, então o portfólio é obrigatório. Registros da ação anterior ainda não foram reunidos (pendência 7).</t>
  </si>
  <si>
    <t xml:space="preserve">Sem projeto semelhante no portfólio. O P11 (festa junina) tem outro objeto e outro proponente.</t>
  </si>
  <si>
    <t xml:space="preserve">Direitos autorais e conexos (arts. 27, 29) e nome/marca</t>
  </si>
  <si>
    <t xml:space="preserve">Temas de games, filmes e animes são obras protegidas, muitas com editoras estrangeiras: licenças de arranjo (R$ 3 mil orçados, ≤10%) e ECAD. Eliminar playback de fonogramas. Há conflito potencial com o nome 'Bloco Nerd' de outro bloco.</t>
  </si>
  <si>
    <t xml:space="preserve">Vantagem a marca comercial (art. 33, V; art. 19, §3º)</t>
  </si>
  <si>
    <t xml:space="preserve">Personagens e canais do Nerd Experience (evento comercial ligado ao proponente) não podem ser promovidos com recurso incentivado. Usar marca e canais do projeto e citar o NXP apenas como apoio, com as marcas obrigatórias (art. 21).</t>
  </si>
  <si>
    <t xml:space="preserve">Concurso com premiação (Anexo II, 6.8)</t>
  </si>
  <si>
    <t xml:space="preserve">A seletiva cosplay exige minuta de regulamento com critérios e premiação. A planilha prevê prêmio não pecuniário (R$ 1 mil).</t>
  </si>
  <si>
    <t xml:space="preserve">Medidas só 'recomendadas'. A planilha propõe Libras, AD, monitores, kit sensorial e acessibilidade do vídeo (15,8% em acessibilidade e divulgação).</t>
  </si>
  <si>
    <t xml:space="preserve">Democratização, ampliação, contrapartida (arts. 41, 42, 44) e custo por beneficiário (art. 16)</t>
  </si>
  <si>
    <t xml:space="preserve">Gratuito; ampliação pelos incisos V e VI; art. 44 e art. 16 não se aplicam.</t>
  </si>
  <si>
    <t xml:space="preserve">Remuneração do proponente PF (art. 23, §2º, II), fornecedor ≤ 20% (art. 24) e cachês (art. 26)</t>
  </si>
  <si>
    <t xml:space="preserve">Túlio recebe R$ 21 mil (8,4%, limite de 30%). Trio custa R$ 17 mil (6,8%). Maior cachê individual: R$ 1.500.</t>
  </si>
  <si>
    <t xml:space="preserve">Menores (oficinas 12–17 anos; seletiva)</t>
  </si>
  <si>
    <t xml:space="preserve">Autorização dos responsáveis e termos de imagem (pendência 9).</t>
  </si>
  <si>
    <t xml:space="preserve">Administração 6,0%, acessibilidade e divulgação 15,8%, captação 10,0% (check OK).</t>
  </si>
  <si>
    <t xml:space="preserve">P13 Skate e Arte Urbana (Circuito Skate &amp; Rua)</t>
  </si>
  <si>
    <t xml:space="preserve">Identificação: nome; proponente (PF/PJ, CNPJ/CNAE cultural); área e segmento; enquadramento solicitado (Art. 18)</t>
  </si>
  <si>
    <t xml:space="preserve">Título 'Circuito Skate &amp; Rua'; proponente 'ESIP' sem CNPJ/razão social/CNAE; mecanismo indicado é a LIE (nível 'Esporte para Toda a Vida', destinação 'Evento esportivo').</t>
  </si>
  <si>
    <t xml:space="preserve">Confirmar CNPJ e CNAE cultural da ESIP compatível com Artes Visuais/Artes Cênicas; indicar área 'Artes Visuais', segmento 'Empreend Ações Educ-Cult/Capacitação/Treinamento' e solicitar Art. 18; retitular para explicitar a arte urbana (ex.: 'Skate &amp; Rua – Arte Urbana nas Pistas').</t>
  </si>
  <si>
    <t xml:space="preserve">Período de execução (datas) e prazo de captação</t>
  </si>
  <si>
    <t xml:space="preserve">Cronograma indicativo maio–novembro/2027 por mês (pré, 4 etapas jun–set, final out, pós nov).</t>
  </si>
  <si>
    <t xml:space="preserve">Datas exatas por município, datas-reserva de chuva e prazo de captação; ajustar ao novo desenho cultural.</t>
  </si>
  <si>
    <t xml:space="preserve">Resumo existe, mas descreve circuito competitivo de skate com 'predominância esportiva'.</t>
  </si>
  <si>
    <t xml:space="preserve">Reescrever o resumo com o objeto cultural (formação em grafite e breaking, murais coletivos, dias abertos de cultura hip-hop), citando o skate apenas como contexto territorial.</t>
  </si>
  <si>
    <t xml:space="preserve">Objetivos mensuráveis porém esportivos (280 inscrições, 56 classificados, 80 vagas de iniciação ao skate); a cultura urbana aparece em 1 objetivo, condicionada à 'compatibilidade orçamentária'.</t>
  </si>
  <si>
    <t xml:space="preserve">Objetivos culturais mensuráveis: 160 vagas de formação (80 grafite/20 h; 80 breaking/12 h), 4 murais (~200 m²), 4 batalhas/dias abertos, público de ~1.400 pessoas, vídeo acessível.</t>
  </si>
  <si>
    <t xml:space="preserve">Justificativa (art. 1º e art. 3º da Lei 8.313/91; relevância; dados)</t>
  </si>
  <si>
    <t xml:space="preserve">Justificativa centrada em acesso ao skate, ocupação de pistas e inclusão social pelo esporte.</t>
  </si>
  <si>
    <t xml:space="preserve">Justificativa cultural: cultura hip-hop/arte urbana como expressão periférica (IN 29, Anexo I, LVII), aderência ao art. 1º e a um objetivo do art. 3º da Lei 8.313/91 (ex.: estímulo à formação e à difusão), dados sobre oferta de formação em arte urbana na RMBH.</t>
  </si>
  <si>
    <t xml:space="preserve">Acessibilidade (arquitetônica, comunicacional/conteúdo, divulgação acessível; Guia MDHC)</t>
  </si>
  <si>
    <t xml:space="preserve">Libras em cerimônias, formulários em linguagem clara, vistoria de rotas, acolhimento PcD.</t>
  </si>
  <si>
    <t xml:space="preserve">Audiodescrição (murais e evento), consultor de acessibilidade, rampas/piso modular, monitores PcD, divulgação acessível e referência expressa ao Guia de Acessibilidade do MDHC; acessibilidade arquitetônica por pista.</t>
  </si>
  <si>
    <t xml:space="preserve">Democratização de acesso (gratuidade/preços; distribuição; art. 41)</t>
  </si>
  <si>
    <t xml:space="preserve">Programação 100% gratuita: inscrições, oficinas e acesso do público.</t>
  </si>
  <si>
    <t xml:space="preserve">Registrar no SALIC a distribuição gratuita por produto (sem venda de ingressos).</t>
  </si>
  <si>
    <t xml:space="preserve">Oficinas gratuitas e foco em jovens existem, mas não estão declaradas como medidas do art. 42. Sem venda, não há contrapartida do art. 44.</t>
  </si>
  <si>
    <t xml:space="preserve">Declarar ao menos: atividades paralelas gratuitas (oficinas), ação para crianças/adolescentes/jovens e registro audiovisual na internet com Libras e audiodescrição.</t>
  </si>
  <si>
    <t xml:space="preserve">Etapas de trabalho (pré, produção, pós)</t>
  </si>
  <si>
    <t xml:space="preserve">5 fases descritas (pré-produção, mobilização, etapas, final, pós).</t>
  </si>
  <si>
    <t xml:space="preserve">Reescrever as etapas com as atividades culturais (curadoria, oficinas, criação dos murais, dias abertos, vídeo-memória).</t>
  </si>
  <si>
    <t xml:space="preserve">Ficha técnica (funções principais e nomes/currículos)</t>
  </si>
  <si>
    <t xml:space="preserve">Apenas núcleos de funções (gestão, esportivo, evento, saúde, acessibilidade, comunicação, cultura urbana); nenhum nome.</t>
  </si>
  <si>
    <t xml:space="preserve">Nomes e currículos de coordenação, curadoria de arte urbana, muralistas, arte-educadores de grafite e breaking, DJ/MC e grupo de breaking.</t>
  </si>
  <si>
    <t xml:space="preserve">Programação cultural só listada (breaking, grafite, DJ/MC, show de rap) 'conforme disponibilidade orçamentária'.</t>
  </si>
  <si>
    <t xml:space="preserve">Descrever conteúdo das oficinas, conceito/temas dos murais (construídos com as comunidades), formato das batalhas e das apresentações.</t>
  </si>
  <si>
    <t xml:space="preserve">Plano de limpeza e lixeiras (pendência 20 do checklist).</t>
  </si>
  <si>
    <t xml:space="preserve">Tintas base água, coleta e destinação de latas de spray, redução de descartáveis, entrega das pistas limpas.</t>
  </si>
  <si>
    <t xml:space="preserve">Especificações esportivas (7 categorias, 70 inscrições/etapa, 80 vagas de iniciação).</t>
  </si>
  <si>
    <t xml:space="preserve">Especificar carga horária e vagas das oficinas, m² e técnica de cada mural, duração dos dias abertos e do vídeo.</t>
  </si>
  <si>
    <t xml:space="preserve">Metodologia operacional do circuito esportivo bem detalhada.</t>
  </si>
  <si>
    <t xml:space="preserve">Metodologia pedagógica e curatorial da arte urbana (seleção pública de artistas locais, criação coletiva dos murais).</t>
  </si>
  <si>
    <t xml:space="preserve">BH, Contagem, Ibirité e Santa Luzia; pistas candidatas (Viaduto Santa Tereza, Barreiro, CSU Eldorado, Vila Ideal, Street Park Juventude) sem anuência.</t>
  </si>
  <si>
    <t xml:space="preserve">Anuência dos gestores de cada pista com autorização expressa de pintura mural permanente; endereços e plano B.</t>
  </si>
  <si>
    <t xml:space="preserve">Plano de distribuição (público por produto, gratuidade, preços)</t>
  </si>
  <si>
    <t xml:space="preserve">Público estimado ~1.900 participações (350/etapa + 500 na final); tudo gratuito.</t>
  </si>
  <si>
    <t xml:space="preserve">Plano de distribuição por produto (oficinas: 160 vagas; dias abertos: ~350 por município), sem dupla contagem.</t>
  </si>
  <si>
    <t xml:space="preserve">Diretrizes genéricas (redes, coletivos, escolas); marcas do incentivo esportivo.</t>
  </si>
  <si>
    <t xml:space="preserve">Peças, quantidades e calendário; aplicação das marcas do Pronac/MinC conforme Manual de Marcas.</t>
  </si>
  <si>
    <t xml:space="preserve">Só eixos de custo sem valores; 'atividade esportiva' é o 'núcleo prioritário'.</t>
  </si>
  <si>
    <t xml:space="preserve">Planilha analítica SALIC (proposta neste parecer) sem itens esportivos.</t>
  </si>
  <si>
    <t xml:space="preserve">Fontes de recursos (incentivo + outras fontes)</t>
  </si>
  <si>
    <t xml:space="preserve">Menciona 'parcerias, recursos próprios ou fontes complementares' para as ações culturais.</t>
  </si>
  <si>
    <t xml:space="preserve">Declarar fontes; se houver versão LIE do circuito esportivo, informar e segregar despesas (nenhum item pago por duas fontes).</t>
  </si>
  <si>
    <t xml:space="preserve">Nenhum documento reunido (estatuto, CNPJ, ata, certidões, portfólio pendentes).</t>
  </si>
  <si>
    <t xml:space="preserve">Documentos PJ (CNPJ c/ CNAE cultural, estatuto, ata, RG/CPF do dirigente), portfólio cultural da ESIP, currículos (Anexo II 3.1/4.1), projeto pedagógico com carga horária e conteúdo (7.2/7.3), anuências das pistas.</t>
  </si>
  <si>
    <t xml:space="preserve">Metas e verificadores definidos, porém esportivos (súmulas, classificados).</t>
  </si>
  <si>
    <t xml:space="preserve">Metas culturais: nº de concluintes por oficina (listas de presença), murais entregues (fotos antes/depois), público dos dias abertos, vídeo publicado com acessibilidade.</t>
  </si>
  <si>
    <t xml:space="preserve">Propósito declarado: democratizar o skate e ocupar pistas públicas.</t>
  </si>
  <si>
    <t xml:space="preserve">Redefinir o propósito como cultural (formação e difusão da arte urbana/hip-hop nas pistas).</t>
  </si>
  <si>
    <t xml:space="preserve">Entrega principal = circuito competitivo de skate; cultura urbana 'complementar'.</t>
  </si>
  <si>
    <t xml:space="preserve">Inverter: entrega principal = oficinas de grafite + murais coletivos; secundária = breaking/dias abertos.</t>
  </si>
  <si>
    <t xml:space="preserve">4 municípios da RMBH definidos; pistas a confirmar.</t>
  </si>
  <si>
    <t xml:space="preserve">Anuências e vistoria das superfícies para os murais.</t>
  </si>
  <si>
    <t xml:space="preserve">Jovens de 12 a 29 anos; distingue inscrições, oficinas, classificados e público.</t>
  </si>
  <si>
    <t xml:space="preserve">Recalcular números para as atividades culturais.</t>
  </si>
  <si>
    <t xml:space="preserve">1 etapa/mês jun–set, final em out/2027.</t>
  </si>
  <si>
    <t xml:space="preserve">Datas exatas e duração de cada oficina.</t>
  </si>
  <si>
    <t xml:space="preserve">Gratuito, inscrições públicas, prioridade a meninas e periferias; acessibilidade parcial.</t>
  </si>
  <si>
    <t xml:space="preserve">Completar acessibilidade (AD, consultor, rampas).</t>
  </si>
  <si>
    <t xml:space="preserve">ESIP indicada; regularidade, natureza jurídica e experiência ainda a comprovar; equipe só por funções.</t>
  </si>
  <si>
    <t xml:space="preserve">Dossiê institucional e portfólio CULTURAL; equipe artística nominada.</t>
  </si>
  <si>
    <t xml:space="preserve">Nenhuma parceria formalizada (prefeituras, coletivos, escolas).</t>
  </si>
  <si>
    <t xml:space="preserve">Cartas de apoio de coletivos de hip-hop/grafite e anuência das prefeituras.</t>
  </si>
  <si>
    <t xml:space="preserve">Valor de referência R$ 350 mil sem cotações.</t>
  </si>
  <si>
    <t xml:space="preserve">Cotações e planilha cultural (este parecer).</t>
  </si>
  <si>
    <t xml:space="preserve">Documento escrito para a LIE; menciona que despesas culturais iriam para outras fontes.</t>
  </si>
  <si>
    <t xml:space="preserve">Decidir: Rouanet Art. 18 com objeto cultural (recomendado aqui) e, se desejado, LIE separada só para a parte esportiva.</t>
  </si>
  <si>
    <t xml:space="preserve">Verificadores esportivos (súmulas, resultados).</t>
  </si>
  <si>
    <t xml:space="preserve">Verificadores culturais (listas, fotos dos murais, vídeo, contagem de público).</t>
  </si>
  <si>
    <t xml:space="preserve">Qual será o objetivo central: formação em skate, encontro esportivo, festival de cultura urbana ou integração dessas atividades?</t>
  </si>
  <si>
    <t xml:space="preserve">Encontro esportivo: 'circuito esportivo de skate que dialoga com a cultura urbana, e não festival cultural que contém uma competição'.</t>
  </si>
  <si>
    <t xml:space="preserve">Para Rouanet a resposta precisa mudar: objetivo central = formação e difusão de arte urbana (grafite/breaking) nas pistas.</t>
  </si>
  <si>
    <t xml:space="preserve">Quais entregas serão culturais e quais serão esportivas? Como cada uma será custeada e qual mecanismo é adequado ao escopo escolhido?</t>
  </si>
  <si>
    <t xml:space="preserve">Esportivas: classificatórias, final, oficinas de skate, premiação. Culturais: breaking, grafite, DJ/MC, show – 'preferencialmente fonte complementar'.</t>
  </si>
  <si>
    <t xml:space="preserve">Matriz entrega x fonte: Rouanet só para oficinas de grafite/breaking, murais, dias abertos e registro; competição de skate, arbitragem, premiação e equipamentos esportivos para a LIE (Lei 11.438/2006) ou patrocínio direto.</t>
  </si>
  <si>
    <t xml:space="preserve">Quais expressões artísticas participarão: grafite, dança, música, fotografia, audiovisual ou outras?</t>
  </si>
  <si>
    <t xml:space="preserve">Breaking/freestyle, grafite, DJs/MC e show de rap/trap/hip-hop citados como ambientação.</t>
  </si>
  <si>
    <t xml:space="preserve">Definir linguagens e artistas; evitar show de rap/trap como item de destaque (Música popular cantada = Art. 26 se virar produto de maior custo).</t>
  </si>
  <si>
    <t xml:space="preserve">Quem será atendido e como funcionarão as aulas, oficinas, demonstrações ou competições eventualmente previstas?</t>
  </si>
  <si>
    <t xml:space="preserve">12–29 anos; 70 inscrições/etapa; 20 vagas de iniciação ao skate por município; batalha aberta de breaking com 3 jurados.</t>
  </si>
  <si>
    <t xml:space="preserve">Plano pedagógico das oficinas de grafite e breaking (carga horária, conteúdo, seleção); regulamento das batalhas sem premiação em dinheiro.</t>
  </si>
  <si>
    <t xml:space="preserve">Qual espaço será utilizado e quais profissionais, equipamentos de proteção, estruturas e medidas de acessibilidade serão necessários?</t>
  </si>
  <si>
    <t xml:space="preserve">Pistas públicas candidatas; equipe por funções; EPIs para skate; estrutura leve; Libras.</t>
  </si>
  <si>
    <t xml:space="preserve">Anuências; EPIs de pintura (máscara PFF2) em vez de EPIs esportivos; andaimes, piso de dança, AD e rampas.</t>
  </si>
  <si>
    <t xml:space="preserve">Enquadramento Art. 18 – Anexo IV (produto principal em segmento cultural)</t>
  </si>
  <si>
    <t xml:space="preserve">Como está, o produto principal é 'evento esportivo' (sem segmento no Anexo IV): inadmissível. Reformulado: Artes Visuais – Empreend Ações Educ-Cult/Capacitação/Treinamento (Art. 18).</t>
  </si>
  <si>
    <t xml:space="preserve">IN art. 18 – projetos esportivos: só custos artístico-culturais</t>
  </si>
  <si>
    <t xml:space="preserve">Seriam glosados: direção técnica de skate, arbitragem/julgadores, instrutores de skate, skates e EPIs esportivos, troféus/medalhas/kits esportivos, apoio a atletas classificados (transporte/alimentação), ambulância/serviço médico da competição. Skate não é manifestação de tradição/patrimônio imaterial.</t>
  </si>
  <si>
    <t xml:space="preserve">Limites de carteira PJ (10 projetos / R$ 15 mi; R$ 1,5 mi por projeto)</t>
  </si>
  <si>
    <t xml:space="preserve">ESIP com P13 (R$ 350 mil) + P14 (R$ 300 mil) = R$ 650 mil.</t>
  </si>
  <si>
    <t xml:space="preserve">CNAE cultural da PJ (art. 4º §3º)</t>
  </si>
  <si>
    <t xml:space="preserve">ESIP aparenta ser entidade esportiva; sem CNAE cultural compatível (ex.: ensino de arte e cultura, atividades associativas ligadas à cultura e à arte) a proposta não é admitida.</t>
  </si>
  <si>
    <t xml:space="preserve">Portfólio cultural / 1º projeto (art. 4º §§4º-5º)</t>
  </si>
  <si>
    <t xml:space="preserve">Valor &gt; R$ 200 mil: exige portfólio de atuação cultural da ESIP no SALIC, ainda que seja o 1º projeto.</t>
  </si>
  <si>
    <t xml:space="preserve">Fracionamento (objetos semelhantes)</t>
  </si>
  <si>
    <t xml:space="preserve">Sem conflito com P14 (capoeira). Comparar com P06 Mural Minas (murais) para garantir objeto, território e público distintos. Se a versão LIE do circuito também for protocolada, deixar claro que são objetos diferentes e sem despesas sobrepostas.</t>
  </si>
  <si>
    <t xml:space="preserve">Acessibilidade obrigatória (art. 38)</t>
  </si>
  <si>
    <t xml:space="preserve">Faltam audiodescrição, consultor, rampas e menção ao Guia MDHC (incluídos na planilha proposta).</t>
  </si>
  <si>
    <t xml:space="preserve">Democratização (art. 41) e ampliação de acesso (art. 42)</t>
  </si>
  <si>
    <t xml:space="preserve">100% gratuito (ok); medidas do art. 42 precisam ser declaradas formalmente.</t>
  </si>
  <si>
    <t xml:space="preserve">Não aplicável: não há venda de ingressos/produtos.</t>
  </si>
  <si>
    <t xml:space="preserve">Concurso/premiação (Anexo II, 6.8)</t>
  </si>
  <si>
    <t xml:space="preserve">Batalhas com 'premiação simbólica': se houver prêmio, apresentar minuta de regulamento; recomenda-se só certificados.</t>
  </si>
  <si>
    <t xml:space="preserve">Skates e EPIs esportivos com 'destinação a coletivos' devem sair da planilha Rouanet.</t>
  </si>
  <si>
    <t xml:space="preserve">Fornecedor ≤ 20% e cachês dentro dos tetos</t>
  </si>
  <si>
    <t xml:space="preserve">Maior fornecedor previsto: coordenação geral, R$ 35 mil (10% do total) &lt; 20%; cachês muito abaixo dos tetos (individual R$ 25 mil; grupo R$ 50 mil).</t>
  </si>
  <si>
    <t xml:space="preserve">P14 Capoeira: Roda de Minas</t>
  </si>
  <si>
    <t xml:space="preserve">Título 'Capoeira: Roda de Minas'; proponente ESIP; o documento já indica 'Ação Educativa: Capoeira – Art. 18' como referência para o SALIC.</t>
  </si>
  <si>
    <t xml:space="preserve">CNPJ, natureza jurídica e CNAE cultural da ESIP compatível com Artes Cênicas (art. 4º §3º); cadastrar área Artes Cênicas, segmento 'Apresentação de Dança ou Ação Educativa: Capoeira', Art. 18.</t>
  </si>
  <si>
    <t xml:space="preserve">6 meses em 2027 (M1 mobilização; M2–M5 formação; M6 culminância) sem datas.</t>
  </si>
  <si>
    <t xml:space="preserve">Meses/datas reais de 2027, fim de semana do Encontro, datas das 8 rodas e prazo de captação.</t>
  </si>
  <si>
    <t xml:space="preserve">Síntese clara: 4 núcleos, 100 participantes, 32 h, 8 rodas, Encontro Estadual de 2 dias, memória digital.</t>
  </si>
  <si>
    <t xml:space="preserve">Adaptar ao limite de caracteres do SALIC, sem a narrativa esportiva.</t>
  </si>
  <si>
    <t xml:space="preserve">Objetivo geral e 10 específicos mensuráveis (4 núcleos, 100 vagas, 32 h, 8 rodas, 4 a 6 mestres, publicação, 4 kits).</t>
  </si>
  <si>
    <t xml:space="preserve">Tirar da versão Rouanet a expressão 'dimensões cultural e esportiva' e os objetivos de desenvolvimento corporal.</t>
  </si>
  <si>
    <t xml:space="preserve">Boa justificativa sobre transmissão oral, mestres, territórios negros e periféricos.</t>
  </si>
  <si>
    <t xml:space="preserve">Citar o registro da capoeira como Patrimônio Cultural do Brasil (IPHAN: Ofício dos Mestres e Roda de Capoeira) e o reconhecimento da UNESCO à Roda de Capoeira; aderência ao art. 1º e ao art. 3º da Lei 8.313/91; dados dos territórios (população negra, oferta cultural).</t>
  </si>
  <si>
    <t xml:space="preserve">Libras nas atividades centrais do Encontro; Libras/legendas/AD nos produtos AV 'quando tecnicamente aplicável'; publicação acessível; espaços acessíveis 'priorizados'.</t>
  </si>
  <si>
    <t xml:space="preserve">Consultor de acessibilidade, AD ao vivo no Encontro, Libras nas rodas e sob demanda, rampas e monitores PcD, divulgação acessível, citação do Guia MDHC; acessibilidade de cada núcleo comprovada.</t>
  </si>
  <si>
    <t xml:space="preserve">100% gratuito (oficinas, rodas, Encontro); inscrição pública + encaminhamento comunitário; critérios de prioridade.</t>
  </si>
  <si>
    <t xml:space="preserve">Registrar no plano de distribuição a gratuidade integral por produto.</t>
  </si>
  <si>
    <t xml:space="preserve">Rodas abertas e Encontro gratuitos, público de crianças/jovens, registro com acessibilidade: tudo isso existe, mas não está declarado como medida do art. 42. Sem venda, não há art. 44.</t>
  </si>
  <si>
    <t xml:space="preserve">Declarar no SALIC: atividades paralelas gratuitas (rodas abertas), ação para crianças/adolescentes/jovens e registro AV na internet com Libras e AD.</t>
  </si>
  <si>
    <t xml:space="preserve">Cronograma físico M1–M6 com 8 linhas de etapas.</t>
  </si>
  <si>
    <t xml:space="preserve">Converter em etapas pré/produção/pós com datas.</t>
  </si>
  <si>
    <t xml:space="preserve">Só perfis ('1 a 2 mestres por núcleo', '4 a 6 convidados').</t>
  </si>
  <si>
    <t xml:space="preserve">Nomes, currículos e anuência de mestres dos núcleos, coordenação pedagógica, convidados do Encontro, equipe de registro.</t>
  </si>
  <si>
    <t xml:space="preserve">Conteúdos descritos (fundamentos corporais, roda, história, musicalidade, oralidade, maculelê).</t>
  </si>
  <si>
    <t xml:space="preserve">Programação do Encontro e descrição das rodas (duração, formato, grupos).</t>
  </si>
  <si>
    <t xml:space="preserve">Ex.: instrumentos com madeira de origem legal (biriba), redução de descartáveis nos lanches, publicação digital (sem impressão).</t>
  </si>
  <si>
    <t xml:space="preserve">25 vagas por núcleo, 16 encontros de 2 h, 8 rodas, Encontro de 2 dias (10h–17h/10h–16h).</t>
  </si>
  <si>
    <t xml:space="preserve">Páginas e formato da publicação, duração do vídeo, público por roda e do Encontro, composição dos kits.</t>
  </si>
  <si>
    <t xml:space="preserve">Metodologia em etapas: implantação, percurso formativo, rodas, Encontro e memória.</t>
  </si>
  <si>
    <t xml:space="preserve">Projeto pedagógico detalhado por encontro (pendência média do próprio documento).</t>
  </si>
  <si>
    <t xml:space="preserve">BH e Contagem definidos; outros 2 territórios da RMBH e espaços a definir; possível núcleo quilombola condicionado.</t>
  </si>
  <si>
    <t xml:space="preserve">Definir os 4 municípios e espaços com anuência; local do Encontro em BH.</t>
  </si>
  <si>
    <t xml:space="preserve">Gratuidade total; 100 participantes diretos.</t>
  </si>
  <si>
    <t xml:space="preserve">Estimar público das 8 rodas e do Encontro, por produto.</t>
  </si>
  <si>
    <t xml:space="preserve">Estratégia geral (canais comunitários, redes, peças digitais).</t>
  </si>
  <si>
    <t xml:space="preserve">Quantidades de peças, calendário e Manual de Marcas do Pronac.</t>
  </si>
  <si>
    <t xml:space="preserve">Só diretrizes de orçamento (teto de R$ 300 mil).</t>
  </si>
  <si>
    <t xml:space="preserve">Planilha analítica SALIC (proposta neste parecer).</t>
  </si>
  <si>
    <t xml:space="preserve">Escopo integrado para Rouanet e Lei Estadual de Incentivo ao Esporte de MG.</t>
  </si>
  <si>
    <t xml:space="preserve">Definir se haverá outras fontes e quais itens cada uma cobre, sem duplicidade. Atenção: o plano do cliente é 'R Art. 18 + E' (LEIC-MG, de cultura), não a lei do esporte.</t>
  </si>
  <si>
    <t xml:space="preserve">Lista de documentos a reunir; nada anexado.</t>
  </si>
  <si>
    <t xml:space="preserve">Documentos PJ, portfólio cultural da ESIP, currículos (Anexo II 3.1), projeto pedagógico com currículo do responsável e plano com carga horária/conteúdo (7.1–7.3), anuências dos espaços e da comunidade quilombola, cartas de anuência de mestres/grupos.</t>
  </si>
  <si>
    <t xml:space="preserve">Quadro de metas com indicador e forma de comprovação (listas, diários, registros, link da publicação, notas/termo dos kits).</t>
  </si>
  <si>
    <t xml:space="preserve">Acrescentar frequência mínima para certificação e público das rodas/Encontro.</t>
  </si>
  <si>
    <t xml:space="preserve">Salvaguarda e continuidade da capoeira por formação gratuita e transmissão de saberes.</t>
  </si>
  <si>
    <t xml:space="preserve">Entrega principal: 4 núcleos formativos. Complementares: rodas, Encontro, memória.</t>
  </si>
  <si>
    <t xml:space="preserve">BH e Contagem + 2 territórios a definir; núcleo quilombola condicionado.</t>
  </si>
  <si>
    <t xml:space="preserve">Fechar os 4 territórios com critérios e anuências.</t>
  </si>
  <si>
    <t xml:space="preserve">100 participantes intergeracionais com prioridades sociais; público de rodas e Encontro não estimado.</t>
  </si>
  <si>
    <t xml:space="preserve">Estimar o público espectador.</t>
  </si>
  <si>
    <t xml:space="preserve">6 meses, 16 encontros, 8 rodas, Encontro de 2 dias, sem datas.</t>
  </si>
  <si>
    <t xml:space="preserve">Calendário 2027.</t>
  </si>
  <si>
    <t xml:space="preserve">Gratuito, inscrição pública + encaminhamento; acessibilidade parcial.</t>
  </si>
  <si>
    <t xml:space="preserve">Completar acessibilidade.</t>
  </si>
  <si>
    <t xml:space="preserve">ESIP indicada; regularidade e finalidade estatutária cultural pendentes; mestres não definidos.</t>
  </si>
  <si>
    <t xml:space="preserve">Pasta institucional, portfólio cultural, equipe nominada.</t>
  </si>
  <si>
    <t xml:space="preserve">Espaços, comunidade quilombola e grupos ainda não articulados formalmente.</t>
  </si>
  <si>
    <t xml:space="preserve">Teto de R$ 300 mil, sem custos levantados.</t>
  </si>
  <si>
    <t xml:space="preserve">Cotações e planilha (proposta aqui).</t>
  </si>
  <si>
    <t xml:space="preserve">Rouanet Art. 18 (Ação Educativa: Capoeira) + Lei Estadual de Incentivo ao Esporte MG.</t>
  </si>
  <si>
    <t xml:space="preserve">Alinhar com o plano do cliente (Rouanet + LEIC) e segregar fontes.</t>
  </si>
  <si>
    <t xml:space="preserve">Comprovação prevista por listas, diários, registros, link da publicação e termos.</t>
  </si>
  <si>
    <t xml:space="preserve">O foco será a transmissão dos saberes da capoeira, a formação regular de participantes, a circulação de rodas ou um encontro de grupos?</t>
  </si>
  <si>
    <t xml:space="preserve">Integração: formação regular em 4 núcleos (foco), 8 rodas comunitárias e Encontro Estadual de culminância, com narrativa de salvaguarda.</t>
  </si>
  <si>
    <t xml:space="preserve">Quais mestres, grupos e comunidades participarão e como serão escolhidos?</t>
  </si>
  <si>
    <t xml:space="preserve">Critérios de escolha (trajetória, reconhecimento comunitário, experiência pedagógica). 4 a 6 convidados de outras regiões de MG. Busca de comunidade quilombola.</t>
  </si>
  <si>
    <t xml:space="preserve">Nomes, grupos/linhagens, anuências e a comunidade quilombola confirmada.</t>
  </si>
  <si>
    <t xml:space="preserve">Como serão trabalhados musicalidade, instrumentos, cantos, história e movimentos da capoeira?</t>
  </si>
  <si>
    <t xml:space="preserve">Módulos de fundamentos corporais, da roda, história e memória, musicalidade (berimbau e bateria), oralidade e maculelê. Oficina de construção de berimbau no Encontro.</t>
  </si>
  <si>
    <t xml:space="preserve">Distribuir os conteúdos pelos 16 encontros (projeto pedagógico).</t>
  </si>
  <si>
    <t xml:space="preserve">Quantas turmas, encontros ou rodas serão realizados, com qual duração e para quais faixas etárias?</t>
  </si>
  <si>
    <t xml:space="preserve">4 turmas de 25; 16 encontros de 2 h (32 h); 8 rodas; Encontro de 2 dias; público intergeracional (crianças a adultos).</t>
  </si>
  <si>
    <t xml:space="preserve">Confirmar se haverá turmas mistas de idade ou subdivisão por faixa etária.</t>
  </si>
  <si>
    <t xml:space="preserve">Haverá apresentações públicas, intercâmbios ou registros? Como serão respeitadas as práticas e decisões dos grupos participantes?</t>
  </si>
  <si>
    <t xml:space="preserve">Rodas abertas, Encontro com mestres, registro audiovisual, depoimentos e publicação digital, com autorização de imagem/voz e respeito à pluralidade de linhagens. Sem batizado nem troca de cordas.</t>
  </si>
  <si>
    <t xml:space="preserve">Protocolo de consentimento e devolutiva aos grupos e mestres (aprovação dos conteúdos da publicação), mais a anuência formal dos detentores.</t>
  </si>
  <si>
    <t xml:space="preserve">Enquadramento Art. 18 – Anexo IV</t>
  </si>
  <si>
    <t xml:space="preserve">Artes Cênicas – 'Apresentação de Dança ou Ação Educativa: Capoeira' é Art. 18 expresso. O produto principal (núcleos formativos) é a ação de maior custo na planilha proposta.</t>
  </si>
  <si>
    <t xml:space="preserve">IN art. 18 – caráter esportivo/social</t>
  </si>
  <si>
    <t xml:space="preserve">Capoeira é manifestação de tradição e patrimônio imaterial (registrada pelo IPHAN), então a regra de glosa do art. 18 da IN não se aplica de forma automática. Mesmo assim, a versão Rouanet não pode usar linguagem de 'desporto social', metas de desempenho físico nem itens esportivos.</t>
  </si>
  <si>
    <t xml:space="preserve">Limites de carteira PJ</t>
  </si>
  <si>
    <t xml:space="preserve">ESIP: P13 + P14 = R$ 650 mil, 2 projetos.</t>
  </si>
  <si>
    <t xml:space="preserve">O próprio documento aponta dúvida sobre a finalidade estatutária e o histórico cultural da ESIP. É pendência CRÍTICA.</t>
  </si>
  <si>
    <t xml:space="preserve">Portfólio cultural / 1º projeto</t>
  </si>
  <si>
    <t xml:space="preserve">R$ 300 mil &gt; R$ 200 mil: exige portfólio cultural da ESIP no SALIC.</t>
  </si>
  <si>
    <t xml:space="preserve">Fracionamento</t>
  </si>
  <si>
    <t xml:space="preserve">Objeto distinto de P13 (mesmo proponente). Comparar com P02 'Mestres e Aprendizes' (Aver Mídia) e P05 'Sons do Congado': se P02 incluir capoeira/mestres nos mesmos territórios, diferenciar objeto e público.</t>
  </si>
  <si>
    <t xml:space="preserve">Duplicidade de financiamento (Rouanet + Lei Estadual do Esporte)</t>
  </si>
  <si>
    <t xml:space="preserve">Escopo único para dois mecanismos. Se ambos aprovarem, as despesas devem ser segregadas e declaradas em 'fontes'. O mesmo item não pode ser pago duas vezes.</t>
  </si>
  <si>
    <t xml:space="preserve">Acessibilidade (art. 38)</t>
  </si>
  <si>
    <t xml:space="preserve">Parcial no documento; completada na planilha (consultor, Libras, AD, rampas, monitores).</t>
  </si>
  <si>
    <t xml:space="preserve">Democratização/ampliação de acesso (arts. 41–42)</t>
  </si>
  <si>
    <t xml:space="preserve">Gratuidade integral; medidas do art. 42 existem de fato e só precisam ser declaradas.</t>
  </si>
  <si>
    <t xml:space="preserve">Não aplicável (sem venda).</t>
  </si>
  <si>
    <t xml:space="preserve">Bens permanentes – kits de instrumentos (art. 30)</t>
  </si>
  <si>
    <t xml:space="preserve">Justificar que são indispensáveis e mais econômicos que a locação. Declarar a destinação cultural (termo de guarda com grupo ou espaço do núcleo). Fora de custos de administração.</t>
  </si>
  <si>
    <t xml:space="preserve">Cachês (mestres ≤ R$ 25 mil; grupo ≤ R$ 50 mil)</t>
  </si>
  <si>
    <t xml:space="preserve">Cachês de mestres de R$ 1.200 a R$ 2.500; grupo de maculelê R$ 3.000.</t>
  </si>
  <si>
    <t xml:space="preserve">Patrimônio imaterial como alternativa (Anexo IV / art. 14 §ú)</t>
  </si>
  <si>
    <t xml:space="preserve">'Salvaguarda do patrimônio cultural imaterial' também é Art. 18 e fica fora dos limites de valor e de quantidade. Em troca, exige os documentos do Anexo II 8.1/8.8 (relatório do bem, anuência da comunidade detentora, aderência à Portaria Iphan 299/2015). Para a ESIP, que é PJ e está dentro dos limites, não compensa como segmento principal.</t>
  </si>
  <si>
    <t xml:space="preserve">P15 Riso que Cura</t>
  </si>
  <si>
    <t xml:space="preserve">Identificação (nome, proponente, CNPJ/CNAE, área/segmento, enquadramento)</t>
  </si>
  <si>
    <t xml:space="preserve">Título, área Artes Cênicas, segmento "Performance de Circo, Clown e Ilusionismo" e pretensão de Art. 18 definidos; proponente "Aver Mídia — razão social, CNPJ e representante legal a confirmar".</t>
  </si>
  <si>
    <t xml:space="preserve">Razão social, CNPJ, representante legal e CNAE cultural compatível com artes cênicas (ex.: 9001-9/01, 9001-9/02 ou 9001-9/99); cadastro Salic do proponente.</t>
  </si>
  <si>
    <t xml:space="preserve">8 meses relativos (M1 preparação, M2–M7 circulação, M8 pós); "datas reais deverão ser informadas".</t>
  </si>
  <si>
    <t xml:space="preserve">Datas civis de início/fim (ex.: mar–out/2027) e prazo de captação compatível; o Salic não aceita cronograma relativo.</t>
  </si>
  <si>
    <t xml:space="preserve">Seção 02 "Resumo da proposta | campo SALIC" com objeto, 6 hospitais, 10 artistas, 144 visitas, formação, 4 apresentações e guia.</t>
  </si>
  <si>
    <t xml:space="preserve">Retirar do resumo qualquer termo que sugira efeito terapêutico; manter "fruição artística".</t>
  </si>
  <si>
    <t xml:space="preserve">Objetivo geral de democratização + 7 específicos quantificados (6 hospitais, 144 visitas, 10 artistas, 4 apresentações, 1 guia).</t>
  </si>
  <si>
    <t xml:space="preserve">Congelar os números após a planilha (144 visitas mantidas nesta planilha com cachê de R$ 400).</t>
  </si>
  <si>
    <t xml:space="preserve">Justificativa qualitativa sólida (barreiras de acesso de internados, palhaçaria como linguagem cênica, descentralização).</t>
  </si>
  <si>
    <t xml:space="preserve">Citar expressamente art. 1º (I, II) e art. 3º (II, "c" circulação/difusão) da Lei 8.313; incluir dados (nº de leitos pediátricos SUS nos municípios, ausência de oferta cultural).</t>
  </si>
  <si>
    <t xml:space="preserve">Comunicação simples, participação não verbal, atenção auditiva; Libras "quando compatíveis"; checklist item 11 reconhece que falta orçar.</t>
  </si>
  <si>
    <t xml:space="preserve">Plano por produto: Libras e audiodescrição nas 4 apresentações, materiais ampliados/braille, guia em PDF acessível, consultoria de acessibilidade, menção ao Guia MDHC (art. 40) e justificativa técnica (art. 38 §2º) para limitações em leitos/alas.</t>
  </si>
  <si>
    <t xml:space="preserve">Democratização de acesso (gratuidade, art. 41)</t>
  </si>
  <si>
    <t xml:space="preserve">100% gratuito; sem bilheteria, cobrança a hospitais ou venda de vagas; guia digital gratuito.</t>
  </si>
  <si>
    <t xml:space="preserve">Ações para crianças/adolescentes, atuação em instituições de acesso restrito, apresentações gratuitas em escolas/centros culturais. Sem venda, logo sem contrapartida obrigatória.</t>
  </si>
  <si>
    <t xml:space="preserve">Indicar no Salic os incisos: VI (crianças e adolescentes) e V (atividades paralelas gratuitas).</t>
  </si>
  <si>
    <t xml:space="preserve">Cronograma físico M1–M8 com 8 linhas de ação e matriz de 24 semanas.</t>
  </si>
  <si>
    <t xml:space="preserve">Converter para as etapas Salic (pré/produção/pós) com datas.</t>
  </si>
  <si>
    <t xml:space="preserve">Ficha técnica (nomes e currículos)</t>
  </si>
  <si>
    <t xml:space="preserve">Somente funções; "ficha técnica nominal ... deverá ser incorporada após seleção".</t>
  </si>
  <si>
    <t xml:space="preserve">Nomes e currículos de coordenação geral, coordenação artística/pedagógica, formador(a) e dos 10 artistas (ou ao menos os principais) com anuência.</t>
  </si>
  <si>
    <t xml:space="preserve">Descreve linguagem (improviso, música acústica, jogos verbais, pequenas narrativas, duplas com personagens próprios).</t>
  </si>
  <si>
    <t xml:space="preserve">Descrever personagens/duplas, estrutura de uma visita típica e o roteiro/duração das 4 apresentações públicas.</t>
  </si>
  <si>
    <t xml:space="preserve">Uma frase: materiais reutilizáveis, planejamento de rotas, comunicação digital, contratação regional.</t>
  </si>
  <si>
    <t xml:space="preserve">Parágrafo próprio com medidas (figurinos duráveis/laváveis, transporte coletivo, guia só digital, descarte de resíduos).</t>
  </si>
  <si>
    <t xml:space="preserve">144 visitas, 24 semanas, formação 12 encontros/36 h, 4 apresentações, 1 guia digital.</t>
  </si>
  <si>
    <t xml:space="preserve">Duração de cada visita (sugestão: turno de até 3 h), duração das apresentações (45–50 min), nº de páginas/formato do guia.</t>
  </si>
  <si>
    <t xml:space="preserve">Três eixos + protocolo artístico-operacional de 6 passos.</t>
  </si>
  <si>
    <t xml:space="preserve">Mapa indicativo: 2 hospitais BH, 1 RMBH, Esmeraldas, Sete Lagoas, Paraopeba ("não é lista de instituições confirmadas").</t>
  </si>
  <si>
    <t xml:space="preserve">Nome de cada hospital, setor apto e carta de interesse; locais das 4 apresentações; rotas e tempos.</t>
  </si>
  <si>
    <t xml:space="preserve">Plano de distribuição (público por produto)</t>
  </si>
  <si>
    <t xml:space="preserve">Gratuidade definida, mas "não será fixada quantidade de pacientes alcançados".</t>
  </si>
  <si>
    <t xml:space="preserve">Estimativa obrigatória por produto no Salic (sugestão: ~2.160 fruições em 144 visitas, ~600 pessoas nas 4 apresentações, 10 artistas formados, downloads do guia) com ressalva de variação assistencial.</t>
  </si>
  <si>
    <t xml:space="preserve">Plano editorial, redes, divulgação das ações abertas, marcas, formatos acessíveis.</t>
  </si>
  <si>
    <t xml:space="preserve">Quantificar peças (cartazes, folders, posts, release), cronograma e fluxo de aprovação de marcas no MinC (art. 21 §2º).</t>
  </si>
  <si>
    <t xml:space="preserve">"Orçamento analítico elaborado em etapa separada" — não existe planilha.</t>
  </si>
  <si>
    <t xml:space="preserve">Adotar a planilha desta revisão (R$ 450.000) e anexar cotações dos itens de maior valor.</t>
  </si>
  <si>
    <t xml:space="preserve">Documento só menciona Lei Rouanet; não trata da fonte complementar LEIC-MG prevista no mecanismo "R Art. 18 + E".</t>
  </si>
  <si>
    <t xml:space="preserve">Declarar se haverá outra fonte (LEIC/IFC) e quais despesas ela cobre, sem duplicidade.</t>
  </si>
  <si>
    <t xml:space="preserve">Documentos obrigatórios Anexo II</t>
  </si>
  <si>
    <t xml:space="preserve">Checklist P0 01, 02 e P1 07 registram falta de CNPJ, atos, portfólio, currículos.</t>
  </si>
  <si>
    <t xml:space="preserve">Cartão CNPJ, contrato social, ata/documentos do dirigente, portfólio cultural (obrigatório: &gt; R$ 200 mil), currículos da ficha técnica, anuências dos hospitais.</t>
  </si>
  <si>
    <t xml:space="preserve">Tabela de metas com evidências (ficha por visita, atestado do hospital, presenças da formação, link do guia).</t>
  </si>
  <si>
    <t xml:space="preserve">Acrescentar indicador de satisfação/experiência (escuta de acompanhantes e equipes), sem dados clínicos.</t>
  </si>
  <si>
    <t xml:space="preserve">Democratizar o acesso às artes cênicas para pessoas internadas; afastado o caráter terapêutico.</t>
  </si>
  <si>
    <t xml:space="preserve">Circuito de 144 visitas de palhaçaria em 6 hospitais.</t>
  </si>
  <si>
    <t xml:space="preserve">BH, RMBH, Esmeraldas, Sete Lagoas, Paraopeba (indicativos).</t>
  </si>
  <si>
    <t xml:space="preserve">Confirmar hospitais e municípios.</t>
  </si>
  <si>
    <t xml:space="preserve">Crianças/adolescentes internados, acompanhantes, adultos e idosos conforme autorização; sem número.</t>
  </si>
  <si>
    <t xml:space="preserve">Estimativa numérica por produto.</t>
  </si>
  <si>
    <t xml:space="preserve">8 meses relativos; 6 visitas/semana.</t>
  </si>
  <si>
    <t xml:space="preserve">Datas civis e grade semanal pactuada.</t>
  </si>
  <si>
    <t xml:space="preserve">Gratuito, consentimento circunstancial, sem abordagem compulsória.</t>
  </si>
  <si>
    <t xml:space="preserve">Funções definidas; proponente sem dados; equipe sem nomes.</t>
  </si>
  <si>
    <t xml:space="preserve">Dados da Aver Mídia, portfólio e ficha técnica nominal.</t>
  </si>
  <si>
    <t xml:space="preserve">Nenhum hospital ou espaço das apresentações confirmado.</t>
  </si>
  <si>
    <t xml:space="preserve">Cartas de interesse/anuência dos 6 hospitais e dos 4 espaços.</t>
  </si>
  <si>
    <t xml:space="preserve">Teto R$ 450 mil e prioridades de gasto; sem planilha nem plano de captação.</t>
  </si>
  <si>
    <t xml:space="preserve">Planilha (feita nesta revisão) e lista de potenciais patrocinadores.</t>
  </si>
  <si>
    <t xml:space="preserve">Lei Rouanet Art. 18 (segmento clown).</t>
  </si>
  <si>
    <t xml:space="preserve">Definir papel da LEIC-MG (complementar) e evitar dupla captação da mesma despesa.</t>
  </si>
  <si>
    <t xml:space="preserve">Fichas de visita, atestados, escalas, presenças, registros autorizados, link do guia.</t>
  </si>
  <si>
    <t xml:space="preserve">Qual será a linguagem artística: palhaçaria, teatro, contação de histórias ou outra?</t>
  </si>
  <si>
    <t xml:space="preserve">Palhaçaria em duplas, com improvisação, música acústica, jogos verbais e pequenas narrativas (segmento Performance de Circo, Clown e Ilusionismo).</t>
  </si>
  <si>
    <t xml:space="preserve">Em quais instituições e ambientes acontecerão as atividades e quem será atendido?</t>
  </si>
  <si>
    <t xml:space="preserve">Hospitais públicos/filantrópicos SUS; pediatria, oncologia, materno-infantil, brinquedotecas; crianças e adolescentes prioritários, também adultos, idosos, acompanhantes e equipes.</t>
  </si>
  <si>
    <t xml:space="preserve">Nomes dos 6 hospitais e setores autorizados, com carta de interesse.</t>
  </si>
  <si>
    <t xml:space="preserve">Quantas visitas ou apresentações serão realizadas e com qual frequência em cada instituição?</t>
  </si>
  <si>
    <t xml:space="preserve">144 visitas: 1 por semana em cada hospital × 24 semanas; mais 4 apresentações externas.</t>
  </si>
  <si>
    <t xml:space="preserve">Confirmar a escala após anuência; a planilha desta revisão comporta 144 visitas apenas com cachê de R$ 400/turno e gestão enxuta.</t>
  </si>
  <si>
    <t xml:space="preserve">Quais artistas participarão e que preparação terão para atuar nesses ambientes, seguindo os protocolos das instituições?</t>
  </si>
  <si>
    <t xml:space="preserve">10 artistas profissionais com experiência em palhaçaria; formação de 12 encontros/36 h (ética, escuta, improvisação, protocolos); orientação obrigatória de cada hospital.</t>
  </si>
  <si>
    <t xml:space="preserve">Nomes/currículos dos artistas e do(a) formador(a); termo de orientação de biossegurança por hospital.</t>
  </si>
  <si>
    <t xml:space="preserve">Como serão avaliados acesso à cultura, participação e experiência do público? O nome será uma expressão artística ou a proposta pretende afirmar efeitos clínicos?</t>
  </si>
  <si>
    <t xml:space="preserve">Aferição por metas culturais; "não serão medidos resultados clínicos, cura, melhora médica"; nome declarado como "poético".</t>
  </si>
  <si>
    <t xml:space="preserve">Instrumento simples de avaliação da experiência (escuta de acompanhantes/equipes de humanização, ficha qualitativa por visita). Mesmo com a ressalva, o título contém "Cura": usar subtítulo descritivo no Salic ("circuito de palhaçaria em hospitais") e repetir a ressalva no resumo, ou considerar renomear.</t>
  </si>
  <si>
    <t xml:space="preserve">Enquadramento Art. 18 – Anexo IV (área/segmento do produto principal)</t>
  </si>
  <si>
    <t xml:space="preserve">Artes Cênicas / Performance de Circo, Clown e Ilusionismo; produto principal é a ação de maior custo na planilha (R$ ~197 mil vs. R$ ~31,5 mil das apresentações).</t>
  </si>
  <si>
    <t xml:space="preserve">IN art. 18 – projeto de caráter social/saúde: só custos artístico-culturais</t>
  </si>
  <si>
    <t xml:space="preserve">Planilha desta revisão contém apenas custos artísticos/culturais. Não incluir EPIs hospitalares, exames/vacinas da equipe, psicólogo, materiais de humanização hospitalar, brinquedos para doação ou lanches a pacientes.</t>
  </si>
  <si>
    <t xml:space="preserve">Carteira PJ (art. 10, III) e valor por projeto (art. 11, II)</t>
  </si>
  <si>
    <t xml:space="preserve">Aver Mídia: P02 (R$ 400 mil) + P15 (R$ 450 mil) = R$ 850 mil, 2 projetos – muito abaixo de R$ 15 mi/10 projetos.</t>
  </si>
  <si>
    <t xml:space="preserve">Portfólio (art. 4º §5º) e CNAE cultural (art. 4º §3º)</t>
  </si>
  <si>
    <t xml:space="preserve">Valor &gt; R$ 200 mil exige portfólio. O nome "Aver Mídia" sugere CNAE de mídia/publicidade: confirmar CNAE compatível com artes cênicas antes do protocolo.</t>
  </si>
  <si>
    <t xml:space="preserve">Fracionamento (Anexo I, XXXIII)</t>
  </si>
  <si>
    <t xml:space="preserve">Objeto próximo ao de P16 Música nos Hospitais (Ado Viana) e ao eixo "Saúde" de P21. Proponentes, linguagens e territórios diferem e não há burla de limites, mas os textos devem deixar claras as diferenças (linguagem clown, hospitais distintos).</t>
  </si>
  <si>
    <t xml:space="preserve">Texto genérico; incluídos na planilha consultor, Libras, AD, braille e monitores. Falta plano escrito com Guia MDHC e justificativa das limitações nas alas.</t>
  </si>
  <si>
    <t xml:space="preserve">Totalmente gratuito.</t>
  </si>
  <si>
    <t xml:space="preserve">Incisos VI e V atendidos.</t>
  </si>
  <si>
    <t xml:space="preserve">Não se aplica: sem venda de ingressos/produtos.</t>
  </si>
  <si>
    <t xml:space="preserve">Custos vinculados (arts. 19, 20, 22)</t>
  </si>
  <si>
    <t xml:space="preserve">Adm 6,0%, acessibilidade/divulgação 13,1%, captação 9,0% do valor do projeto.</t>
  </si>
  <si>
    <t xml:space="preserve">Tetos de cachê (art. 26)</t>
  </si>
  <si>
    <t xml:space="preserve">R$ 400 por artista/turno; R$ 4.000 por apresentação de grupo.</t>
  </si>
  <si>
    <t xml:space="preserve">Fornecedor único ≤ 20% (art. 24)</t>
  </si>
  <si>
    <t xml:space="preserve">Maior pagamento a um mesmo prestador: coordenação (8 × 6.500 = 52 mil = 11,6%).</t>
  </si>
  <si>
    <t xml:space="preserve">Se sócios da Aver Mídia exercerem a coordenação, somar pagamentos e manter ≤ 20% do captado.</t>
  </si>
  <si>
    <t xml:space="preserve">Marcas e aprovação prévia de peças (art. 21)</t>
  </si>
  <si>
    <t xml:space="preserve">Fluxo de aprovação com MinC + regra de não identificação de pacientes (LGPD/ECA).</t>
  </si>
  <si>
    <t xml:space="preserve">Prazo de apresentação (até 31/10)</t>
  </si>
  <si>
    <t xml:space="preserve">Proponente ainda sem dados e sem anuências a 17 dias do prazo.</t>
  </si>
  <si>
    <t xml:space="preserve">P16 Música nos Hospitais</t>
  </si>
  <si>
    <t xml:space="preserve">Título, proponente Ado Viana PF "sujeito à confirmação documental"; mecanismo "Lei Rouanet (art. 18 ou 26)"; área/segmento não fixados.</t>
  </si>
  <si>
    <t xml:space="preserve">CPF e cadastro Salic; área Música e segmento exato (recomendado: Apresentação de Música Instrumental ou Música Regional); declarar Art. 18. Avaliar título distinto: "Música nos Hospitais" é o nome do projeto da Associação Paulista de Medicina (PRONAC 257977, 16ª edição).</t>
  </si>
  <si>
    <t xml:space="preserve">Execução abril–outubro/2027 com cronograma mensal.</t>
  </si>
  <si>
    <t xml:space="preserve">Prazo de captação; ajustar se a captação não ocorrer até mar/2027.</t>
  </si>
  <si>
    <t xml:space="preserve">Seção 1 descreve circuito de apresentações e oficinas em 6 instituições, gratuito.</t>
  </si>
  <si>
    <t xml:space="preserve">Resumo de até ~1.000 caracteres explicitando repertório instrumental/regional (núcleo do Art. 18) e a ressalva de não ser atividade terapêutica.</t>
  </si>
  <si>
    <t xml:space="preserve">Objetivo geral e 6 específicos; metas-base 30 apresentações e 12 oficinas.</t>
  </si>
  <si>
    <t xml:space="preserve">Quantificar público nos objetivos.</t>
  </si>
  <si>
    <t xml:space="preserve">Direito de acesso de pessoas hospitalizadas/em cuidados paliativos; resultados "estritamente culturais".</t>
  </si>
  <si>
    <t xml:space="preserve">Vincular a art. 1º/3º da Lei 8.313 e trazer dados; retirar a ênfase em "música popular brasileira" (sinaliza Art. 26).</t>
  </si>
  <si>
    <t xml:space="preserve">Libras "para atividades coletivas compatíveis"; adaptações (sentado/deitado, escuta, sem percussão corporal).</t>
  </si>
  <si>
    <t xml:space="preserve">Plano com Guia MDHC, quantidades orçadas (Libras, materiais ampliados/braille, consultoria) e justificativa do art. 38 §2º para leitos/enfermarias.</t>
  </si>
  <si>
    <t xml:space="preserve">Todas as ações gratuitas, dentro das instituições.</t>
  </si>
  <si>
    <t xml:space="preserve">Atividades gratuitas e oficinas (implícito); sem venda.</t>
  </si>
  <si>
    <t xml:space="preserve">Declarar incisos do art. 42: V (oficinas gratuitas) e, se houver casa de apoio/residência terapêutica, VII. Contrapartida (art. 44) não se aplica.</t>
  </si>
  <si>
    <t xml:space="preserve">Cronograma abr–out/2027 (pré, apresentações jun–set 8/8/8/6, oficinas mai–out 2/mês, pós).</t>
  </si>
  <si>
    <t xml:space="preserve">"Não há equipe nominal confirmada nesta versão."</t>
  </si>
  <si>
    <t xml:space="preserve">Nomes e currículos de direção musical, músicos do trio, educador(a) musical e produção.</t>
  </si>
  <si>
    <t xml:space="preserve">"Música brasileira e expressões regionais", "voz e violão, violão instrumental e/ou percussão".</t>
  </si>
  <si>
    <t xml:space="preserve">Nota curatorial com repertório orientador e formação fixa (recomendado: trio instrumental de viola caipira, violão 7 cordas/flauta e percussão leve) – é o que define Art. 18 x 26.</t>
  </si>
  <si>
    <t xml:space="preserve">Não há seção ambiental.</t>
  </si>
  <si>
    <t xml:space="preserve">Medidas simples: sem impressos excessivos, transporte compartilhado, instrumentos duráveis, descarte de materiais de higienização.</t>
  </si>
  <si>
    <t xml:space="preserve">Apresentações 40–60 min, duplas/trios; oficinas 30–60 min, grupos pequenos; 5 apresentações + 2 oficinas por instituição.</t>
  </si>
  <si>
    <t xml:space="preserve">Fixar formação (trio) e nº de participantes por oficina.</t>
  </si>
  <si>
    <t xml:space="preserve">Eixos I (apresentações) e II (oficinas) e condições de operação hospitalar.</t>
  </si>
  <si>
    <t xml:space="preserve">BH e RMBH; "ainda não foram indicadas as seis unidades".</t>
  </si>
  <si>
    <t xml:space="preserve">Lista das 6 instituições, setores, contatos e anuências.</t>
  </si>
  <si>
    <t xml:space="preserve">Gratuito; "meta numérica de alcance... será fixada após diálogo".</t>
  </si>
  <si>
    <t xml:space="preserve">Estimativa por produto (sugestão: ~750 fruições nas 30 apresentações; ~150 participações nas 12 oficinas).</t>
  </si>
  <si>
    <t xml:space="preserve">Somente "comunicação institucional" na equipe.</t>
  </si>
  <si>
    <t xml:space="preserve">Peças, canais e quantidades; marcas Pronac.</t>
  </si>
  <si>
    <t xml:space="preserve">"Composição pela equipe orçamentária".</t>
  </si>
  <si>
    <t xml:space="preserve">Adotar a planilha desta revisão (R$ 200.000).</t>
  </si>
  <si>
    <t xml:space="preserve">Analisa Rouanet e IFC-MG como alternativas, sem decisão.</t>
  </si>
  <si>
    <t xml:space="preserve">Decidir: Rouanet Art. 18 (+ LEIC complementar?) sem dupla captação da mesma despesa.</t>
  </si>
  <si>
    <t xml:space="preserve">Documentos Anexo II</t>
  </si>
  <si>
    <t xml:space="preserve">Pendências 03, 09, 10: proponente, currículos e projeto pedagógico não reunidos.</t>
  </si>
  <si>
    <t xml:space="preserve">RG/CPF, comprovante de residência, portfólio (se não for 1º projeto ≤ R$ 200 mil), currículos dos músicos, projeto pedagógico das oficinas com carga horária e conteúdo.</t>
  </si>
  <si>
    <t xml:space="preserve">Seção 12: execução 30/12, recorrência por unidade, setlists, quantitativos agregados, documentação.</t>
  </si>
  <si>
    <t xml:space="preserve">Democratizar fruição e participação musical de pessoas em contexto de saúde; sem fins terapêuticos.</t>
  </si>
  <si>
    <t xml:space="preserve">30 apresentações + 12 oficinas; formação/repertório indefinidos.</t>
  </si>
  <si>
    <t xml:space="preserve">Fixar formação instrumental/regional.</t>
  </si>
  <si>
    <t xml:space="preserve">BH e RMBH, instituições não indicadas.</t>
  </si>
  <si>
    <t xml:space="preserve">Lista e anuências.</t>
  </si>
  <si>
    <t xml:space="preserve">Pacientes adultos, cuidados paliativos, casas de apoio, acompanhantes; sem número.</t>
  </si>
  <si>
    <t xml:space="preserve">Estimativa por instituição.</t>
  </si>
  <si>
    <t xml:space="preserve">Abr–out/2027 com distribuição mensal.</t>
  </si>
  <si>
    <t xml:space="preserve">Gratuito, participação voluntária, adaptações.</t>
  </si>
  <si>
    <t xml:space="preserve">Ado Viana PF a confirmar; funções sem nomes.</t>
  </si>
  <si>
    <t xml:space="preserve">Documentos do proponente, checagem de vínculos societários (art. 15) e equipe nominal.</t>
  </si>
  <si>
    <t xml:space="preserve">Nenhuma instituição confirmada.</t>
  </si>
  <si>
    <t xml:space="preserve">Cartas de anuência de 6 instituições.</t>
  </si>
  <si>
    <t xml:space="preserve">Teto R$ 200 mil e prioridades.</t>
  </si>
  <si>
    <t xml:space="preserve">Planilha desta revisão; plano de captação.</t>
  </si>
  <si>
    <t xml:space="preserve">Rouanet (18 ou 26) ou IFC – indefinido.</t>
  </si>
  <si>
    <t xml:space="preserve">Decisão pelo Art. 18 condicionada à formação instrumental/regional.</t>
  </si>
  <si>
    <t xml:space="preserve">Relatórios, setlists, contratos, registros não identificadores.</t>
  </si>
  <si>
    <t xml:space="preserve">Quais hospitais participarão e quais setores poderão receber as atividades?</t>
  </si>
  <si>
    <t xml:space="preserve">Tipos (hospitais públicos/filantrópicos, casas de apoio, cuidados paliativos) e setores possíveis (enfermarias, quartos, jardins, auditórios); nenhuma instituição nomeada.</t>
  </si>
  <si>
    <t xml:space="preserve">Nomes, municípios, setores autorizados e cartas de anuência.</t>
  </si>
  <si>
    <t xml:space="preserve">O projeto oferecerá apresentações artísticas, atividades participativas ou atendimento de musicoterapia? Qual constitui seu objeto?</t>
  </si>
  <si>
    <t xml:space="preserve">Apresentações musicais + oficinas de musicalização; "não serão apresentadas como procedimentos terapêuticos"; "não serão utilizadas técnicas de intervenção clínica".</t>
  </si>
  <si>
    <t xml:space="preserve">Manter fora da equipe e da planilha qualquer musicoterapeuta ou atendimento individual.</t>
  </si>
  <si>
    <t xml:space="preserve">Qual será a formação musical, o repertório e a duração das intervenções?</t>
  </si>
  <si>
    <t xml:space="preserve">Duplas/trios, "preferencialmente voz e violão", violão instrumental e/ou percussão; MPB e repertórios mineiros; 40–60 min.</t>
  </si>
  <si>
    <t xml:space="preserve">Decisão curatorial: formação instrumental/regional fixa e repertório orientador (define Art. 18). Voz e violão com MPB tende ao Art. 26.</t>
  </si>
  <si>
    <t xml:space="preserve">Quantas apresentações em cada hospital e quais condições para som, circulação e higiene?</t>
  </si>
  <si>
    <t xml:space="preserve">5 apresentações + 2 oficinas por instituição; protocolos de infecção, higiene, amplificação só com aprovação.</t>
  </si>
  <si>
    <t xml:space="preserve">Condições pactuadas por escrito com cada unidade.</t>
  </si>
  <si>
    <t xml:space="preserve">Como serão registrados os resultados e a participação do público, respeitando privacidade e autorizações de imagem?</t>
  </si>
  <si>
    <t xml:space="preserve">Contagem agregada, relatórios, setlists; imagens de artistas/instrumentos/espaços neutros; identificação só com base legal e consentimento.</t>
  </si>
  <si>
    <t xml:space="preserve">Modelo de ficha de realização e termo de imagem.</t>
  </si>
  <si>
    <t xml:space="preserve">Enquadramento Art. 18 x 26 (Anexo IV)</t>
  </si>
  <si>
    <t xml:space="preserve">"Música Popular Cantada" é Art. 26. Com voz e violão/MPB o produto principal cai no Art. 26. Só garante Art. 18 se a formação e o repertório forem instrumentais e/ou de música regional mineira (Apresentação de Música Instrumental ou Regional).</t>
  </si>
  <si>
    <t xml:space="preserve">IN art. 18 – custos só artístico-culturais (projeto em saúde)</t>
  </si>
  <si>
    <t xml:space="preserve">Planilha sem musicoterapia, insumos hospitalares ou atendimento. Manter assim.</t>
  </si>
  <si>
    <t xml:space="preserve">Carteira PF (art. 10, I): 2 projetos/R$ 500 mil</t>
  </si>
  <si>
    <t xml:space="preserve">Ado Viana: P05 Sons do Congado (R$ 300 mil) + P16 (R$ 200 mil) = R$ 500 mil e 2 projetos, exatamente no teto. Não pode haver nenhum outro projeto ativo no CPF nem aumento de valor. A exceção de patrimônio do art. 14 §ú só vale para PJ (art. 10, III).</t>
  </si>
  <si>
    <t xml:space="preserve">Valor por projeto PF (art. 11, I)</t>
  </si>
  <si>
    <t xml:space="preserve">R$ 200 mil ≤ R$ 500 mil.</t>
  </si>
  <si>
    <t xml:space="preserve">Vínculos societários (art. 15)</t>
  </si>
  <si>
    <t xml:space="preserve">Verificar se Ado Viana é sócio/dirigente de PJ proponente (inclusive no portfólio do cliente); nesse caso a carteira é conjunta.</t>
  </si>
  <si>
    <t xml:space="preserve">Portfólio / 1º projeto (art. 4º §5º)</t>
  </si>
  <si>
    <t xml:space="preserve">Se for o 1º projeto no Pronac, R$ 200 mil está exatamente no limite da dispensa; P05 (R$ 300 mil) exige portfólio de qualquer forma – reunir portfólio único.</t>
  </si>
  <si>
    <t xml:space="preserve">Objeto paralelo a P15 (palhaçaria em hospitais) e ao eixo saúde de P21; proponentes e linguagens diferentes e sem burla de limite. Diferenciar redações.</t>
  </si>
  <si>
    <t xml:space="preserve">Prevista de forma conceitual; incluída na planilha (consultor, Libras, braille).</t>
  </si>
  <si>
    <t xml:space="preserve">Oficinas gratuitas (inciso V); declarar no Salic.</t>
  </si>
  <si>
    <t xml:space="preserve">Não se aplica (sem venda).</t>
  </si>
  <si>
    <t xml:space="preserve">Adm 8,2%, acessibilidade/divulgação 16,1%, captação 10,0%.</t>
  </si>
  <si>
    <t xml:space="preserve">Remuneração do proponente PF (art. 23 §2º II ≤ 30%)</t>
  </si>
  <si>
    <t xml:space="preserve">Coordenação = 7 × 2.500 = R$ 17.500 (8,75%).</t>
  </si>
  <si>
    <t xml:space="preserve">Bens permanentes / destinação (art. 30)</t>
  </si>
  <si>
    <t xml:space="preserve">A doação de kits às instituições de saúde não se enquadra (destinação só a entidade pública de natureza cultural). Tratar como material de consumo ou manter com o proponente para uso cultural.</t>
  </si>
  <si>
    <t xml:space="preserve">Direitos autorais (art. 27) e ECAD (art. 29)</t>
  </si>
  <si>
    <t xml:space="preserve">Verba de R$ 2 mil (1% do total).</t>
  </si>
  <si>
    <t xml:space="preserve">R$ 600 por músico/apresentação.</t>
  </si>
  <si>
    <t xml:space="preserve">P17 Corpo em Cena</t>
  </si>
  <si>
    <t xml:space="preserve">Título; área Artes Cênicas/Dança e Art. 18 pretendidos; "Proponente formal: pessoa física ou jurídica a definir".</t>
  </si>
  <si>
    <t xml:space="preserve">Definir proponente (CPF ou CNPJ com CNAE cultural), cadastro Salic e segmento exato do produto principal.</t>
  </si>
  <si>
    <t xml:space="preserve">8 meses relativos (2 + 4 + 2), "sem data civil".</t>
  </si>
  <si>
    <t xml:space="preserve">Datas civis e prazo de captação.</t>
  </si>
  <si>
    <t xml:space="preserve">Ficha-síntese e Apresentação: 3 núcleos, 90 mulheres, 48 encontros, espetáculo, mostra, minidoc.</t>
  </si>
  <si>
    <t xml:space="preserve">Condensar em campo Salic.</t>
  </si>
  <si>
    <t xml:space="preserve">Objetivo geral + 8 específicos quantificados (90 vagas, 48 encontros, 3 apresentações, minidoc).</t>
  </si>
  <si>
    <t xml:space="preserve">Barreiras de acesso de mulheres periféricas, intergeracionalidade, autoria coletiva.</t>
  </si>
  <si>
    <t xml:space="preserve">Citar art. 1º e 3º da Lei 8.313 e dados territoriais (oferta cultural nos municípios); retirar a menção a "autoestima/pertencimento" como resultado esperado ou deixá-la explicitamente acessória.</t>
  </si>
  <si>
    <t xml:space="preserve">Vistoria, variações sentadas, Libras, audiodescrição "quando aplicável", legendas nos vídeos.</t>
  </si>
  <si>
    <t xml:space="preserve">Plano quantificado com Guia MDHC (orçado nesta planilha) e regras para oficinas.</t>
  </si>
  <si>
    <t xml:space="preserve">Tudo gratuito; inscrição aberta com cotas de encaminhamento comunitário.</t>
  </si>
  <si>
    <t xml:space="preserve">Gratuidade, transporte para apresentação principal, acolhimento infantil.</t>
  </si>
  <si>
    <t xml:space="preserve">Declarar incisos do art. 42: II (transporte gratuito acessível), VI (ação cultural para crianças/jovens) e V; contrapartida não se aplica.</t>
  </si>
  <si>
    <t xml:space="preserve">Cronograma de 8 meses com 8 linhas de ação.</t>
  </si>
  <si>
    <t xml:space="preserve">"Equipe técnica prevista — funções, sem nomes"; só Amanda Lourenço nomeada.</t>
  </si>
  <si>
    <t xml:space="preserve">Nomes e currículos de direção artística, coordenação pedagógica e oficineiras.</t>
  </si>
  <si>
    <t xml:space="preserve">Sinopse/descrição artística</t>
  </si>
  <si>
    <t xml:space="preserve">Obra autoral de dança, 45–60 min, forma "definida ao longo dos laboratórios".</t>
  </si>
  <si>
    <t xml:space="preserve">Argumento/ conceito do espetáculo e da mostra (temas, linguagem) mesmo que aberto.</t>
  </si>
  <si>
    <t xml:space="preserve">Materiais de baixo desperdício, reutilização, transporte simplificado.</t>
  </si>
  <si>
    <t xml:space="preserve">Parágrafo próprio.</t>
  </si>
  <si>
    <t xml:space="preserve">16 encontros × 2 h por núcleo, 32 h/turma, 3 apresentações de 45–60 min, minidoc 5–8 min.</t>
  </si>
  <si>
    <t xml:space="preserve">Três eixos e matriz pedagógica por blocos.</t>
  </si>
  <si>
    <t xml:space="preserve">BH e Contagem definidos; 3º município entre Betim, Ribeirão das Neves e Ibirité; espaços não definidos.</t>
  </si>
  <si>
    <t xml:space="preserve">Escolher município, espaços e anuências.</t>
  </si>
  <si>
    <t xml:space="preserve">90 vagas; meta de 300 presenças nas 3 apresentações; sem cobrança.</t>
  </si>
  <si>
    <t xml:space="preserve">Inserir também público da mostra e visualizações do minidoc.</t>
  </si>
  <si>
    <t xml:space="preserve">Canais comunitários, redes, materiais acessíveis, marcas.</t>
  </si>
  <si>
    <t xml:space="preserve">Quantificar peças e cronograma.</t>
  </si>
  <si>
    <t xml:space="preserve">"Será desenvolvida pelo setor financeiro".</t>
  </si>
  <si>
    <t xml:space="preserve">Adotar planilha desta revisão.</t>
  </si>
  <si>
    <t xml:space="preserve">Rouanet Art. 18 e IFC-MG Categoria 1 discutidos; "evitar custeio duplicado".</t>
  </si>
  <si>
    <t xml:space="preserve">Decidir se IFC será alternativa ou complemento e registrar no Salic.</t>
  </si>
  <si>
    <t xml:space="preserve">Proponente indefinido; sem currículos, projeto pedagógico formal ou anuências.</t>
  </si>
  <si>
    <t xml:space="preserve">Documentos do proponente, portfólio (dispensável só se PF/1º projeto ≤ R$ 200 mil), currículos, projeto pedagógico com carga horária, anuências dos espaços.</t>
  </si>
  <si>
    <t xml:space="preserve">Metas/indicadores</t>
  </si>
  <si>
    <t xml:space="preserve">Tabela de metas com meio de comprovação; distinção vagas x concluintes.</t>
  </si>
  <si>
    <t xml:space="preserve">Formação e criação em dança/artes visuais por mulheres periféricas.</t>
  </si>
  <si>
    <t xml:space="preserve">48 encontros formativos + espetáculo coletivo.</t>
  </si>
  <si>
    <t xml:space="preserve">BH, Contagem e 3º município a escolher.</t>
  </si>
  <si>
    <t xml:space="preserve">Definir 3º município e espaços.</t>
  </si>
  <si>
    <t xml:space="preserve">90 mulheres 16+, prioridades definidas; 300 presenças.</t>
  </si>
  <si>
    <t xml:space="preserve">8 meses relativos.</t>
  </si>
  <si>
    <t xml:space="preserve">Datas civis.</t>
  </si>
  <si>
    <t xml:space="preserve">Gratuidade, sem pré-requisito, lanche, transporte, ateliê infantil.</t>
  </si>
  <si>
    <t xml:space="preserve">Proponente formal indefinido; equipe sem nomes.</t>
  </si>
  <si>
    <t xml:space="preserve">Definir proponente e equipe.</t>
  </si>
  <si>
    <t xml:space="preserve">"Arminde" sem nome jurídico; redes de encaminhamento e espaços não formalizados.</t>
  </si>
  <si>
    <t xml:space="preserve">Cartas de anuência; confirmar se "Arminde" é a Armind (proponente de P09) e formalizar como fornecedor com cotação.</t>
  </si>
  <si>
    <t xml:space="preserve">Teto e prioridades de despesa.</t>
  </si>
  <si>
    <t xml:space="preserve">Planilha desta revisão; plano de prospecção.</t>
  </si>
  <si>
    <t xml:space="preserve">Prioriza Rouanet Art. 18 e IFC Categoria 1 com análise detalhada.</t>
  </si>
  <si>
    <t xml:space="preserve">Meios de comprovação por meta.</t>
  </si>
  <si>
    <t xml:space="preserve">A proposta será centrada em dança, teatro físico, expressão corporal ou outra linguagem?</t>
  </si>
  <si>
    <t xml:space="preserve">Dança (contemporânea, urbanas, livre) e expressão corporal, articuladas a artes visuais.</t>
  </si>
  <si>
    <t xml:space="preserve">Quem será atendido e qual a relação desse público com a frente "Saúde"?</t>
  </si>
  <si>
    <t xml:space="preserve">90 mulheres 16+ (negras, mães solo, LGBTQIA+, periféricas, idosas); saúde aparece só como "possível efeito positivo" e encaminhamento voluntário de CAPS.</t>
  </si>
  <si>
    <t xml:space="preserve">Assumir que a relação com "Saúde" é apenas de frente interna do cliente; no Salic não vender efeitos de saúde mental/autoestima nem dar destaque a CAPS.</t>
  </si>
  <si>
    <t xml:space="preserve">Será um processo formativo, uma criação coletiva ou a circulação de um espetáculo?</t>
  </si>
  <si>
    <t xml:space="preserve">Os três em sequência: formação (48 encontros) → criação coletiva → 3 apresentações + mostra.</t>
  </si>
  <si>
    <t xml:space="preserve">Definir no Salic qual é o produto principal (recomendado: oficinas, que concentram o maior custo nesta planilha).</t>
  </si>
  <si>
    <t xml:space="preserve">Qual metodologia, quantos encontros e quais adaptações para mobilidade e participação?</t>
  </si>
  <si>
    <t xml:space="preserve">Matriz de 4 blocos × 4 encontros; 16 por núcleo, 2 h; variações sentadas/baixo impacto, comunicação antecipada.</t>
  </si>
  <si>
    <t xml:space="preserve">Formalizar em projeto pedagógico (Anexo II).</t>
  </si>
  <si>
    <t xml:space="preserve">Haverá apresentação final ou outra entrega artística? Como os participantes serão envolvidos na criação e avaliação?</t>
  </si>
  <si>
    <t xml:space="preserve">Espetáculo coletivo + mostra + minidoc; dramaturgia com relatos autorizados; avaliação "mensurada durante a execução".</t>
  </si>
  <si>
    <t xml:space="preserve">Instrumento de avaliação participativa (rodas de avaliação, questionário) e critério de participação no elenco.</t>
  </si>
  <si>
    <t xml:space="preserve">Artes Cênicas: produto principal em "Empreendimento de Ações Educativo-Culturais/Capacitação/Treinamento" (dança) e secundário "Apresentação/Performance de Dança"; mostra em Artes Visuais "Exposição Cultural/Artística"; todos Art. 18.</t>
  </si>
  <si>
    <t xml:space="preserve">IN art. 18 – caráter social: só custos artístico-culturais</t>
  </si>
  <si>
    <t xml:space="preserve">Lanche (R$ 8.640) e ateliê infantil (R$ 3.840) são custos de permanência que o parecerista pode glosar se descritos como assistência social. Descrever o ateliê como atividade artística para crianças conduzida por arte-educadora e o lanche como suporte às oficinas de 2 h.</t>
  </si>
  <si>
    <t xml:space="preserve">Carteira/proponente (arts. 10–11)</t>
  </si>
  <si>
    <t xml:space="preserve">Proponente indefinido. Se Amanda Lourenço PF: 1 projeto de R$ 200 mil – dentro do limite PF e da dispensa de portfólio se for o 1º projeto (art. 4º §5º). Se PJ: exigir CNAE cultural compatível com dança.</t>
  </si>
  <si>
    <t xml:space="preserve">Sem projeto semelhante do mesmo proponente; P18 (idosos, coral e dança, Educare) tem público e objeto distintos.</t>
  </si>
  <si>
    <t xml:space="preserve">Bem descrita; incluída na planilha (consultoria, Libras, AD, monitores, legendagem). Falta referência ao Guia MDHC.</t>
  </si>
  <si>
    <t xml:space="preserve">Transporte gratuito (II), ação para crianças/jovens (VI), oficinas gratuitas (V).</t>
  </si>
  <si>
    <t xml:space="preserve">Não se aplica: sem venda.</t>
  </si>
  <si>
    <t xml:space="preserve">Adm 8,4%, acessibilidade/divulgação 18,8%, captação 10,0%.</t>
  </si>
  <si>
    <t xml:space="preserve">Coordenação 8 × 2.200 = R$ 17.600 (8,8%), abaixo de 20% (PJ) ou 30% (PF).</t>
  </si>
  <si>
    <t xml:space="preserve">Se "Arminde"/Armind fornecer som, luz e técnica, total ≈ R$ 14 mil (7%) – OK; não concentrar outras rubricas. Armind é proponente de P09: evitar conflito de interesse e documentar cotações.</t>
  </si>
  <si>
    <t xml:space="preserve">Participantes de 16–17 anos</t>
  </si>
  <si>
    <t xml:space="preserve">Autorização dos responsáveis para participação, transporte e imagem (ECA/LGPD).</t>
  </si>
  <si>
    <t xml:space="preserve">P18 Arte e Envelhecimento Ativo</t>
  </si>
  <si>
    <t xml:space="preserve">Título; versão "PRONAC/SALIC artigo 18"; "Proponente: A definir; Educare é referência provisória, não confirmada".</t>
  </si>
  <si>
    <t xml:space="preserve">Confirmar Educare (CNPJ, CNAE cultural – ex.: 8592-9/01 ensino de dança, 8592-9/03 ensino de música, 9001-9/99), área Artes Cênicas e segmento do produto principal.</t>
  </si>
  <si>
    <t xml:space="preserve">10 meses relativos (M1–M10) com etapas.</t>
  </si>
  <si>
    <t xml:space="preserve">Seção 1 apresenta formação, criação e fruição em coral e dança com pessoas idosas em 6 instituições, gratuito.</t>
  </si>
  <si>
    <t xml:space="preserve">Condensar para o campo Salic.</t>
  </si>
  <si>
    <t xml:space="preserve">Objetivo geral + 6 específicos (6 instituições, 24 semanas, 120–180 pessoas, 2 turmas de 15, 7 apresentações).</t>
  </si>
  <si>
    <t xml:space="preserve">Fixar um número único de participantes (120) para o Salic.</t>
  </si>
  <si>
    <t xml:space="preserve">Direito à vida cultural na velhice; barreiras de acesso; protagonismo de pessoas idosas.</t>
  </si>
  <si>
    <t xml:space="preserve">Citar art. 1º/3º Lei 8.313; dados de população idosa e oferta cultural nos territórios; manter "combate ao isolamento/autoestima" como impacto acessório.</t>
  </si>
  <si>
    <t xml:space="preserve">Seção 7 detalha arquitetônica, metodológica, comunicacional, apresentações, deslocamento e imagem.</t>
  </si>
  <si>
    <t xml:space="preserve">Mencionar o Guia MDHC e quantificar (feito na planilha).</t>
  </si>
  <si>
    <t xml:space="preserve">100% gratuito, sem seleção por habilidade, religião ou escolaridade.</t>
  </si>
  <si>
    <t xml:space="preserve">Oferta no local de convivência e transporte para a mostra; contrapartida "apenas se acionada".</t>
  </si>
  <si>
    <t xml:space="preserve">Declarar art. 42 VII (ILPIs), II (transporte gratuito acessível) e VIII/V (formação de multiplicadores); contrapartida não se aplica (sem venda).</t>
  </si>
  <si>
    <t xml:space="preserve">Cronograma M1–M10 com 6 etapas.</t>
  </si>
  <si>
    <t xml:space="preserve">14 funções listadas; "nomes e currículos da equipe principal permanecem pendentes".</t>
  </si>
  <si>
    <t xml:space="preserve">Nomes/currículos de direção artístico-pedagógica, regente, arte-educador(a) de dança e formador(a).</t>
  </si>
  <si>
    <t xml:space="preserve">Repertório regional mineiro, cantigas populares, memória afetiva; dança contemporânea adaptada; mostra colaborativa.</t>
  </si>
  <si>
    <t xml:space="preserve">Repertório orientador e conceito da mostra final.</t>
  </si>
  <si>
    <t xml:space="preserve">Não tratado na versão federal (só a estadual menciona plano de resíduos).</t>
  </si>
  <si>
    <t xml:space="preserve">Parágrafo de sustentabilidade (impressos mínimos, transporte coletivo, resíduos na mostra).</t>
  </si>
  <si>
    <t xml:space="preserve">144 oficinas de 1 h (72 + 72), 2 turmas × 4 encontros × 2 h, 7 apresentações, 6 vídeos curtos + 1 síntese.</t>
  </si>
  <si>
    <t xml:space="preserve">Três eixos com alternância semanal coral/dança e 4 "movimentos" do percurso.</t>
  </si>
  <si>
    <t xml:space="preserve">BH e RMBH; instituições "escolhidas após mapeamento".</t>
  </si>
  <si>
    <t xml:space="preserve">Lista das 6 instituições (centros de convivência/ILPIs), municípios e local da mostra.</t>
  </si>
  <si>
    <t xml:space="preserve">120 participantes únicos (até 180), 30 multiplicadores, ~450 espectadores nos 7 eventos, 100% gratuito.</t>
  </si>
  <si>
    <t xml:space="preserve">Cartazes legíveis, redes, canais das instituições, informação de acessibilidade.</t>
  </si>
  <si>
    <t xml:space="preserve">Quantidades e cronograma; marcas Pronac.</t>
  </si>
  <si>
    <t xml:space="preserve">Só "limites internos de planejamento" por grupo (ex.: captação R$ 15 mil).</t>
  </si>
  <si>
    <t xml:space="preserve">Adotar planilha desta revisão (R$ 250.000), com captação de 10% e custos vinculados nos tetos.</t>
  </si>
  <si>
    <t xml:space="preserve">Versões federal e estadual separadas; "não se prevê aporte financeiro".</t>
  </si>
  <si>
    <t xml:space="preserve">Definir se LEIC/IFC será complementar e quais despesas cobre.</t>
  </si>
  <si>
    <t xml:space="preserve">Pendências 01, 04, F2: proponente, portfólio, currículos e projeto pedagógico não reunidos.</t>
  </si>
  <si>
    <t xml:space="preserve">Documentos da PJ, portfólio, currículos, projeto pedagógico (carga horária/conteúdo), anuências das instituições.</t>
  </si>
  <si>
    <t xml:space="preserve">Tabela de entregas com comprovação; avaliação por escuta voluntária, "sem testes médicos".</t>
  </si>
  <si>
    <t xml:space="preserve">Direitos culturais de pessoas idosas como criadoras e intérpretes.</t>
  </si>
  <si>
    <t xml:space="preserve">144 oficinas continuadas + mostras.</t>
  </si>
  <si>
    <t xml:space="preserve">BH e RMBH, instituições a mapear.</t>
  </si>
  <si>
    <t xml:space="preserve">Definir instituições/municípios.</t>
  </si>
  <si>
    <t xml:space="preserve">60+, vulnerabilidade, 120–180 pessoas; 30 multiplicadores.</t>
  </si>
  <si>
    <t xml:space="preserve">10 meses relativos.</t>
  </si>
  <si>
    <t xml:space="preserve">Gratuito, participação parcial respeitada, transporte.</t>
  </si>
  <si>
    <t xml:space="preserve">Proponente não confirmado; equipe sem nomes.</t>
  </si>
  <si>
    <t xml:space="preserve">Confirmar Educare e equipe.</t>
  </si>
  <si>
    <t xml:space="preserve">Distribuição preliminar do teto por frentes.</t>
  </si>
  <si>
    <t xml:space="preserve">Planilha analítica (feita nesta revisão).</t>
  </si>
  <si>
    <t xml:space="preserve">Versão federal Art. 18 e versão estadual IFC separadas.</t>
  </si>
  <si>
    <t xml:space="preserve">Listas, relatórios, registros, contagem de pessoas únicas.</t>
  </si>
  <si>
    <t xml:space="preserve">Qual público, faixa etária e por meio de quais instituições ou territórios?</t>
  </si>
  <si>
    <t xml:space="preserve">60+, vulnerabilidade socioeconômica, centros de convivência e ILPIs de BH/RMBH; ~20 por instituição.</t>
  </si>
  <si>
    <t xml:space="preserve">Nomear as 6 instituições e territórios.</t>
  </si>
  <si>
    <t xml:space="preserve">Quais linguagens artísticas serão desenvolvidas?</t>
  </si>
  <si>
    <t xml:space="preserve">Canto coral e dança (contemporânea adaptada).</t>
  </si>
  <si>
    <t xml:space="preserve">Quantas turmas, frequência, duração e participantes?</t>
  </si>
  <si>
    <t xml:space="preserve">6 grupos, 1 encontro semanal de 60 min alternando coral/dança, 24 semanas, 20–30 por grupo; 2 turmas de multiplicadores de 15.</t>
  </si>
  <si>
    <t xml:space="preserve">Como considerar mobilidade, audição, visão e participação? Transporte ou acompanhantes?</t>
  </si>
  <si>
    <t xml:space="preserve">Atividades sentadas, letras ampliadas, Libras/AD, acompanhantes, transporte adequado para a mostra final.</t>
  </si>
  <si>
    <t xml:space="preserve">Quantificar acompanhantes e veículos acessíveis.</t>
  </si>
  <si>
    <t xml:space="preserve">Qual o resultado cultural? Haverá participação de outras gerações?</t>
  </si>
  <si>
    <t xml:space="preserve">6 apresentações locais + mostra pública em BH + 7 vídeos; familiares e comunidades como público.</t>
  </si>
  <si>
    <t xml:space="preserve">Participação intergeracional não está prevista como ação (só como plateia) – incluir, por ex., ensaio aberto com escolas ou netos/familiares na mostra.</t>
  </si>
  <si>
    <t xml:space="preserve">Produto principal: Artes Cênicas – Ações Educativo-Culturais (dança adaptada), ação de maior custo (~R$ 47 mil); coral (Música – Canto Coral/Ações Educativo-Culturais) também é Art. 18.</t>
  </si>
  <si>
    <t xml:space="preserve">IN art. 18 – caráter social/saúde: só custos artístico-culturais</t>
  </si>
  <si>
    <t xml:space="preserve">Texto já afasta ginástica/saúde/terapia. Não incluir cuidadores, fisioterapeuta, lanche assistencial ou transporte de rotina; "exercícios de respiração" devem ser técnica vocal.</t>
  </si>
  <si>
    <t xml:space="preserve">Carteira PJ (art. 10 III)</t>
  </si>
  <si>
    <t xml:space="preserve">Educare: P01 (R$ 500 mil) + P18 (R$ 250 mil) = R$ 750 mil, 2 projetos.</t>
  </si>
  <si>
    <t xml:space="preserve">Proponente não confirmado; &gt; R$ 200 mil exige portfólio; CNAE da Educare deve ser cultural (ensino de arte e cultura/artes cênicas).</t>
  </si>
  <si>
    <t xml:space="preserve">P01 (formação técnica do espetáculo) tem objetivo distinto; P17 (Corpo em Cena) é de outro proponente e público.</t>
  </si>
  <si>
    <t xml:space="preserve">Vedação a proselitismo religioso</t>
  </si>
  <si>
    <t xml:space="preserve">Repertório religioso apenas por escolha dos participantes e sem caráter de culto – manter essa redação.</t>
  </si>
  <si>
    <t xml:space="preserve">Plano robusto; planilha prevê coordenação de acessibilidade, Libras, AD, monitores, material ampliado e legendas. Citar Guia MDHC.</t>
  </si>
  <si>
    <t xml:space="preserve">VII (ILPIs), II (transporte), VIII/V (multiplicadores e oficinas gratuitas).</t>
  </si>
  <si>
    <t xml:space="preserve">Adm 8,2%, acessibilidade/divulgação 18,2%, captação 10,0% (o documento previa só 6% de captação).</t>
  </si>
  <si>
    <t xml:space="preserve">Maior pagamento: arte-educador(a) de dança ou regente (R$ 21,6 mil = 8,6%).</t>
  </si>
  <si>
    <t xml:space="preserve">Imagem/consentimento de pessoas idosas e curateladas</t>
  </si>
  <si>
    <t xml:space="preserve">ILPIs: autorização de representantes legais quando houver incapacidade; participação sem filmagem.</t>
  </si>
  <si>
    <t xml:space="preserve">P19 Acelera Minas – formação de kart</t>
  </si>
  <si>
    <t xml:space="preserve">Título 'Acelera Minas Escola de Kart'; proponente '[Nome da OSC]' com sede em Juatuba (a preencher); nível 'Formação Esportiva' da LIE. A planilha do cliente indica Rafael Tose.</t>
  </si>
  <si>
    <t xml:space="preserve">Definir proponente (PF ou PJ) e CNAE. Não existe área ou segmento cultural: o objeto teria de ser reformulado.</t>
  </si>
  <si>
    <t xml:space="preserve">12 meses, cronograma por mês; prestação de contas 60 dias depois.</t>
  </si>
  <si>
    <t xml:space="preserve">Datas reais e prazo de captação.</t>
  </si>
  <si>
    <t xml:space="preserve">Resumo claro, mas 100% esportivo (formação de pilotos de kart).</t>
  </si>
  <si>
    <t xml:space="preserve">Só faz sentido no SALIC com um novo objeto cultural.</t>
  </si>
  <si>
    <t xml:space="preserve">Objetivos mensuráveis e esportivos (96 encontros, redução de 10% no tempo de volta, corrida de exibição).</t>
  </si>
  <si>
    <t xml:space="preserve">Não existem objetivos culturais.</t>
  </si>
  <si>
    <t xml:space="preserve">Justificativa baseada em custo da modalidade e dados do IBGE (Juatuba 30.716 hab.; IDHM 0,717).</t>
  </si>
  <si>
    <t xml:space="preserve">Não demonstra aderência ao art. 1º nem ao art. 3º da Lei 8.313/91. O kart não tem referência cultural (tradição, memória, linguagem artística) que sustente o enquadramento.</t>
  </si>
  <si>
    <t xml:space="preserve">Vistoria do Mega Space, 5% das vagas para PcD, Libras em 3 eventos, ônibus acessível, descrição de imagens.</t>
  </si>
  <si>
    <t xml:space="preserve">Faltam audiodescrição, consultor de acessibilidade e o Guia MDHC.</t>
  </si>
  <si>
    <t xml:space="preserve">Gratuito; 50% rede pública; 30% meninas; corrida aberta ao público.</t>
  </si>
  <si>
    <t xml:space="preserve">Plano de distribuição no formato SALIC.</t>
  </si>
  <si>
    <t xml:space="preserve">'Contrapartidas sociais': Dias do Kart Aberto, palestras de segurança no trânsito, doação da frota.</t>
  </si>
  <si>
    <t xml:space="preserve">São ações esportivas ou educativas, não culturais. Doar karts não é 'doação de produto cultural'.</t>
  </si>
  <si>
    <t xml:space="preserve">Cronograma físico e financeiro por trimestre.</t>
  </si>
  <si>
    <t xml:space="preserve">Etapas no formato SALIC.</t>
  </si>
  <si>
    <t xml:space="preserve">Funções: coordenador, 4 instrutores de pilotagem, 2 professores, 2 mecânicos, pedagogo/assistente social.</t>
  </si>
  <si>
    <t xml:space="preserve">Sem nomes. Nenhuma função artística.</t>
  </si>
  <si>
    <t xml:space="preserve">Não há conteúdo artístico.</t>
  </si>
  <si>
    <t xml:space="preserve">Inexistente no objeto atual.</t>
  </si>
  <si>
    <t xml:space="preserve">Não trata de impacto ambiental. O uso de combustível e pneus é intensivo.</t>
  </si>
  <si>
    <t xml:space="preserve">Medidas ambientais.</t>
  </si>
  <si>
    <t xml:space="preserve">2 turmas de 40, 96 encontros por turma, 10 karts, simulador.</t>
  </si>
  <si>
    <t xml:space="preserve">Especificações esportivas.</t>
  </si>
  <si>
    <t xml:space="preserve">Metodologia em 7 módulos de pilotagem, mecânica e preparação física.</t>
  </si>
  <si>
    <t xml:space="preserve">Metodologia esportiva.</t>
  </si>
  <si>
    <t xml:space="preserve">Mega Space (Santa Luzia); alunos de Juatuba e Santa Luzia; ônibus fretado.</t>
  </si>
  <si>
    <t xml:space="preserve">Sem anuência do Mega Space.</t>
  </si>
  <si>
    <t xml:space="preserve">80 alunos; corrida e Dias do Kart Aberto gratuitos.</t>
  </si>
  <si>
    <t xml:space="preserve">Público por produto não estimado.</t>
  </si>
  <si>
    <t xml:space="preserve">Verba de divulgação de R$ 60 mil com selo da LIE e logomarcas de patrocinadores nos uniformes e karts.</t>
  </si>
  <si>
    <t xml:space="preserve">Marcas do Pronac/MinC. Na Rouanet, a exposição de marca do patrocinador segue o Manual de Marcas e a lei.</t>
  </si>
  <si>
    <t xml:space="preserve">Orçamento analítico da LIE de R$ 2.434.400: pista R$ 288 mil, karts R$ 280 mil, combustível e manutenção R$ 180 mil, kits de segurança R$ 200 mil, ônibus R$ 240 mil, ambulância R$ 144 mil, lanche R$ 153,6 mil.</t>
  </si>
  <si>
    <t xml:space="preserve">Quase todos os itens seriam glosados na Rouanet (IN art. 18). O valor é 5,4 vezes o da planilha do cliente (R$ 450 mil). 'Elaboração e captação' aparece somada numa linha só.</t>
  </si>
  <si>
    <t xml:space="preserve">Não informa outras fontes.</t>
  </si>
  <si>
    <t xml:space="preserve">Definir fontes.</t>
  </si>
  <si>
    <t xml:space="preserve">Campos do proponente entre colchetes (CNPJ, estatuto, finalidade, experiência).</t>
  </si>
  <si>
    <t xml:space="preserve">Toda a documentação.</t>
  </si>
  <si>
    <t xml:space="preserve">Indicadores quantitativos e qualitativos com método de coleta.</t>
  </si>
  <si>
    <t xml:space="preserve">Indicadores esportivos (tempo de volta, frequência).</t>
  </si>
  <si>
    <t xml:space="preserve">Democratizar o kart, modalidade de alto custo.</t>
  </si>
  <si>
    <t xml:space="preserve">Propósito esportivo, sem resultado cultural.</t>
  </si>
  <si>
    <t xml:space="preserve">Escola de kart com 80 alunos e corrida de exibição.</t>
  </si>
  <si>
    <t xml:space="preserve">Entrega esportiva: incompatível com a Rouanet.</t>
  </si>
  <si>
    <t xml:space="preserve">Juatuba e Santa Luzia (Mega Space).</t>
  </si>
  <si>
    <t xml:space="preserve">Anuência do Mega Space.</t>
  </si>
  <si>
    <t xml:space="preserve">80 jovens de 10 a 17 anos; 50% rede pública; 30% meninas; 5% PcD.</t>
  </si>
  <si>
    <t xml:space="preserve">12 meses; 96 encontros por turma.</t>
  </si>
  <si>
    <t xml:space="preserve">Gratuito; seleção nas escolas públicas pelo CadÚnico; plano de acessibilidade.</t>
  </si>
  <si>
    <t xml:space="preserve">Exige atestado médico, critério de saúde que não é cultural.</t>
  </si>
  <si>
    <t xml:space="preserve">Proponente '[Nome da OSC]'. Rafael Tose na planilha. Natureza (PF/PJ) não informada. '[Produtora parceira]' na gestão.</t>
  </si>
  <si>
    <t xml:space="preserve">Definir proponente e comprovar capacidade.</t>
  </si>
  <si>
    <t xml:space="preserve">Mega Space e escolas citados, sem nenhuma parceria formalizada.</t>
  </si>
  <si>
    <t xml:space="preserve">Orçamento detalhado de R$ 2,43 milhões, sem cotações.</t>
  </si>
  <si>
    <t xml:space="preserve">Incompatível com os R$ 450 mil da planilha.</t>
  </si>
  <si>
    <t xml:space="preserve">Projeto técnico no formato da LIE (Portaria ME nº 10/2026; 'selo da LIE').</t>
  </si>
  <si>
    <t xml:space="preserve">Mecanismo correto: incentivo ao esporte, não Rouanet.</t>
  </si>
  <si>
    <t xml:space="preserve">Indicadores e métodos de coleta esportivos.</t>
  </si>
  <si>
    <t xml:space="preserve">Qual é o objeto central: formação esportiva de pilotos de kart ou uma ação artístico-cultural que tenha o kart/automobilismo como tema? (pergunta formulada pelo revisor: o projeto não consta do Checklist_Perguntas_19_Projetos)</t>
  </si>
  <si>
    <t xml:space="preserve">Formação esportiva: 'democratizar o acesso ao kart, formando 80 crianças e adolescentes… em 12 meses de prática regular'.</t>
  </si>
  <si>
    <t xml:space="preserve">A resposta define um objeto NÃO enquadrável na Rouanet.</t>
  </si>
  <si>
    <t xml:space="preserve">Quais entregas seriam artístico-culturais e quais esportivas, e qual mecanismo financia cada uma? (revisor)</t>
  </si>
  <si>
    <t xml:space="preserve">Nenhuma entrega cultural.</t>
  </si>
  <si>
    <t xml:space="preserve">Sem componente cultural, o projeto deve ir para a LIE (Lei 11.438/2006) ou para a Lei Estadual de Incentivo ao Esporte de MG (Lei 20.824/2013).</t>
  </si>
  <si>
    <t xml:space="preserve">Quem é o proponente (Rafael Tose como PF, uma OSC ou uma produtora) e como fica a carteira dele com o P21 Caravana Cultura &amp; Saúde? (revisor)</t>
  </si>
  <si>
    <t xml:space="preserve">'[Nome da OSC]' com sede em Juatuba; '[Produtora parceira]' na gestão.</t>
  </si>
  <si>
    <t xml:space="preserve">Definir. Se Rafael Tose for PF, a carteira é de R$ 500 mil: P19 (R$ 450 mil) + P21 (R$ 450 mil) não cabem juntos.</t>
  </si>
  <si>
    <t xml:space="preserve">Qual é o valor real do projeto e o que cabe nos R$ 450 mil da planilha? (revisor)</t>
  </si>
  <si>
    <t xml:space="preserve">Documento: R$ 2.434.400. Planilha do cliente: R$ 450 mil (mínimo R$ 90 mil).</t>
  </si>
  <si>
    <t xml:space="preserve">Redimensionar, inclusive para a LIE: só pista, karts e combustível já passam de R$ 740 mil.</t>
  </si>
  <si>
    <t xml:space="preserve">Quais espaço, equipe, segurança e acessibilidade são necessários e estão confirmados? (revisor)</t>
  </si>
  <si>
    <t xml:space="preserve">Mega Space; 10 profissionais; ambulância em todo encontro prático; seguro; EPIs; 5% de vagas PcD; Libras.</t>
  </si>
  <si>
    <t xml:space="preserve">Anuências e cotações. Todos esses itens são esportivos e não financiáveis pela Rouanet.</t>
  </si>
  <si>
    <t xml:space="preserve">Enquadramento – Anexo IV</t>
  </si>
  <si>
    <t xml:space="preserve">Formação esportiva de kart não tem área nem segmento cultural no Anexo IV. A proposta seria inadmitida ou arquivada.</t>
  </si>
  <si>
    <t xml:space="preserve">Praticamente 100% do orçamento seria glosado: pista, karts, simulador, combustível, pneus, EPIs, uniformes, instrutores de pilotagem, mecânicos, preparação física, ambulância, seguro esportivo, cronometragem, troféus, lanche da prática esportiva e assistente social.</t>
  </si>
  <si>
    <t xml:space="preserve">Limite PF (R$ 500 mil por projeto; carteira R$ 500 mil; 2 projetos)</t>
  </si>
  <si>
    <t xml:space="preserve">O valor do documento (R$ 2,43 mi) excede qualquer teto de PF. Se Rafael Tose for PF, P19 + P21 = R$ 900 mil &gt; R$ 500 mil de carteira.</t>
  </si>
  <si>
    <t xml:space="preserve">1º projeto sem portfólio (≤ R$ 200 mil)</t>
  </si>
  <si>
    <t xml:space="preserve">Sem informação de portfólio cultural do proponente. Acima de R$ 200 mil é obrigatório comprovar atuação cultural.</t>
  </si>
  <si>
    <t xml:space="preserve">CNAE cultural (PJ)</t>
  </si>
  <si>
    <t xml:space="preserve">O documento pede 'finalidade esportiva' no estatuto, o oposto do exigido pela IN 29 (art. 4º §3º).</t>
  </si>
  <si>
    <t xml:space="preserve">Karts (R$ 280 mil) e simulador como 'legado da OSC' não têm natureza cultural nem cabem na Rouanet.</t>
  </si>
  <si>
    <t xml:space="preserve">Captação (≤ 10% e ≤ R$ 150 mil) e elaboração (custos de administração)</t>
  </si>
  <si>
    <t xml:space="preserve">'Elaboração e captação' somadas em R$ 100 mil numa linha só. Na Rouanet elas vão separadas: elaboração em administração, captação ≤ 10% do valor do projeto.</t>
  </si>
  <si>
    <t xml:space="preserve">Mesmo modelo de documento, mesmo território (Juatuba) e mesma '[Produtora parceira]' que o P20. Reformular P19 e P20 como 'formação audiovisual de jovens de Juatuba tendo o esporte como tema' cria objetos semelhantes, vedados mesmo com proponentes diferentes. Também precisa ficar distinto do P21 (mesmo proponente).</t>
  </si>
  <si>
    <t xml:space="preserve">Plano razoável para a versão esportiva; sem AD nem consultor.</t>
  </si>
  <si>
    <t xml:space="preserve">Não aplicável (gratuito).</t>
  </si>
  <si>
    <t xml:space="preserve">P20 Jovens do Fut – formação em Juatuba</t>
  </si>
  <si>
    <t xml:space="preserve">Título 'Escola de Futebol Juatuba' (planilha: 'Jovens do Fut'); proponente '[Nome da OSC]' (planilha: 'a definir'); nível 'Formação Esportiva' da LIE.</t>
  </si>
  <si>
    <t xml:space="preserve">Definir proponente com CNAE e portfólio culturais. Sem área ou segmento cultural no objeto atual.</t>
  </si>
  <si>
    <t xml:space="preserve">12 meses; cronograma por mês.</t>
  </si>
  <si>
    <t xml:space="preserve">Resumo claro, mas 100% esportivo (200 alunos, 3 treinos por semana, Copa Juatuba de Base).</t>
  </si>
  <si>
    <t xml:space="preserve">Novo resumo com o objeto cultural.</t>
  </si>
  <si>
    <t xml:space="preserve">Objetivos mensuráveis e esportivos (144 treinos por turma, avaliação física e técnica).</t>
  </si>
  <si>
    <t xml:space="preserve">Objetivos culturais (concluintes por linguagem, curtas, episódios de podcast, murais, Festival).</t>
  </si>
  <si>
    <t xml:space="preserve">Dados de Juatuba (30.716 hab.; IDHM 0,717; 53 km de BH) e falta de esporte gratuito no contraturno.</t>
  </si>
  <si>
    <t xml:space="preserve">Justificativa cultural: futebol como fenômeno cultural e de memória local, baixa oferta de formação artística em Juatuba, aderência aos arts. 1º e 3º da Lei 8.313/91.</t>
  </si>
  <si>
    <t xml:space="preserve">Vistoria de campos, 5% de vagas PcD, Libras em eventos, legenda e descrição de imagens.</t>
  </si>
  <si>
    <t xml:space="preserve">Audiodescrição, consultor de acessibilidade, Guia MDHC, acessibilidade das salas das oficinas.</t>
  </si>
  <si>
    <t xml:space="preserve">Gratuito; 50% rede pública; prioridade CadÚnico; Copa aberta ao público.</t>
  </si>
  <si>
    <t xml:space="preserve">Plano de distribuição por produto cultural.</t>
  </si>
  <si>
    <t xml:space="preserve">'Contrapartidas': festivais de futebol, clínicas em escolas, doação de material esportivo.</t>
  </si>
  <si>
    <t xml:space="preserve">Medidas culturais do art. 42 (oficinas gratuitas para jovens, mostra e exposição gratuitas, vídeo com Libras/AD).</t>
  </si>
  <si>
    <t xml:space="preserve">Cronograma físico e financeiro.</t>
  </si>
  <si>
    <t xml:space="preserve">Etapas da versão cultural.</t>
  </si>
  <si>
    <t xml:space="preserve">Funções: coordenador técnico, 5 professores de educação física (CREF), 5 monitores, assistente social/psicólogo.</t>
  </si>
  <si>
    <t xml:space="preserve">Programas das oficinas de audiovisual, narração, percussão e arte urbana.</t>
  </si>
  <si>
    <t xml:space="preserve">Não trata.</t>
  </si>
  <si>
    <t xml:space="preserve">10 turmas de 20, 5 categorias, 3 treinos de 1h30 por semana.</t>
  </si>
  <si>
    <t xml:space="preserve">Especificações culturais (carga horária, nº de curtas e episódios, m² dos murais).</t>
  </si>
  <si>
    <t xml:space="preserve">Metodologia de treino esportivo.</t>
  </si>
  <si>
    <t xml:space="preserve">Metodologia pedagógica cultural.</t>
  </si>
  <si>
    <t xml:space="preserve">Campos e quadras municipais de Juatuba, mediante cessão a confirmar.</t>
  </si>
  <si>
    <t xml:space="preserve">Salas para as oficinas e superfícies autorizadas para os murais.</t>
  </si>
  <si>
    <t xml:space="preserve">200 alunos; eventos gratuitos.</t>
  </si>
  <si>
    <t xml:space="preserve">Público por produto (oficinas, Festival, exposição).</t>
  </si>
  <si>
    <t xml:space="preserve">Verba de R$ 30 mil com selo da LIE e logomarcas nos uniformes.</t>
  </si>
  <si>
    <t xml:space="preserve">Plano com peças e quantidades e marcas do Pronac/MinC.</t>
  </si>
  <si>
    <t xml:space="preserve">Orçamento LIE de R$ 1.129.800: professores de educação física, uniformes, chuteiras, lanche (R$ 201,6 mil), arbitragem, ambulância etc.</t>
  </si>
  <si>
    <t xml:space="preserve">Itens esportivos glosáveis (IN art. 18). Valor 2,3 vezes o da planilha do cliente (R$ 500 mil).</t>
  </si>
  <si>
    <t xml:space="preserve">Não informa.</t>
  </si>
  <si>
    <t xml:space="preserve">Definir fontes (a versão esportiva pode ir à LIE).</t>
  </si>
  <si>
    <t xml:space="preserve">Dados do proponente entre colchetes.</t>
  </si>
  <si>
    <t xml:space="preserve">Toda a documentação, mais o projeto pedagógico (Anexo II, item 7).</t>
  </si>
  <si>
    <t xml:space="preserve">Indicadores esportivos com método de coleta.</t>
  </si>
  <si>
    <t xml:space="preserve">Indicadores culturais.</t>
  </si>
  <si>
    <t xml:space="preserve">Prática esportiva orientada e gratuita no contraturno.</t>
  </si>
  <si>
    <t xml:space="preserve">Propósito cultural.</t>
  </si>
  <si>
    <t xml:space="preserve">Escola de futebol e Copa Juatuba de Base.</t>
  </si>
  <si>
    <t xml:space="preserve">Juatuba/MG, com campos e quadras municipais.</t>
  </si>
  <si>
    <t xml:space="preserve">Confirmar cessões.</t>
  </si>
  <si>
    <t xml:space="preserve">200 crianças e adolescentes de 7 a 17 anos; 2 turmas femininas; 5% PcD.</t>
  </si>
  <si>
    <t xml:space="preserve">12 meses; 144 treinos por turma.</t>
  </si>
  <si>
    <t xml:space="preserve">Gratuito; seleção via escolas e CRAS pelo CadÚnico.</t>
  </si>
  <si>
    <t xml:space="preserve">Atestado médico é critério esportivo.</t>
  </si>
  <si>
    <t xml:space="preserve">Proponente 'a definir' ('[Nome da OSC]'; '[Produtora parceira]').</t>
  </si>
  <si>
    <t xml:space="preserve">Definir proponente.</t>
  </si>
  <si>
    <t xml:space="preserve">Prefeitura (cessão) a confirmar.</t>
  </si>
  <si>
    <t xml:space="preserve">Cartas de parceria.</t>
  </si>
  <si>
    <t xml:space="preserve">Orçamento de R$ 1,13 mi sem cotações.</t>
  </si>
  <si>
    <t xml:space="preserve">Incompatível com os R$ 500 mil da planilha.</t>
  </si>
  <si>
    <t xml:space="preserve">Formato LIE (Portaria ME nº 10/2026; selo da LIE).</t>
  </si>
  <si>
    <t xml:space="preserve">Rouanet só com outro objeto.</t>
  </si>
  <si>
    <t xml:space="preserve">Qual é o objeto central: escola de futebol (esporte) ou formação/produção cultural ligada ao universo do futebol? (pergunta formulada pelo revisor: o projeto não consta do Checklist_Perguntas_19_Projetos)</t>
  </si>
  <si>
    <t xml:space="preserve">Esporte: 'oferecer formação esportiva gratuita em futebol a 200 crianças e adolescentes'.</t>
  </si>
  <si>
    <t xml:space="preserve">Para a Rouanet o objeto tem de mudar (ver reformulação).</t>
  </si>
  <si>
    <t xml:space="preserve">Quais linguagens artísticas entram (audiovisual, fotografia, narração/podcast, percussão de torcida, arte urbana) e com que carga horária? (revisor)</t>
  </si>
  <si>
    <t xml:space="preserve">Nenhuma.</t>
  </si>
  <si>
    <t xml:space="preserve">Definir com o cliente. A proposta deste parecer: 10 turmas de 20, 60 h cada, em 4 linguagens.</t>
  </si>
  <si>
    <t xml:space="preserve">Quem será o proponente e qual seu CNAE e portfólio cultural? (revisor)</t>
  </si>
  <si>
    <t xml:space="preserve">'[Nome da OSC]' com sede em Juatuba; planilha: 'a definir'.</t>
  </si>
  <si>
    <t xml:space="preserve">Proponente com CNAE cultural e portfólio (valor &gt; R$ 200 mil).</t>
  </si>
  <si>
    <t xml:space="preserve">Qual o valor real e o que cabe nos R$ 500 mil da planilha? (revisor)</t>
  </si>
  <si>
    <t xml:space="preserve">Documento: R$ 1.129.800. Planilha: R$ 500 mil (mínimo R$ 90 mil).</t>
  </si>
  <si>
    <t xml:space="preserve">Ajustar.</t>
  </si>
  <si>
    <t xml:space="preserve">Quais espaços, profissionais e medidas de acessibilidade? (revisor)</t>
  </si>
  <si>
    <t xml:space="preserve">Campos e quadras municipais; professores com CREF; Libras em eventos; 5% de vagas PcD.</t>
  </si>
  <si>
    <t xml:space="preserve">Salas para as oficinas, arte-educadores e acessibilidade completa.</t>
  </si>
  <si>
    <t xml:space="preserve">Escola de futebol não tem segmento cultural. Inadmissível como está.</t>
  </si>
  <si>
    <t xml:space="preserve">Seriam glosados: professores de educação física, monitores, coordenador técnico, material esportivo, uniformes, chuteiras, lanche dos treinos, seguro esportivo, locação de campos, arbitragem, troféus, ambulância, transporte para amistosos e assistente social/psicólogo.</t>
  </si>
  <si>
    <t xml:space="preserve">Limites de valor (PF R$ 500 mil; 1º projeto sem portfólio ≤ R$ 200 mil)</t>
  </si>
  <si>
    <t xml:space="preserve">O documento (R$ 1,13 mi) excede o teto de PF. A planilha (R$ 500 mil) é exatamente o teto de PF e exige portfólio cultural. Com proponente 'a definir', há risco de cair no limite de R$ 200 mil.</t>
  </si>
  <si>
    <t xml:space="preserve">O documento pressupõe uma OSC de 'finalidade esportiva'. Para a Rouanet o proponente precisa de CNAE cultural compatível com Audiovisual.</t>
  </si>
  <si>
    <t xml:space="preserve">Mesmo modelo, território e '[Produtora parceira]' do P19. Se ambos forem reformulados como formação audiovisual de jovens em Juatuba, configura objetos semelhantes. Submeter só um.</t>
  </si>
  <si>
    <t xml:space="preserve">Na reformulação: kits audiovisuais, de podcast e instrumentos de percussão adquiridos com justificativa de economicidade e destinação cultural.</t>
  </si>
  <si>
    <t xml:space="preserve">Captação ≤ 10% / elaboração em administração</t>
  </si>
  <si>
    <t xml:space="preserve">O documento junta 'elaboração e captação' (R$ 100 mil). Na Rouanet, separar.</t>
  </si>
  <si>
    <t xml:space="preserve">Completar com AD, consultor e Guia MDHC (incluídos na planilha).</t>
  </si>
  <si>
    <t xml:space="preserve">Democratização / ampliação de acesso</t>
  </si>
  <si>
    <t xml:space="preserve">Gratuito; na reformulação, oficinas e Festival gratuitos e vídeo com Libras/AD.</t>
  </si>
  <si>
    <t xml:space="preserve">P21 Caravana Cultura &amp; Saúde</t>
  </si>
  <si>
    <t xml:space="preserve">Título; "Rafael Tose (qualificação e natureza jurídica do proponente a confirmar)"; área "Audiovisual / difusão cinematográfica"; Art. 18 pretendido.</t>
  </si>
  <si>
    <t xml:space="preserve">Definir PF ou PJ (CNAE audiovisual/cultural, ex.: 5914-6/00 exibição, 9001-9/99), segmento "Difusão de acervo e conteúdo audiovisual" e cadastro Salic.</t>
  </si>
  <si>
    <t xml:space="preserve">5 meses relativos (2 + 2 + 1), janela de 8 semanas.</t>
  </si>
  <si>
    <t xml:space="preserve">Datas civis (preferir estação seca – mai–set – para sessões ao ar livre) e prazo de captação.</t>
  </si>
  <si>
    <t xml:space="preserve">Seção 2 descreve mostra itinerante gratuita, 6 municípios, 3 blocos/dia, roda de conversa, catálogo.</t>
  </si>
  <si>
    <t xml:space="preserve">Objetivo geral + 6 específicos; metas de 12 dias, 36 blocos, 6 rodas.</t>
  </si>
  <si>
    <t xml:space="preserve">Retirar "reflexão sobre saúde" do objetivo geral ou deixá-la como tema das rodas.</t>
  </si>
  <si>
    <t xml:space="preserve">Desigualdade de acesso a salas, visibilidade do cinema brasileiro/mineiro/negro/quilombola, saúde como tema de mediação.</t>
  </si>
  <si>
    <t xml:space="preserve">Citar art. 1º/3º Lei 8.313 e dados (municípios sem sala de cinema – Ancine/OCA).</t>
  </si>
  <si>
    <t xml:space="preserve">Legendagem e AD em todas as obras, transmissão individual de AD, Libras nas rodas, rotas, assentos reservados.</t>
  </si>
  <si>
    <t xml:space="preserve">Incluir Guia MDHC e plano B para títulos sem AD (orçado nesta planilha).</t>
  </si>
  <si>
    <t xml:space="preserve">Gratuidade, descentralização, mobilização com escolas; sem venda.</t>
  </si>
  <si>
    <t xml:space="preserve">Indicar inciso do art. 42: V (rodas de conversa gratuitas) e VI (sessões familiares/escolas); contrapartida não se aplica.</t>
  </si>
  <si>
    <t xml:space="preserve">Pré (M1–2), circulação (M3–4, 8 semanas), pós (M5).</t>
  </si>
  <si>
    <t xml:space="preserve">"Não há nomes de profissionais contratados definidos nesta fase."</t>
  </si>
  <si>
    <t xml:space="preserve">Nomes/currículos de coordenação, curadoria, mediação e produção (Anexo II audiovisual).</t>
  </si>
  <si>
    <t xml:space="preserve">Sinopse/descrição do conteúdo</t>
  </si>
  <si>
    <t xml:space="preserve">Perfil dos blocos (curtas, independentes/mineiros, longas família/maduro); "não pressupõe escolha antecipada de títulos".</t>
  </si>
  <si>
    <t xml:space="preserve">Lista indicativa de títulos (com sinopse, classificação e disponibilidade de AD/LSE) – essencial para o parecer AV.</t>
  </si>
  <si>
    <t xml:space="preserve">Não tratado.</t>
  </si>
  <si>
    <t xml:space="preserve">Medidas: gerador só quando necessário, rota otimizada, limpeza/recomposição, resíduos.</t>
  </si>
  <si>
    <t xml:space="preserve">36 blocos, 12 dias, 6 rodas de 30–40 min, público 50–150 por bloco; requisitos de tela/projeção/som.</t>
  </si>
  <si>
    <t xml:space="preserve">Fixar dimensões da tela e potência de projeção.</t>
  </si>
  <si>
    <t xml:space="preserve">Curadoria, modelo de programação por dia e regras das rodas.</t>
  </si>
  <si>
    <t xml:space="preserve">"Não há municípios formalmente selecionados nesta fase."</t>
  </si>
  <si>
    <t xml:space="preserve">Lista dos 6 municípios, espaços principais e alternativos cobertos, anuências das prefeituras.</t>
  </si>
  <si>
    <t xml:space="preserve">1.800–5.400 presenças estimadas, gratuitas, metodologia de contagem.</t>
  </si>
  <si>
    <t xml:space="preserve">Usar valor único (ex.: 3.600 presenças) no Salic.</t>
  </si>
  <si>
    <t xml:space="preserve">Divulgação digital, escolas, redes culturais, materiais acessíveis.</t>
  </si>
  <si>
    <t xml:space="preserve">Quantidades e cronograma de peças por município.</t>
  </si>
  <si>
    <t xml:space="preserve">"Distribuição entre rubricas não está predeterminada."</t>
  </si>
  <si>
    <t xml:space="preserve">Adotar a planilha desta revisão (R$ 450.000).</t>
  </si>
  <si>
    <t xml:space="preserve">Rouanet + LEIC-MG "categoria a confirmar", sem dupla captação.</t>
  </si>
  <si>
    <t xml:space="preserve">Definir fonte complementar e despesas cobertas.</t>
  </si>
  <si>
    <t xml:space="preserve">Proponente, portfólio, currículos e licenças não reunidos.</t>
  </si>
  <si>
    <t xml:space="preserve">Documentos do proponente, portfólio (obrigatório &gt; R$ 200 mil), currículos, cartas de anuência, termos de licença dos filmes.</t>
  </si>
  <si>
    <t xml:space="preserve">Tabela de indicadores com comprovação; metadados dos filmes para prestação de contas.</t>
  </si>
  <si>
    <t xml:space="preserve">Democratizar acesso ao cinema brasileiro em municípios com pouca oferta.</t>
  </si>
  <si>
    <t xml:space="preserve">Mostra itinerante de 36 blocos em 12 dias.</t>
  </si>
  <si>
    <t xml:space="preserve">6 municípios ainda não selecionados (só critérios).</t>
  </si>
  <si>
    <t xml:space="preserve">Escolher municípios.</t>
  </si>
  <si>
    <t xml:space="preserve">População geral por faixa etária; 1.800–5.400 presenças.</t>
  </si>
  <si>
    <t xml:space="preserve">5 meses relativos, 6 de 8 fins de semana.</t>
  </si>
  <si>
    <t xml:space="preserve">Gratuito, acessível, classificação indicativa.</t>
  </si>
  <si>
    <t xml:space="preserve">Natureza jurídica do proponente indefinida; sem equipe nominal.</t>
  </si>
  <si>
    <t xml:space="preserve">Definir proponente (PF/PJ) e equipe.</t>
  </si>
  <si>
    <t xml:space="preserve">Prefeituras, secretarias de saúde, universidades e distribuidoras não confirmadas; Armind só como possível fornecedor.</t>
  </si>
  <si>
    <t xml:space="preserve">Cartas de anuência e cotações.</t>
  </si>
  <si>
    <t xml:space="preserve">Teto R$ 450 mil e grupos de despesa.</t>
  </si>
  <si>
    <t xml:space="preserve">Planilha desta revisão e plano de captação.</t>
  </si>
  <si>
    <t xml:space="preserve">Rouanet Art. 18 (difusão AV) + LEIC a confirmar.</t>
  </si>
  <si>
    <t xml:space="preserve">Confirmar segmento e papel da LEIC.</t>
  </si>
  <si>
    <t xml:space="preserve">Fichas por bloco, contagem, metadados, registros.</t>
  </si>
  <si>
    <t xml:space="preserve">Quais municípios ou comunidades integrarão o roteiro e qual critério justificará sua escolha?</t>
  </si>
  <si>
    <t xml:space="preserve">Critérios documentáveis (distância, espaço, energia, acessibilidade, parceiros, baixa oferta de cinema); nenhum município escolhido.</t>
  </si>
  <si>
    <t xml:space="preserve">Lista dos 6 municípios com dado de ausência de sala de cinema.</t>
  </si>
  <si>
    <t xml:space="preserve">Qual será a programação cultural em cada parada e quanto tempo a caravana permanecerá?</t>
  </si>
  <si>
    <t xml:space="preserve">Sábado e domingo, 3 blocos/dia (modelo por bloco) + 1 roda de conversa por município.</t>
  </si>
  <si>
    <t xml:space="preserve">Grade com títulos e horários.</t>
  </si>
  <si>
    <t xml:space="preserve">O que significa "Saúde" na proposta: tema, educação em saúde ou atendimentos?</t>
  </si>
  <si>
    <t xml:space="preserve">Tema das rodas de conversa, "sem oferecer atendimento clínico, aconselhamento individual ou ações assistenciais".</t>
  </si>
  <si>
    <t xml:space="preserve">No Salic, tratar como tema curatorial; considerar título que não sugira serviço de saúde.</t>
  </si>
  <si>
    <t xml:space="preserve">Caso existam serviços de saúde, quem executa/financia e como separar as despesas?</t>
  </si>
  <si>
    <t xml:space="preserve">Não prevê serviços; convidados de saúde articulados com secretarias e universidades.</t>
  </si>
  <si>
    <t xml:space="preserve">Declarar expressamente que não haverá estandes de vacinação/aferição/testagem; se as prefeituras quiserem fazê-los no mesmo espaço, devem ser custeados e geridos por elas, fora da planilha e sem marca do projeto.</t>
  </si>
  <si>
    <t xml:space="preserve">Qual estrutura será transportada, o que os parceiros locais fornecem e como medir resultados?</t>
  </si>
  <si>
    <t xml:space="preserve">Tela, projetor, som, cadeiras, energia, iluminação, área técnica; resultados por contagem por bloco e questionário voluntário.</t>
  </si>
  <si>
    <t xml:space="preserve">Definir contrapartidas locais (espaço, energia, segurança, banheiros) por carta de anuência; isso reduziria custos.</t>
  </si>
  <si>
    <t xml:space="preserve">Audiovisual / "Difusão de acervo e conteúdo audiovisual em diversos meios e suportes" – produto principal (mostra) concentra ~R$ 238 mil.</t>
  </si>
  <si>
    <t xml:space="preserve">IN art. 18 – custos só artístico-culturais</t>
  </si>
  <si>
    <t xml:space="preserve">Nenhum custo de saúde na planilha; brigadista é exigência de evento público. Vetar estandes de serviços de saúde financiados pelo projeto.</t>
  </si>
  <si>
    <t xml:space="preserve">Carteira do proponente (art. 10) – Rafael Tose</t>
  </si>
  <si>
    <t xml:space="preserve">Rafael Tose também é proponente de P19 Acelera Minas (kart, R$ 450 mil). Se PF: 2 projetos somando R$ 900 mil &gt; R$ 500 mil – só um pode ir à Rouanet (a aba Valores registra 1 projeto de R$ 450 mil). Se PJ: limite não é problema, mas exige CNAE cultural.</t>
  </si>
  <si>
    <t xml:space="preserve">Valor por projeto (art. 11) e teto AV de evento 1ª edição (art. 31 IV: R$ 600 mil)</t>
  </si>
  <si>
    <t xml:space="preserve">R$ 450 mil ≤ R$ 500 mil (PF) e ≤ R$ 600 mil.</t>
  </si>
  <si>
    <t xml:space="preserve">Portfólio / CNAE (art. 4º)</t>
  </si>
  <si>
    <t xml:space="preserve">&gt; R$ 200 mil exige portfólio cultural/audiovisual; o histórico de Rafael Tose ligado a kart (P19) sugere falta de portfólio cultural. Se PJ, CNAE de exibição/produção audiovisual.</t>
  </si>
  <si>
    <t xml:space="preserve">Direitos de exibição ≤ 20% (art. 28)</t>
  </si>
  <si>
    <t xml:space="preserve">R$ 32.200 = 9,6% do valor do projeto (7,2% do total).</t>
  </si>
  <si>
    <t xml:space="preserve">Se a Armind fornecer projeção + som + luz + gerador + tenda (~R$ 82 mil) chegaria a ~18% do total – no limite. Dividir entre fornecedores. Armind é proponente de P09: documentar cotações.</t>
  </si>
  <si>
    <t xml:space="preserve">Sem projeto semelhante no portfólio (P19 é esportivo; nenhum outro de difusão AV).</t>
  </si>
  <si>
    <t xml:space="preserve">Plano consistente; orçados AD/LSE, receptores, Libras, monitores, rampas, consultoria.</t>
  </si>
  <si>
    <t xml:space="preserve">V (rodas gratuitas) e VI (sessões para crianças/famílias).</t>
  </si>
  <si>
    <t xml:space="preserve">Não se aplica (gratuito).</t>
  </si>
  <si>
    <t xml:space="preserve">Adm 6,9%, acessibilidade/divulgação 17,8%, captação 10,0%.</t>
  </si>
  <si>
    <t xml:space="preserve">Comprovação AV (art. 66 §3º) e classificação indicativa</t>
  </si>
  <si>
    <t xml:space="preserve">Planilha de metadados de cada filme e respeito à classificação nos horários.</t>
  </si>
  <si>
    <t xml:space="preserve">Enquadramento Art. 18, pendências críticas e recomendações por projeto</t>
  </si>
  <si>
    <t xml:space="preserve">Produto principal e secundários</t>
  </si>
  <si>
    <t xml:space="preserve">Área / segmento (Anexo IV)</t>
  </si>
  <si>
    <t xml:space="preserve">Análise de enquadramento</t>
  </si>
  <si>
    <t xml:space="preserve">Recomendações</t>
  </si>
  <si>
    <t xml:space="preserve">Versão mínima</t>
  </si>
  <si>
    <t xml:space="preserve">Curso/Oficina – ciclo formativo de iniciação aos ofícios técnicos e criativos das artes cênicas (9 turmas x 24h, 270 vagas, 3 núcleos)
Secundários:
– Mostra final integrada – apresentação teatral com figurino, maquiagem, luz e vídeo realizados pelos participantes (1 sessão gratuita) (Artes Cênicas / Apresentação ou Performance de Teatro)</t>
  </si>
  <si>
    <t xml:space="preserve">Artes Cênicas / Empreend Ações Educ-Cult/Capacitação/Treinamento</t>
  </si>
  <si>
    <t xml:space="preserve">Produto principal = oficinas (R$ ~300 mil das etapas de projeto, muito acima da mostra, ~R$ 52 mil), logo o enquadramento segue Artes Cênicas &gt; 'Empreend Ações Educ-Cult/Capacitação/Treinamento' = Art. 18 (Anexo IV). Riscos: (1) o eixo Audiovisual pode levar o técnico a sugerir área Audiovisual – também Art. 18 ('Ações de capacitação e treinamento de pessoal'), mas convém redigi-lo como 'audiovisual integrado à cena/registro do espetáculo' para manter um único segmento cênico; (2) a mostra NÃO deve ser um show de música popular cantada (Art. 26) – escolher grupo TEATRAL (a proposta admite 'teatral ou musical'); como secundário não muda o enquadramento, mas evita questionamento; (3) o caráter 'social/educativo' (público vulnerável) atrai o art. 18 da IN: somente custos artístico-culturais – não incluir bolsas-auxílio, vale-transporte individual, inclusão produtiva ou promessa de empregabilidade (a própria proposta já veda isso – manter); (4) não chamar de 'curso técnico/profissionalizante' (evita leitura de educação formal). Redação recomendada no SALIC: 'Ações educativo-culturais de iniciação aos ofícios do espetáculo cênico (figurino, caracterização, iluminação cênica e audiovisual para a cena), com mostra cênica de culminância'.</t>
  </si>
  <si>
    <t xml:space="preserve">• Documentação jurídica da Educare (cartão CNPJ com CNAE cultural compatível, contrato social, representante) – sem isso o SALIC não admite.
• Portfólio de atuação cultural da Educare (obrigatório para projeto de R$ 500 mil).
• Projeto pedagógico formal com currículo da coordenadora pedagógica e plano de execução com carga horária e conteúdo programático por turma (Anexo II 7.2/7.3), incluindo a matriz núcleo x formação.
• Cartas de anuência dos 3 núcleos e do local da mostra; definição do grupo teatral parceiro com autorização autoral.
• Adotar a planilha orçamentária e transformar a acessibilidade em medidas concretas (Libras, AD, consultor, Guia MDHC).</t>
  </si>
  <si>
    <t xml:space="preserve">• Cadastrar como Artes Cênicas &gt; Empreend Ações Educ-Cult/Capacitação/Treinamento (Art. 18), produto principal 'Curso/Oficina', e a mostra como produto secundário 'Apresentação ou Performance de Teatro'.
• Padronizar o nome do proponente (Educare) em todo o texto; remover 'Educari'/'Educação'.
• Declarar matriz sugerida: Iluminação 3 turmas, Audiovisual 2, Figurino 2, Maquiagem 2 (premissa da planilha) – ajustar se a matriz já fechada for diferente.
• Escolher grupo TEATRAL (não show musical) para a mostra, evitando leitura de música popular cantada.
• Declarar art. 42, VI e III como medidas de ampliação e publicar o vídeo-memória com Libras e AD.
• Confirmar se Túlio Gama tem vínculo societário com a Educare (art. 15/23) e registrar no SALIC.
• Ajustar o cronograma: pré jun–jul/2027, oficinas ago–nov, pós dez/2027; captação aberta desde a portaria.</t>
  </si>
  <si>
    <t xml:space="preserve">R$ 100.000: Reduzir para 1 núcleo (central, ex.: CRJ) com 3 turmas (iluminação, figurino/maquiagem combinados e audiovisual) = 90 vagas, mantendo 24h por turma; eliminar coordenação técnica e assistente de produção (coordenação pedagógica acumula), reduzir coordenação geral para 4 meses em dedicação parcial; 3 visitas técnicas (1 ônibus por turma); mostra simplificada no próprio núcleo com grupo parceiro e luz/som pequeno porte; manter Libras na aula inaugural e na mostra, AD na mostra e vídeo com Libras; comunicação apenas digital + cartazes. Custos vinculados proporcionais (adm ~8%, acessibilidade/divulgação ~15%, captação 10%).</t>
  </si>
  <si>
    <t xml:space="preserve">Percursos continuados de transmissão de saberes tradicionais conduzidos por 4 mestres (4 turmas x 48h, 120 aprendizes)
Secundários:
– Exposição Mestres e Aprendizes (trabalhos, processos e registros), gratuita, com catálogo como item da exposição (Artes Visuais / Exposição Cultural / Artística)</t>
  </si>
  <si>
    <t xml:space="preserve">Patrimônio Cultural / Salvaguarda do patrimônio cultural imaterial</t>
  </si>
  <si>
    <t xml:space="preserve">Hipótese do próprio documento (Patrimônio Cultural &gt; Salvaguarda do patrimônio cultural imaterial) é correta e garante Art. 18: o Anexo I (LXIX) define salvaguarda incluindo a 'transmissão – essencialmente por meio da educação formal e não formal', e o produto principal (mestres + percursos ≈ R$ 225 mil) supera a exposição (≈ R$ 43 mil). Vantagens: art. 14 II e §ú (patrimônio fora dos limites de valor e quantidade) e art. 18 da IN não restringe custos (é manifestação de tradição). Riscos: (1) o projeto passa por análise do Iphan e exige o pacote do Anexo II item 8 (identificação do bem, relatório de reconhecido valor cultural, anuência da comunidade detentora, ficha técnica com experiência junto às comunidades) – hoje NADA disso existe e os mestres não foram escolhidos; (2) saberes genéricos (ex.: 'bordado' sem vínculo comunitário) podem não ser aceitos como patrimônio – escolher mestres com referência territorial/comunitária comprovável (ex.: bordadeiras de comunidade tradicional, ceramistas do Jequitinhonha, mamulengueiros/bonequeiros, violeiros de folia), e evitar congado para não sobrepor ao P05; (3) o catálogo NÃO deve ser cadastrado como produto 'Outras publicações ou Periódicos' (Humanidades, Art. 26) – mantê-lo como item da exposição/salvaguarda; (4) vídeos de memória como itens, não como produto audiovisual autônomo. PLANO B (se até ~25/10 não houver mestres + anuências + dossiês): cadastrar como Artes Visuais &gt; Empreend Ações Educ-Cult/Capacitação/Treinamento (Art. 18), que dispensa o pacote patrimonial (exige projeto pedagógico – Anexo II 7) – a viola, nesse caso, deve ser tratada como prática artesanal/musical regional sem virar produto de música popular cantada.</t>
  </si>
  <si>
    <t xml:space="preserve">• Selecionar e formalizar os 4 mestres (cartas de anuência) e, quando o saber for coletivo, a anuência da comunidade detentora (Anexo II 8.1.3).
• Dossiê por saber com relatório de reconhecido valor cultural, identificação e relatório do bem (Anexo II 8.1.1, 8.1.2.1, 8.1.4, 8.1.5) – ou acionar o Plano B (Artes Visuais – Ações Educ-Cult).
• Documentação PJ da Aver Mídia com CNAE compatível e portfólio cultural.
• Espaços das 4 turmas e da exposição com anuência.
• Ficha técnica nominal e plano pedagógico (24 encontros/48h) validado por mestre.</t>
  </si>
  <si>
    <t xml:space="preserve">• Cadastrar Patrimônio Cultural &gt; Salvaguarda do patrimônio cultural imaterial (Art. 18) como produto principal; exposição como produto secundário Artes Visuais &gt; Exposição; catálogo e vídeos como itens (não produtos).
• Escolher mestres com vínculo territorial/comunitário documentável (registros, matérias, inventários, declarações) e evitar congado (P05).
• Fechar a base em 4 mestres/120 vagas (o 5º mestre não cabe nos R$ 400 mil com a remuneração proposta).
• Declarar art. 42, I (10% do catálogo doado), III (vídeos com Libras e AD) e VI.
• Justificar coordenação em dedicação parcial (valores abaixo do piso de referência) e remuneração dos mestres por memória de cálculo por encontro.
• Definir protocolo de saberes sensíveis em termo assinado antes de qualquer registro.</t>
  </si>
  <si>
    <t xml:space="preserve">R$ 80.000: 2 mestres/2 turmas (60 aprendizes) mantendo 24 encontros de 2h; coordenação única (geral + pedagógica) em dedicação parcial e sem produtor executivo; materiais só dos 2 saberes; sem ônibus de vivências; exposição simplificada (1 semana) no espaço parceiro sem projeto expográfico contratado; catálogo apenas digital; registro fotográfico + 1 vídeo síntese; Libras na abertura e AD/recursos táteis na exposição; divulgação digital. Custos vinculados proporcionais.</t>
  </si>
  <si>
    <t xml:space="preserve">Oficinas de formação artística em cultura urbana – música e musicalidade, grafite e audiovisual (8 oficinas x 24h, 200 participantes)
Secundários:
– 4 mostras territoriais gratuitas (painéis de grafite, exibição de curtas e apresentação dos trabalhos musicais) (Artes Visuais / Exposição Cultural / Artística)</t>
  </si>
  <si>
    <t xml:space="preserve">Artes Visuais / Empreend Ações Educ-Cult/Capacitação/Treinamento</t>
  </si>
  <si>
    <t xml:space="preserve">O produto principal são as oficinas (≈ R$ 113 mil nas etapas de projeto x ≈ R$ 19,5 mil das mostras). Como o SALIC exige uma única área para o produto, recomenda-se Artes Visuais &gt; Empreend Ações Educ-Cult/Capacitação/Treinamento (Art. 18): o grafite e o audiovisual (criação de imagem) são 5 das 8 oficinas, e o conjunto se encaixa no conceito de 'projeto de cultura urbana' do Anexo I (LVII – hip-hop/grafite). Alternativa igualmente Art. 18: Música &gt; Empreend Ações Educ-Cult/Capacitação/Treinamento. Riscos de Art. 26: (1) NÃO cadastrar nada em Humanidades ('Ações Educ-Cult em Humanidades em geral' é Art. 26) nem chamar de 'projeto social/socioeducativo'; (2) as apresentações musicais das mostras não podem virar o produto de maior custo nem ser descritas como 'show de música popular cantada' (rap/funk com vocal é música popular cantada) – mantê-las como resultado pedagógico dentro da mostra, com custo baixo; (3) art. 18 da IN: por ter caráter social, só custos artístico-culturais – planilha não tem bolsas, transporte individual ou assistência; lanche limitado e vinculado às oficinas. Redação: 'ações educativo-culturais de iniciação artística em linguagens da cultura urbana (grafite, audiovisual e musicalidade), com exposição/mostra territorial dos trabalhos'.</t>
  </si>
  <si>
    <t xml:space="preserve">• Regularidade cadastral do IHV (CNPJ ativo, estatuto, ata, representante, CNAE cultural) e padronização do nome/sigla (IHV x IHGV).
• Confirmar a função de Ado Viana no IHV e o histórico do IHV no Pronac (dispensa de portfólio e art. 15) – risco de questionamento de carteira/fracionamento com P05 e P16.
• Plano de execução com carga horária e conteúdo programático das 8 oficinas e ficha técnica nominal (curadoria + ≥6 oficineiros).
• Cartas de anuência dos 4 espaços (incluindo solução para 12–14 anos no Eldorado) e autorizações para painéis de grafite.
• Adotar a planilha (teto R$ 200 mil) e o plano concreto de acessibilidade.</t>
  </si>
  <si>
    <t xml:space="preserve">• Cadastrar Artes Visuais &gt; Empreend Ações Educ-Cult/Capacitação/Treinamento (Art. 18) como produto principal e as mostras como Exposição Cultural/Artística.
• Não ultrapassar R$ 200.000 de valor total enquanto o IHV não tiver portfólio.
• Se Ado Viana for dirigente do IHV, avaliar indicar outro representante legal ou declarar a relação e justificar objetos distintos de P05/P16.
• Declarar art. 42, VI (ação para adolescentes/jovens e educadores) e publicar o vídeo-síntese com legendas (e, se possível, Libras/AD).
• Mapear Pontos de Cultura certificados nos 4 territórios e obter cartas; caso não haja, explicitar que 'Cultura Viva' é apenas o nome.
• Incluir medidas ambientais (descarte de latas de spray, tintas base água).</t>
  </si>
  <si>
    <t xml:space="preserve">R$ 40.000: Atender 2 territórios com 1 oficina cada (ex.: grafite na Vila Marçola e audiovisual na Cabana) = 50 participantes, 24h cada; 2 mostras simplificadas no próprio espaço; coordenação geral acumulando produção e curadoria; sem artista convidado; materiais apenas das 2 linguagens; Libras e apoio PcD nas 2 mostras; divulgação digital e cartazes. Custos vinculados proporcionais.</t>
  </si>
  <si>
    <t xml:space="preserve">Circulação de 4 espetáculos mineiros de teatro/dança – 24 apresentações gratuitas em 12 municípios
Secundários:
– 24 oficinas gratuitas de artes cênicas conduzidas pelas companhias (3h, 30–40 vagas) (Artes Cênicas / Empreend Ações Educ-Cult/Capacitação/Treinamento)</t>
  </si>
  <si>
    <t xml:space="preserve">Artes Cênicas / Apresentação ou Performance de Teatro</t>
  </si>
  <si>
    <t xml:space="preserve">Produto principal = apresentações (≈ R$ 594 mil nas etapas de projeto x ≈ R$ 25 mil das oficinas) → Artes Cênicas, Art. 18. O SALIC não tem segmento genérico 'Espetáculo de Artes Cênicas' (termo do documento): escolher 'Apresentação ou Performance de Teatro' (ou 'de Dança', conforme a maioria dos títulos selecionados); circo ('Performance de Circo, Clown e Ilusionismo') também é Art. 18. Riscos: (1) não selecionar show musical/música popular cantada como um dos 4 títulos; (2) evitar as palavras 'mostra/festival': se a CNIC classificar como Festival, vale o produto secundário de maior valor (art. 46 §ú) – aqui as oficinas, também Art. 18, mas o enquadramento fica dependente de outra rubrica; (3) teto de R$ 1,5 mi PJ não é atingido, então não é preciso itinerância em 2 regiões (art. 12, II). Redação sugerida: 'Circulação de quatro espetáculos de teatro e dança por 12 municípios de Minas Gerais, com 24 apresentações gratuitas e oficinas de formação'.</t>
  </si>
  <si>
    <t xml:space="preserve">• Dados jurídicos da Mobox (razão social, CNPJ, CNAE, representante) e portfólio.
• Fechar 24 apresentações/24 oficinas e a matriz espetáculo x município (ou outro número), refletindo metas e planilha.
• Pré-selecionar (por convite) os 4 espetáculos ou parte deles com sinopse, ficha técnica, currículos e autorização do autor do texto – sem isso o Anexo II 3.3 fica descoberto.
• Anuências das 12 prefeituras/equipamentos com ficha técnica e lotação.
• Plano de acessibilidade concreto e segmento exato do produto principal no SALIC.</t>
  </si>
  <si>
    <t xml:space="preserve">• Cadastrar produto principal 'Apresentação ou Performance de Teatro' (ou Dança) – Art. 18 – e oficinas como 'Empreend Ações Educ-Cult/Capacitação/Treinamento'.
• Adotar o modelo de 2 sessões por cidade no mesmo dia (matinê escolar + noturna): dobra o público sem dobrar logística e cabe nos R$ 900 mil.
• Ampliar as oficinas para 3h (duas horas é pouco para 30–40 participantes) e conduzi-las em dupla.
• Limitar companhias a ~7 integrantes em viagem e cachê de referência por sessão (premissa R$ 6.000) na chamada pública.
• Publicar 6 espetáculos registrados com Libras e AD (art. 42, III) e reservar matinês para escolas públicas (art. 42, VI).
• Usar municípios-reserva apenas como substitutos, sem alterar o número de 12.</t>
  </si>
  <si>
    <t xml:space="preserve">R$ 180.000: Somente o Eixo Histórico (Ouro Preto, Mariana, Congonhas, Cons. Lafaiete – menor distância de BH): 2 espetáculos x 4 apresentações = 8 sessões (2 por cidade) e 4 oficinas; seleção por convite (sem chamada pública/pareceristas); equipe central de 3 pessoas; coordenação e produção acumuladas por 5 meses; registro fotográfico + 2 sessões filmadas; Libras em todas as sessões e AD em 1 por cidade; divulgação regional digital. Custos vinculados proporcionais.</t>
  </si>
  <si>
    <t xml:space="preserve">Álbum Sons do Congado como registro sonoro de salvaguarda: gravação de campo com 4 guardas (12 faixas), repertório e limites de registro definidos pelos mestres, devolução às comunidades e difusão gratuita.
Secundários:
– 6 oficinas/encontros de transmissão de saberes conduzidos por mestres para jovens das irmandades (Patrimônio Cultural / Salvaguarda do patrimônio cultural imaterial (alternativa: Ações de Educação Patrimonial))
– Apresentação final gratuita de devolutiva com 4 guardas (Música / Apresentação/Gravação de Música Regional)
– Minidocumentário (~15 min) e acervo digital autorizado (Audiovisual / Prod. AV curta/média metragem/TV Educativa-Cultural)</t>
  </si>
  <si>
    <t xml:space="preserve">Caminho recomendado para garantir o Art. 18: cadastrar o produto principal na área Patrimônio Cultural, segmento 'Salvaguarda do patrimônio cultural imaterial' (Anexo IV = Art. 18). A definição do Anexo I, LXIX (identificação, documentação, transmissão, promoção e valorização) descreve exatamente o objeto. O álbum precisa ser a ação de maior custo (art. 46 e Anexo I, LI): na planilha proposta ele soma R$ 115.243, contra R$ 36.720 da apresentação final, o maior secundário. Alternativa igualmente Art. 18: área Música, segmento 'Apresentação/Gravação de Música Regional'. Nesse caso a documentação é mais simples (currículos), mas o parecer musical pode ler os cantos como música popular cantada (Art. 26). Para evitar isso, a redação deve chamar o repertório de 'cantos tradicionais das guardas de Congado/Reinado', e nunca de 'canções' ou 'show'. No caminho Patrimônio, a análise é do Iphan e o Anexo II, item 8, exige: identificação do bem; registro/acautelamento OU relatório de reconhecido valor cultural (8.1.2.1); declaração de anuência da comunidade detentora de cada guarda (8.1.3); relatório do bem; justificativa de relevância; ficha técnica com experiência junto às comunidades (8.1.6); aderência à Portaria Iphan 299/2015 e benefícios diretos aos detentores (8.8.1-8.8.2); metodologia de pesquisa/documentação (8.8.3). Riscos: (i) vedação a proselitismo/culto religioso (art. 32, VI). O texto deve tratar o Congado como expressão cultural e forma de expressão, manter a regra de não registrar ritos reservados e não financiar celebração religiosa em si; (ii) a exceção de limites para patrimônio (art. 14 e p.u., IN 34/2026) só alcança os limites de pessoa jurídica (art. 10, III e art. 11, II). Para Ado Viana (PF) continuam valendo 2 projetos e R$ 500 mil de carteira; (iii) o art. 18 da IN (restrição de custos) não se aplica, porque o projeto é cultural e de patrimônio imaterial. Os resultados de documentação serão incorporados às bases do MinC/Iphan (art. 41, §9º), o que precisa constar do termo de consentimento.</t>
  </si>
  <si>
    <t xml:space="preserve">• Definir e cadastrar o proponente PF (CPF, endereço, portfólio de Ado Viana). Confirmar que a carteira P05 + P16 = R$ 500 mil não será ultrapassada.
• Obter as declarações de anuência das guardas/comunidades detentoras e o relatório de reconhecido valor cultural (Anexo II, 8.1.2.1 e 8.1.3). Sem isso o Iphan não admite a proposta.
• Fechar a lista nominal de guardas, mestres e municípios e as especificações técnicas (12 faixas, 6 oficinas de 4h, minidoc de 15 min, apresentação).
• Ficha técnica com currículos, em especial do articulador comunitário/coordenador com experiência comprovada junto às comunidades (8.1.6) e da direção musical.
• Converter as diretrizes em planilha, plano de distribuição e plano de acessibilidade orçados (base: planilha deste parecer).</t>
  </si>
  <si>
    <t xml:space="preserve">• No SALIC: área Patrimônio Cultural, segmento 'Salvaguarda do patrimônio cultural imaterial', produto principal 'Álbum Sons do Congado – registro sonoro de salvaguarda'. Plano B: Música/'Apresentação/Gravação de Música Regional'.
• Redigir o objeto como salvaguarda (identificação, documentação, transmissão, valorização – Anexo I, LXIX), citando a Portaria Iphan 299/2015 e os benefícios diretos aos detentores (cachês, cópias, acervo).
• Gravar preferencialmente no território de cada guarda (unidade móvel). Isso reduz a logística de grupos de 15-20 integrantes e respeita o contexto ritual.
• Adotar protocolo de consentimento por guarda, com a lista de conteúdos restritos, e informar no termo a incorporação dos resultados às bases MinC/Iphan (art. 41, §9º).
• Baixar a idade mínima das oficinas para 12 anos (com autorização dos responsáveis), coerente com a transmissão intergeracional.
• Diferenciar o objeto de P02 Mestres e Aprendizes no texto e não repetir mestres/guardas entre os projetos, para afastar o fracionamento.
• Declarar as medidas de ampliação de acesso (art. 42, III, V e VI) e registrar a inexistência de venda (sem art. 44).
• Separar por linha as despesas incentivadas pela Rouanet e pela LEIC-MG (fonte complementar) para evitar duplicidade.</t>
  </si>
  <si>
    <t xml:space="preserve">R$ 60.000: Versão de R$ 60 mil: álbum com 2 guardas (6 faixas) gravado em campo (2 diárias); 2 oficinas com mestres; devolutiva comunitária na sede de uma guarda, sem som/luz locados e sem transporte por ônibus; minidocumentário substituído por registro fotográfico + 1 vídeo curto com legendas e Libras; CDs só para as guardas (100 un.); coordenação de 3 meses. Mantêm-se anuências, consultor/Libras mínimos, contador e captação de 10%. O objeto (registro de salvaguarda + transmissão) continua viável.</t>
  </si>
  <si>
    <t xml:space="preserve">6 murais de arte urbana (~180 m² no total) criados com as turmas e artistas-educadores, em exposição pública permanente e gratuita em BH, Contagem e Santa Luzia.
Secundários:
– Percurso formativo em artes urbanas: 3 turmas, 75 vagas, 48 encontros, visitas mediadas e certificação (Artes Visuais / Empreend Ações Educ-Cult/Capacitação/Treinamento)
– Cerimônia de encerramento, registro fotográfico/audiovisual e minidocumentário (Artes Visuais / Exposição Cultural / Artística (atividade vinculada))</t>
  </si>
  <si>
    <t xml:space="preserve">Artes Visuais / Exposição Cultural / Artística</t>
  </si>
  <si>
    <t xml:space="preserve">Os dois caminhos naturais são Art. 18: Artes Visuais, 'Exposição Cultural/Artística' (murais) e Artes Visuais, 'Empreend Ações Educ-Cult/Capacitação/Treinamento' (formação). O produto principal será o que tiver maior custo. Na planilha proposta os murais somam R$ 334.910 e a formação R$ 149.850. Riscos de cair no Art. 26 ou de sofrer glosa: (i) cadastrar a formação em Humanidades ('Ações Educ-Cult em Humanidades em geral' = Art. 26). Tudo deve ficar em Artes Visuais; (ii) redigir como projeto social de juventude. Pelo art. 18 da IN, só custos artístico-culturais seriam aprovados, e itens como lanche e auxílio-transporte precisam ser justificados como condição de acesso à atividade cultural; (iii) o termo 'pixo': pichação é crime ambiental (Lei 9.605/98, art. 65), e só o grafite autorizado é lícito (§2º). 'Pixo' deve aparecer apenas como objeto de estudo histórico-estético, com declaração expressa de que nenhuma intervenção ocorrerá sem autorização do responsável pela superfície. Exigências do Anexo II para exposição de artes visuais: projeto expográfico (4.3), que para murais pode ser adaptado como ficha técnica de cada superfície com fotos, medidas, croqui, preparação e plano de trabalho em altura; currículos e anuência de curadores/artistas (4.1, 4.4); relação de obras (4.5). Para as oficinas: beneficiários e forma de seleção (7.1) e plano de execução com carga horária e conteúdo programático (7.3). Proponente: Morsa é PJ (até R$ 1,5 mi por projeto; carteira de R$ 15 mi), então os R$ 750 mil cabem. O ponto crítico é o CNAE: o art. 4º, §3º exige CNAE cultural correspondente à área/segmento nos registros do CNPJ, e o CNAE principal informado é de edição de jornais. É preciso ter um CNAE secundário compatível (ex.: 9002-7/01 atividades de artistas plásticos; 8592-9/99 ensino de arte e cultura) antes do cadastro. Art. 15: Túlio Gama aparece nos documentos do Bloco Nerd como representante da Morsa. Se for sócio/dirigente, os projetos de Túlio como PF (P07 e eventualmente P12) e os da Morsa formam uma só carteira, com o limite da PJ.</t>
  </si>
  <si>
    <t xml:space="preserve">• CNAE da Morsa: incluir CNAE secundário cultural compatível com Artes Visuais/ensino de arte (o principal é edição de jornais), senão o SALIC inadmite.
• Reescrever o documento (hoje no modelo LEIC) para o SALIC: área Artes Visuais, segmento Exposição Cultural/Artística, Art. 18; retirar a prática de 'pixo' do objeto.
• Definir as 6 superfícies com anuência/termo de cessão e corrigir a área (180 m² x 80 m²). Decidir 6 ou 9 murais.
• Equipe com currículos e plano pedagógico com carga horária e conteúdo programático (Anexo II, 4.1 e 7.3).
• Justificar a economicidade do valor de R$ 750 mil frente ao escopo, ou ampliar o escopo. Esclarecer o vínculo de Túlio Gama com a Morsa (art. 15).</t>
  </si>
  <si>
    <t xml:space="preserve">• Cadastrar dois produtos em Artes Visuais: murais (principal, maior custo) e formação (secundário). Nunca usar Humanidades.
• Substituir 'grafite, pixo e muralismo' por 'grafite e muralismo, com estudo histórico-crítico das escritas urbanas', declarando que as intervenções só ocorrem em superfícies autorizadas.
• Apresentar uma 'ficha expográfica' por mural (foto, medidas, croqui, preparação, acesso, ART) para cumprir o Anexo II, 4.3.
• Fixar a carga horária (sugestão: 16 encontros de 4h = 64h por turma) e a certificação com 75% de frequência.
• Garantir que menores não operem em altura; prever seguro e autorizações dos responsáveis.
• Dar mais peso artístico ao valor de R$ 750 mil (ex.: 9 murais ou ~300 m²) para reduzir o risco de corte por economicidade. A planilha atual segue o escopo documentado (6 murais/180 m²).
• Tornar a acessibilidade fixa: AD + QR Code + placa em braille por mural e Libras nas visitas e no encerramento.</t>
  </si>
  <si>
    <t xml:space="preserve">R$ 150.000: Versão de R$ 150 mil: um único município (BH), 1 turma de 25 vagas com 16 encontros e 2 murais (~60 m²); coordenação geral acumulando a artística (5 meses), 1 artista-educador e 1 produtor; sem van, mapa digital e minidocumentário (só fotos e 1 vídeo curto acessível); cerimônia simples no próprio espaço. Mantêm-se AD/placas dos 2 murais, Libras sob demanda, seguro, contador e captação de 10%.</t>
  </si>
  <si>
    <t xml:space="preserve">Circuito de 8 concertos gratuitos de música instrumental/de concerto com formação de câmara (8 músicos + regente) e aberturas regionais instrumentais/corais.
Secundários:
– 8 ensaios abertos com mobilização de escolas públicas e bandas (Música / Empreend Ações Educ-Cult/Capacitação/Treinamento)
– Registro audiovisual, cortes e aftermovie acessível (Audiovisual / Difusão de acervo e conteúdo AV em diversos meios/suportes)</t>
  </si>
  <si>
    <t xml:space="preserve">Música / Apresentação/Gravação de Música Instrumental (alternativa: Apresentação/Gravação de Música Erudita)</t>
  </si>
  <si>
    <t xml:space="preserve">O Art. 18 está bem encaminhado: Música, 'Apresentação/Gravação de Música Instrumental' (ou 'Erudita'), com os concertos como ação de maior custo (R$ 336.720 na planilha proposta). Risco de Art. 26: o conceito admite 'repertório popular em arranjos instrumentais ou orquestrais', o que é aceitável enquanto for instrumental. Se a formação ou as aberturas incluírem cantores de música popular como atração, o parecer pode reclassificar para 'Música Popular Cantada'. Corais se enquadram em 'Canto Coral' (Art. 18). As aberturas devem ser bandas de música, grupos instrumentais e corais, e a programação deve ser chamada de 'concertos', nunca 'shows'. Não usar a palavra 'festival' nem cadastrar o produto como Festival, para não ativar o art. 46, p.u. Proponente: a planilha e os DOIS documentos do projeto indicam Túlio Gama (PF). Só a pasta do Drive está nomeada 'PRO SP'. Ao mesmo tempo, a pasta de P08 está nomeada 'Tulio Gama', mas seus documentos são da ProSP. A conclusão mais provável é que as pastas foram trocadas, e P07 deve ser tratado como projeto de Túlio Gama (PF). Consequências para a carteira: PF tem teto de R$ 500 mil por projeto e R$ 500 mil de carteira (arts. 10, I e 11, I). P07 (R$ 500 mil) consome toda a carteira, então P12 Bloco Nerd (R$ 250 mil) deve ir para a LEIC, o que é coerente com a planilha ('só 1 dos 2 projetos do Túlio vai à Rouanet'). P08 não pode ser de Túlio. Ressalva do art. 15: os documentos de P12 apontam Túlio como representante da Morsa Produções Ltda. (proponente de P06). Se for sócio/dirigente, as carteiras se unificam com o limite da PJ, mas o teto por projeto de PF (R$ 500 mil) continua valendo para P07.</t>
  </si>
  <si>
    <t xml:space="preserve">• Confirmar Túlio Gama (PF) como proponente, corrigir a pasta 'PRO SP' e conferir a carteira: com P07 a R$ 500 mil, P12 vai para a LEIC e P08 fica com a ProSP.
• Definir formação principal (nº de músicos), regente/diretor artístico e grupos regionais, com currículos (Anexo II, 5.1).
• Escolher os municípios/praças e obter anuências municipais com a lista do que cada prefeitura cede (energia, segurança, banheiros, gradil). Sem isso, 8 concertos não cabem em R$ 500 mil.
• Fechar a planilha com cotações (palco, som, ônibus, hospedagem) e a simulação do ECAD; dividir a estrutura entre fornecedores para respeitar o limite de 20%.
• Portfólio e documentos de Túlio Gama; esclarecer o vínculo com a Morsa (art. 15).</t>
  </si>
  <si>
    <t xml:space="preserve">• Cadastrar como Música, 'Apresentação/Gravação de Música Instrumental' (ou Erudita, se o repertório for predominantemente de concerto), com produto 'Concertos'.
• Agrupar os concertos em 4 finais de semana com 2 municípios vizinhos cada (ex.: Ouro Preto/Mariana; Congonhas/Lafaiete; Divinópolis/Itaúna; Curvelo/Diamantina) para reduzir logística.
• Formalizar contrapartidas municipais e a parceria Armind como 'outras fontes', sem sobreposição com itens incentivados.
• Usar repertório em domínio público/arranjos próprios para reduzir ECAD e partituras.
• Corrigir o título (planilha 'Concertos nas Praças do Interior' x documentos 'Concertos na Praça') antes do cadastro.
• Incluir medidas ambientais simples e as marcas do Pronac no plano de divulgação.</t>
  </si>
  <si>
    <t xml:space="preserve">R$ 100.000: Versão de R$ 100 mil: 2 concertos em 2 municípios vizinhos num único fim de semana (ex.: Ouro Preto e Mariana) com quinteto + regente, 2 ensaios abertos e 2 aberturas locais; palco/som/luz de pequeno porte só nesses 2 dias; registro fotográfico + 1 vídeo curto com legendas/Libras no lugar do aftermovie; coordenação de 3 meses. Mantêm-se Libras, rampa, ECAD, contador e captação de 10%.</t>
  </si>
  <si>
    <t xml:space="preserve">Encontros de transmissão de saberes da cultura alimentar tradicional mineira com mestres e detentores (cozinhas de mestres, oficinas, 'Cozinha de Memórias' com escolas e rodas de conversa) em 4 etapas municipais, como ação de salvaguarda.
Secundários:
– Caderno Sabores de Minas – publicação de receitas, modos de fazer e memórias (digital acessível + 500 exemplares) (Humanidades / Livro/Obra Refer impres/eletrôni valor Art/Lit/Hum)
– Registro audiovisual (4 episódios curtos) e acervo documental (Patrimônio Cultural / Salvaguarda do patrimônio cultural imaterial (documentação))
– Espaço de exposição de produtos tradicionais dos detentores (feira, sem taxa) (Patrimônio Cultural / Salvaguarda do patrimônio cultural imaterial (atividade vinculada; não usar 'Gastronomia de valor cultural'))</t>
  </si>
  <si>
    <t xml:space="preserve">Como está redigido ('festival gastronômico-cultural', 'feira gastronômica', 'circuitos gastronômicos'), o projeto cai em Humanidades, 'Gastronomia de valor cultural', que é Art. 26 no Anexo IV. Além disso, o art. 18 da IN determina que, em projetos gastronômicos que NÃO se caracterizem como manifestação de tradição, memória ou patrimônio imaterial, só se aprovam custos artístico-culturais. Isso glosaria estrutura de feira, ingredientes, cozinhas e logística. Caminho para o Art. 18: Patrimônio Cultural, 'Salvaguarda do patrimônio cultural imaterial' (Anexo I, LXIX: identificação, documentação, transmissão, promoção e valorização). O objeto deve ser redefinido como salvaguarda e transmissão dos SABERES E MODOS DE FAZER tradicionais da cozinha mineira (quitandas, doces de tacho, queijo artesanal, cozinhas quilombolas e de festas populares), com os mestres/detentores como protagonistas. O consumo e a gastronomia comercial ficam fora. Ancoragem: indicar bens registrados quando houver (ex.: Modo Artesanal de Fazer Queijo de Minas, registrado pelo Iphan, e registros do IEPHA/municipais a verificar). Para os demais saberes, apresentar relatório de reconhecido valor cultural/referência cultural das comunidades (Anexo II, 8.1.2.1). Também são exigidos: anuência dos detentores (8.1.3), relatório do bem (8.1.4), justificativa (8.1.5), ficha técnica com experiência junto às comunidades (8.1.6) e aderência à Portaria Iphan 299/2015 com benefícios diretos aos detentores (8.8). Estrutura: (i) não cadastrar como 'Festival' (art. 46, p.u.); (ii) o produto principal de maior custo deve ser a salvaguarda: na planilha proposta soma R$ 346.877, contra R$ 20.000 da feira; (iii) a feira fica como espaço de exposição dos detentores, sem taxa e sem compra de alimentos para venda ou degustação com recurso incentivado; ingredientes só como insumo pedagógico das oficinas; (iv) a publicação pode ser secundária em Humanidades/Livro (Art. 18). Alternativa Art. 18: Patrimônio, 'Ações de Educação Patrimonial', se o eixo escolar ('Cozinha de Memórias') for o principal, com aderência à Portaria Iphan 137/2016. Risco residual: CNIC/Iphan podem reclassificar como Gastronomia (Art. 26); cabe um único recurso em 10 dias (art. 45, §3º). Proponente: planilha e documentos indicam ProSP (PJ); só a pasta do Drive diz 'Túlio Gama' (provável troca com P07). Se fosse Túlio (PF), o valor teria de cair ao teto de R$ 500 mil (art. 11, I) e ainda assim não caberia, porque P07 já consome toda a carteira PF de Túlio. Por isso a planilha usa R$ 600 mil com ProSP como PJ.</t>
  </si>
  <si>
    <t xml:space="preserve">• Reestruturar o objeto de 'festival gastronômico' para salvaguarda de saberes e modos de fazer tradicionais (Patrimônio/Salvaguarda, Art. 18). Do contrário, o enquadramento é Art. 26 e há glosa de custos (IN, art. 18).
• Confirmar o proponente ProSP (CNPJ, CNAE compatível, representante) e corrigir a pasta 'Túlio Gama'. Como PF de Túlio, o projeto é inviável (teto R$ 500 mil e carteira já usada por P07).
• Reunir o Anexo II, item 8: identificação dos saberes/bens, registro ou relatório de reconhecido valor, anuências dos detentores/comunidades e ficha técnica com experiência junto às comunidades.
• Regulamentar a feira sem taxa e sem receita para o projeto, ou declarar a receita e aplicar o art. 44.
• Fechar a grade por etapa (decidir 1 ou 2 fins de semana; a planilha cobre 1), o 4º município, os espaços e as metas.</t>
  </si>
  <si>
    <t xml:space="preserve">• Novo objeto sugerido: 'Salvaguarda e transmissão dos saberes e modos de fazer da cultura alimentar tradicional mineira, por meio de encontros com mestres e detentores em 4 municípios, documentação e publicação'.
• Retirar do texto as expressões 'festival gastronômico', 'expedição gastronômica', 'empreendedores da gastronomia' e 'oportunidades de comercialização' como objetivo; manter a comercialização só como efeito indireto e privado.
• Ancorar em bens registrados (Modo Artesanal de Fazer Queijo de Minas – Iphan; registros IEPHA/municipais a conferir) e em relatórios de referência cultural para os demais saberes.
• Usar a Portaria Iphan 299/2015 na justificativa e demonstrar benefícios diretos aos detentores: cachês, créditos, exemplares e acervo devolvido.
• Manter o produto principal (salvaguarda) com o maior custo e a feira enxuta. Tendas de expositores podem vir de contrapartida municipal.
• Se o foco escolar crescer, considerar 'Ações de Educação Patrimonial' (Art. 18), com aderência à Portaria Iphan 137/2016.
• Verificar se a ProSP atende ao requisito de domicílio em MG exigido pela LEIC para a fonte complementar estadual.</t>
  </si>
  <si>
    <t xml:space="preserve">R$ 120.000: Versão de R$ 120 mil: 2 etapas em municípios contíguos (Ouro Preto e Mariana), 1 fim de semana cada (sáb-dom), com 8 atividades de mestres e 2 rodas; sem tendas de feira (expositores com estrutura própria ou cessão municipal); Caderno só em versão digital acessível; registro fotográfico + 1 vídeo curto acessível; coordenação e curadoria de 4 meses. Mantêm-se pesquisa/relatório de referência cultural, anuências, Libras, contador e captação de 10%.</t>
  </si>
  <si>
    <t xml:space="preserve">Espetáculo teatral-musical Auto de Natal Mineiro – criação e circulação (10 apresentações gratuitas)
Secundários:
– Registro audiovisual integral acessível (Libras, AD, legendas) e clipes (Audiovisual / Difusão de acervo e conteúdo AV em diversos meios/suportes (Art. 18) – ou manter como ação do produto principal)</t>
  </si>
  <si>
    <t xml:space="preserve">Artes Cênicas / Teatro Musical (c/ dramaturgia, danças e canções) – alternativa equivalente: Apresentação ou Performance de Teatro</t>
  </si>
  <si>
    <t xml:space="preserve">O produto principal é o espetáculo. Na planilha proposta ele responde por cerca de 97% do valor do projeto (criação, elenco, núcleo musical, grupos locais, estrutura e circulação), e o registro audiovisual é o único secundário, de valor pequeno. Por isso o Art. 18 está garantido desde que o cadastro use Artes Cênicas. Recomendo o segmento 'Teatro Musical (c/ dramaturgia, danças e canções)', porque há dramaturgia original e números musicais ao vivo. 'Apresentação ou Performance de Teatro' também é Art. 18, e a escolha só precisa ser coerente com o texto. Não cadastrar em Música: 'canções natalinas' com corais e bandas poderiam ser lidas como Música Popular Cantada (Art. 26). Se a parte musical precisar de destaque, use 'Canto Coral' (Art. 18), nunca 'Popular Cantada'. Cuidados de redação: (1) manter e reforçar o parágrafo que afasta culto e proselitismo (IN art. 32, VI), tratando a obra como 'auto' da tradição popular, de fruição laica e aberta; (2) não apresentar a feira de artesanato e gastronomia como produto nem pôr custo dela na planilha (risco de glosa pela IN art. 18 e de leitura como Gastronomia, que é Art. 26); (3) não incluir a 'oficina de presépios' (pendência 16) como produto. Se for incluída, deve ser atividade paralela gratuita de ampliação de acesso (art. 42, V) e de baixo custo, para não diluir o produto principal; (4) a participação de corais e bandas é 'integração musical ao espetáculo', não 'shows'.</t>
  </si>
  <si>
    <t xml:space="preserve">• Resolver a sobreposição com o P10 (mesmo proponente Arminde e mesmo objeto 'Auto de Natal' em nov–dez/2027) antes de submeter. Sem isso há risco de indeferimento por fracionamento ou duplicidade e de custos de criação contados duas vezes.
• Natureza jurídica e dossiê da Arminde (PF, MEI ou PJ; CNPJ e CNAE; portfólio obrigatório por ser &gt; R$ 200 mil). Se for PF, o projeto tem de baixar para ≤ R$ 500 mil.
• Ficha técnica com currículos, autor do texto com contrato ou anuência (Anexo II 3.1 e 3.3) e sinopse.
• Fechar os 8 municípios e as praças com manifestação das prefeituras, mais o calendário real.
• Plano de acessibilidade com AD presencial e medidas arquitetônicas por praça, alinhado ao Guia MDHC.</t>
  </si>
  <si>
    <t xml:space="preserve">• Cadastrar Artes Cênicas / Teatro Musical (ou Apresentação/Performance de Teatro) e pedir expressamente o Art. 18. Não usar a área Música.
• Sobre o P10, escolher uma de três saídas: (a) fundir P09 e P10 num único projeto da Arminde de até R$ 1,2 mi (cabe no limite de PJ), com 15 apresentações (BH, RMBH e cidades históricas); (b) manter o P09 na Rouanet e levar o P10 só à LEIC-MG, em linha com o Banco Cemig, que exige LEIC; (c) se os dois forem à Rouanet, reposicionar o P10 em outro segmento (ex.: Música/Canto Coral – cantatas nas cidades históricas), com equipe e orçamento próprios e sem custos de criação do Auto. Nesse caso, declarar a relação entre os projetos nos dois cadastros.
• Incluir na justificativa a aderência ao art. 1º e ao art. 3º da Lei 8.313 e dados socioculturais dos municípios.
• A planilha só fecha em R$ 700 mil com estrutura de pequeno porte, gerador em 5 das 10 praças e elenco de 6 atores contratados como MEI. Confirmar essas premissas na vistoria ou reduzir para 8 apresentações.
• Eliminar a oficina de presépios ou mantê-la como atividade paralela gratuita de custo baixo. Não colocar feiras na planilha.
• Padronizar o nome do proponente (Armind ou Arminde) na planilha do cliente, na pasta e no SALIC.</t>
  </si>
  <si>
    <t xml:space="preserve">R$ 140.000: Mantém o objeto (criação + circulação gratuita) em formato enxuto: 3 apresentações (BH centro, Barreiro e 1 município) em equipamentos culturais públicos com palco, som e luz próprios, o que elimina palco, gerador e banheiros químicos. Elenco de 4 atores + 2 músicos, com 1 mês de ensaio. Cenografia simplificada (~R$ 8 mil). Grupos locais só em 3 praças. Sem vídeo integral: no lugar dele, Libras e AD presenciais nas 3 sessões e ensaio aberto (art. 42, V) como ampliação de acesso. Divulgação só digital. Custos vinculados proporcionais (adm ~8%, acessibilidade/divulgação ~16%, captação 10%).</t>
  </si>
  <si>
    <t xml:space="preserve">Espetáculo Auto de Natal – 5 apresentações gratuitas em praças (criação/adaptação e circulação)
Secundários:
– Apresentações de canto coral/cantata natalina (5) (Música / Apresentação/Gravação de Canto Coral (Art. 18))
– Ambientação cênica temporária de iluminação LED (5) (Artes Cênicas / Apresentação ou Performance de Teatro – como ação vinculada ao espetáculo, não como produto autônomo de Artes Visuais)
– Registro audiovisual – vídeo-síntese acessível (Audiovisual / Difusão de acervo e conteúdo AV em diversos meios/suportes (Art. 18))</t>
  </si>
  <si>
    <t xml:space="preserve">O escopo SALIC acerta ao tratar o Auto de Natal como produto principal em Artes Cênicas / Apresentação ou Performance de Teatro (Art. 18) e ao evitar o cadastro como 'Festival/Festa/Feira'. Isso é importante: nesse cadastro valeria o secundário de maior valor (art. 46, parágrafo único), e a feira ou a estrutura poderiam definir o enquadramento. Na planilha proposta o Auto responde por cerca de 89% do valor do projeto e o coral (Canto Coral, também Art. 18) por cerca de 6%. RISCOS: (1) A feira de economia criativa com gastronomia não deve ser produto nem ter rubricas incentivadas. Há risco de glosa pela IN art. 18 (custos gastronômicos e comerciais) e de leitura como 'Gastronomia de valor cultural' (Art. 26). A estimativa preliminar de R$ 45 mil para 'tendas, feira e cenografia complementar' foi retirada da planilha, e a feira passa a ser ação associada com tendas dos expositores ou do município. Se o cliente quiser manter a feira no projeto, restringir a artesanato tradicional e enquadrar como Patrimônio/Artesanato tradicional (Art. 18), com valor inferior ao do Auto. (2) A iluminação de praças e fachadas deve ser descrita como luz cênica vinculada à apresentação, como o escopo já faz; decoração urbana é vedada como objeto (art. 33, V). (3) Os corais devem cantar repertório coral natalino (Canto Coral), não 'show' de música popular. (4) O tema natalino exige o mesmo cuidado do P09 quanto a proselitismo (art. 32, VI). PROBLEMA MAIOR: o enquadramento está correto, mas o projeto é quase o mesmo objeto do P09 (Auto de Natal Mineiro), com o mesmo proponente. Ver conformidade e recomendações.</t>
  </si>
  <si>
    <t xml:space="preserve">• Resolver a duplicidade com o P09: mesmo proponente (Arminde) e mesmo objeto (Auto de Natal gratuito em praças de MG em nov–dez/2027). Do jeito que está, o projeto não deve ser submetido à Rouanet em paralelo ao P09.
• Definir o titular (Arminde PJ ou Gustavo Ribeiro PF) e reunir CNPJ, CNAE, contrato social e portfólio. A planilha e os documentos divergem.
• Anuências das 5 prefeituras e autorizações de patrimônio nas cidades históricas, com praças definidas.
• Ficha técnica e sinopse do Auto, com anuência do autor.
• Firmar ao menos uma medida de ampliação de acesso (art. 42) e o público estimado por produto.</t>
  </si>
  <si>
    <t xml:space="preserve">• Opção preferencial: levar o P10 à LEIC-MG, para a qual já existe versão e que é coerente com o Banco Cemig, e deixar o P09 como projeto Rouanet. Assim se evita a sobreposição federal. O mecanismo 'R Art. 18 + E' não permite financiar as mesmas despesas duas vezes.
• Alternativa: fundir P09 e P10 num único projeto Rouanet da Arminde (até R$ 1,2 mi, dentro do limite de PJ), com um só Auto e 15 apresentações (BH, RMBH e cidades históricas). Os custos de criação ficam uma vez só e a captação é única.
• Se os dois forem mesmo à Rouanet, reposicionar o P10 como 'Cantatas de Natal nas Cidades Históricas', com produto principal em Música / Canto Coral (Art. 18). Território só nas cidades históricas (sem BH), sem Auto teatral, com equipe e cenografia próprias, e declaração de não sobreposição com o P09 nos dois cadastros.
• Manter o cadastro como Artes Cênicas / Apresentação ou Performance de Teatro (não 'Festival/Festa/Feira'). Excluir a feira dos produtos e das rubricas incentivadas.
• Corrigir a versão LEIC, que repete 'Enquadramento pretendido: Artigo 18... MinC'.
• Rever a distribuição preliminar: os R$ 145 mil de estrutura do texto não cabem junto com os custos vinculados da Rouanet. A planilha proposta usa estrutura de pequeno porte (R$ 65 mil).</t>
  </si>
  <si>
    <t xml:space="preserve">R$ 100.000: 2 cidades sem pernoite (BH bairro + Sabará), Auto adaptado com 3 atores + 1 músico e cenografia mínima (~R$ 6 mil), 1 coral local por cidade, estrutura de pequeno porte só no dia, sem ambientação LED separada (a luz cênica cumpre esse papel), sem vídeo-síntese (só registro fotográfico), Libras e AD nas 2 sessões, e ação com escolas como ampliação de acesso. Sem feira. Custos vinculados proporcionais.</t>
  </si>
  <si>
    <t xml:space="preserve">Festival/Festa: circuito Festa Junina – Saberes e Tradições do Forró (4 municípios, 8 dias). Pelo art. 46, parágrafo único, o enquadramento é dado pelo secundário de maior valor: as 16 apresentações das Matrizes Tradicionais do Forró
Secundários:
– 16 apresentações musicais das Matrizes Tradicionais do Forró (SECUNDÁRIO DE MAIOR VALOR: R$ 158,2 mil na planilha proposta) (Patrimônio Cultural / Salvaguarda do patrimônio cultural imaterial (Art. 18). Alternativa: Música / Apresentação de Música Regional (Art. 18). NUNCA Música Popular Cantada (Art. 26))
– 12 apresentações de quadrilhas juninas (mostra não competitiva) (Patrimônio Cultural / Salvaguarda do patrimônio cultural imaterial (Art. 18). Alternativa: Artes Cênicas / Apresentação ou Performance de Dança (Art. 18))
– 12 oficinas de saberes (ornamentação, dança de forró, culinária junina), 360 vagas (Patrimônio Cultural / Ações de Educação Patrimonial (Art. 18). Não usar 'Gastronomia de valor cultural' (Art. 26))
– Mapeamento cultural simplificado + 4 minidocumentários (Patrimônio Cultural / Salvaguarda do patrimônio cultural imaterial – pesquisa e documentação (Art. 18). Alternativa: Audiovisual / Difusão de acervo e conteúdo AV (Art. 18))</t>
  </si>
  <si>
    <t xml:space="preserve">Patrimônio Cultural / Salvaguarda do patrimônio cultural imaterial (produto Festival, Bienal, Festa ou Feira)</t>
  </si>
  <si>
    <t xml:space="preserve">Por ser Festa, o art. 46, parágrafo único, manda enquadrar pelo PRODUTO SECUNDÁRIO DE MAIOR VALOR. Na planilha proposta ele são as 16 apresentações de forró (R$ 158,2 mil), seguidas das quadrilhas (R$ 74 mil), das oficinas (R$ 62 mil) e da documentação (R$ 45,2 mil). Todo o Art. 18 depende, portanto, do segmento em que as apresentações forem cadastradas. As alternativas: (A) RECOMENDADA – Patrimônio Cultural / Salvaguarda do PCI (Art. 18). É coerente com o objeto (bem registrado pelo Iphan em 2021, Plano de Salvaguarda de 2024, curadoria com detentores, remuneração e documentação) e ainda tira o projeto dos limites de valor e quantidade (art. 14, II e parágrafo único). Exige, porém, a instrução completa do Anexo II, item 8: registro do bem, relatório, anuência da comunidade detentora, aderência à Portaria Iphan 299/2015 e benefícios diretos aos detentores. Sem esses documentos o MinC pode reclassificar o produto. (B) Música / Apresentação de Música Regional (Art. 18). É defensável porque baião, xote, xaxado e arrasta-pé são gêneros regionais, mas trios de forró são majoritariamente cantados e o parecerista pode ler 'show de forró' como Música Popular Cantada (Art. 26). Nesse caso o projeto inteiro cairia no Art. 26. A previsão de 'sertanejo raiz' na programação complementar (§7.1) agrava esse risco e deve ser retirada. COMO REDIGIR: chamar as apresentações de 'Apresentações das Matrizes Tradicionais do Forró – bem registrado como Patrimônio Cultural do Brasil'; detalhar instrumentação tradicional (sanfona, zabumba, triângulo), repertório de domínio da tradição e presença de mestres; ligar cada apresentação à mediação patrimonial (mestre de cerimônias e painéis). Manter a culinária como oficina de transmissão de saberes (Educação Patrimonial), sem venda nem distribuição de alimentos, e deixar barracas e vendas fora da planilha. Pela IN art. 18, custos gastronômicos e comerciais só são aceitos em manifestações de tradição, e mesmo assim só os culturais. Manter a gestão geral (estrutura e equipe) no produto Festa, que não define o enquadramento, e garantir que nenhum secundário de segmento Art. 26 supere as apresentações.</t>
  </si>
  <si>
    <t xml:space="preserve">• Anuência da comunidade detentora das Matrizes Tradicionais do Forró (grupos e coletivos forrozeiros de MG), relatório do bem e comprovante do registro Iphan (Anexo II 8.1.1–8.1.5 e 8.8). Sem isso o enquadramento em Patrimônio não se sustenta.
• Fixar no SALIC o segmento das apresentações (Salvaguarda do PCI, ou Música Regional) e retirar o 'sertanejo raiz', para que o secundário de maior valor garanta o Art. 18.
• Confirmar municípios, espaços e datas com cartas das prefeituras, incluindo o apoio assumido na planilha: energia da rede, sanitários do local e policiamento.
• Cadastro, CNAE e portfólio da Mobox.
• Ficha técnica nominal (3 curadores com experiência junto aos detentores), proposta curatorial ou pré-grade e planos das 12 oficinas com carga horária.</t>
  </si>
  <si>
    <t xml:space="preserve">• Cadastrar o produto principal como Festival/Festa em Patrimônio Cultural / Salvaguarda do PCI e os secundários como na lista de produtos secundários (todos Art. 18).
• Renomear as apresentações como 'Apresentações das Matrizes Tradicionais do Forró' e descrever a formação tradicional (sanfona, zabumba, triângulo) e a presença de mestres.
• Trocar o MC por 'mediação cultural' e manter os painéis educativos. Isso reforça a natureza patrimonial dos shows.
• Organização técnica para caber em R$ 800 mil: sábado com palco, som médio e luz (atração de referência + 2 trios) e domingo em arena no chão com som pequeno (3 quadrilhas + 1 trio). Sem essa solução e sem o apoio municipal, o escopo completo custaria cerca de R$ 900–950 mil; nesse caso, reduzir para 3 municípios.
• Não cobrar taxa das barracas e não financiar barracas de venda.
• Incluir no texto a aderência à Portaria Iphan 299/2015 (salvaguarda) e 137/2016 (educação patrimonial), e prever o envio do mapeamento ao MinC e ao Iphan (art. 41, §9º).
• Registrar o vínculo do Hexagon e do Blip com 'Pixel' e do Minas Shopping com o Nerd Experience apenas como histórico de relacionamento, sem promessa de contrapartida comercial.</t>
  </si>
  <si>
    <t xml:space="preserve">R$ 160.000: 1 município (ex.: Sete Lagoas) com 1 fim de semana: 4 apresentações (1 referência + 3 trios), 3 quadrilhas e 3 oficinas (90 vagas), com 1 curador-detentor + pesquisador em regime parcial, mapeamento local e 1 minidocumentário. Estrutura de sábado e arena de domingo, Libras e AD, divulgação local. Mantém o enquadramento patrimonial: anuência dos detentores, secundário de maior valor nas apresentações e custos vinculados proporcionais.</t>
  </si>
  <si>
    <t xml:space="preserve">Desfile festivo – cortejo carnavalesco Bloco Nerd (com ensaios abertos e lançamento)
Secundários:
– Oficinas de percussão e de adereços/fantasias (4 turmas, ~120 vagas) (Artes Cênicas / Empreend. Ações Educ-Cult/Capacitação/Treinamento (Art. 18))
– Aftermovie acessível (Audiovisual / Difusão de acervo e conteúdo AV em diversos meios/suportes (Art. 18))</t>
  </si>
  <si>
    <t xml:space="preserve">Artes Cênicas / Desfiles festivos de caráter musical e cênico</t>
  </si>
  <si>
    <t xml:space="preserve">Para a Rouanet o enquadramento correto é Artes Cênicas / Desfiles festivos de caráter musical e cênico (Art. 18). O Anexo I, XXV define o segmento como 'desfiles de caráter musical e cênico que tenham relação com festividades regionais, com confecções de fantasias, adereços ou materiais cenográficos', e o projeto reúne os três elementos: Carnaval de BH, fantasias e cosplays, oficinas de adereços e estandarte. O art. 12, I admite até R$ 6 mi para desfiles, sempre limitado à carteira. NÃO usar o enquadramento da versão LEIC ('área Música... cortejo/desfile musical'): na Rouanet, um cortejo de covers de temas pop, com possíveis vozes e 'reprodução de faixas', tende a ser lido como Música Popular Cantada (Art. 26). Cuidados de redação: (1) eliminar o playback e afirmar execução instrumental ao vivo pela bateria, com arranjos próprios; (2) dar peso ao caráter cênico (estandarte, figurinos, cosplayers em cena, coreografia de entrada, concepção visual); (3) ancorar o projeto na tradição dos blocos de rua de BH, isto é, na festividade regional; (4) tratar as oficinas como formação ligada ao desfile (Ações Educ-Cult, Art. 18). Na planilha proposta o desfile responde por ~87% do valor do projeto, as oficinas por ~9% e o aftermovie por ~4%.</t>
  </si>
  <si>
    <t xml:space="preserve">• Escolher qual projeto do Túlio vai à Rouanet. P07 + P12 como PF somam R$ 750 mil e violam a carteira de R$ 500 mil (art. 10, I). Conferir também o vínculo de Túlio com a Morsa (art. 15) e com o P08.
• Titular formal: PF Túlio ou Morsa, sendo que o CNAE da Morsa ('edição de jornais') é incompatível. Reunir o portfólio documentado (obrigatório acima de R$ 200 mil).
• Edição: o Carnaval 2027 é inviável na Rouanet. Reescrever para o Carnaval 2028, o que permite submeter na janela de 2027.
• Direitos: nome 'Bloco Nerd' (conflito com outro bloco), licenças de arranjo dos temas, personagens NXP e eliminação do playback.
• Reescrever o escopo para a Rouanet (Artes Cênicas / Desfiles festivos, Art. 18), com acessibilidade firmada e percurso protocolado na PBH/Belotur.</t>
  </si>
  <si>
    <t xml:space="preserve">• Sugestão de decisão de portfólio: P12 na LEIC-MG, para a qual foi escrito (Categoria 1, com precedentes de blocos no Ato CEFIC 60/2025), e P07 (concertos, Música Instrumental/Erudita, Art. 18) na Rouanet. Se o cliente preferir o P12 na Rouanet, o P07 sai da carteira PF do Túlio ou muda de titular.
• Se for à Rouanet: título 'Bloco Nerd – Carnaval 2028', área Artes Cênicas / Desfiles festivos de caráter musical e cênico, execução instrumental ao vivo sem playback, concepção cênica explícita e oficinas como Ações Educ-Cult.
• Registrar nome ou marca próprios (ou variação distintiva) e obter licença escrita para personagens e temas antes do cadastro.
• Publicar o aftermovie nos canais do projeto, com Libras e legendas. O Nerd Experience aparece só como apoio institucional.
• Seletiva cosplay com regulamento (Anexo II 6.8), prêmio não pecuniário e termo de imagem para menores.</t>
  </si>
  <si>
    <t xml:space="preserve">R$ 50.000: Cortejo sem trio elétrico: bateria de 10 percussionistas a pé com carro de som pequeno, percurso curto em uma via. 1 oficina de percussão e 1 de adereços (60 vagas), 1 ensaio aberto (que também funciona como lançamento), sem cosplayers contratados nem seletiva premiada, estandarte simples, registro fotográfico em vez de aftermovie. Mantém Libras e monitores no cortejo, segurança, brigada e ambulância mínimas, divulgação digital e custos vinculados proporcionais.</t>
  </si>
  <si>
    <t xml:space="preserve">Oficinas de arte urbana (grafite) com criação coletiva de 4 murais permanentes em pistas públicas de skate da RMBH
Secundários:
– Breaking/hip-hop: oficinas de dança, batalhas abertas e apresentações de grupo de dança urbana (com DJ/MC) nos 4 dias abertos (Artes Cênicas / Apresentação ou Performance de Dança)</t>
  </si>
  <si>
    <t xml:space="preserve">1) Como está, o projeto NÃO é enquadrável na Rouanet. O documento foi escrito para a LIE e diz isso de forma explícita: 'predominância esportiva', 'o skate organiza o objeto, as metas, os beneficiários e a maior parte das despesas' e 'circuito esportivo de skate… e não festival cultural'. O produto principal (evento esportivo) não tem segmento no Anexo IV. Pelo art. 18 da IN 29, num projeto esportivo só se aprovam custos artístico-culturais. Skate não é manifestação de tradição, memória ou patrimônio imaterial, então seriam glosados a direção técnica, a arbitragem, os instrutores de skate, os skates e EPIs, troféus, medalhas e kits esportivos, o transporte e a alimentação dos classificados, a ambulância e o regulamento competitivo. 2) Existe um caminho Art. 18 crível, e ele inverte o objeto. A IN 29 (Anexo I, LVII) define 'projeto de cultura urbana' como o hip-hop em seus elementos (DJ, MC, break, grafite, conhecimento). Recomenda-se este produto principal (ação de maior custo): Artes Visuais – 'Empreend Ações Educ-Cult/Capacitação/Treinamento', com oficinas de grafite que terminam em murais coletivos nas pistas. Como secundário: Artes Cênicas – 'Apresentação ou Performance de Dança' (breaking). As duas linhas são Art. 18. 3) Como redigir: título e resumo com 'arte urbana' em primeiro plano. O skate aparece como território e público (as pistas como espaços de cultura urbana), sem metas nem custos esportivos. Não chamar o projeto de 'festival', porque aí o enquadramento passa a ser dado pelo secundário de maior valor e entram as exigências documentais de festival (Anexo II, item 6). Não incluir show de rap/trap como atração de destaque: Música popular cantada é Art. 26, e se esse item virar a ação mais cara o enquadramento cai. DJ entra como ambientação da batalha. Batalhas sem prêmio em dinheiro, ou com regulamento (Anexo II, 6.8). 4) Se o cliente quiser manter a competição de skate, ela vai para a LIE (Lei 11.438/2006; o próprio documento cita a LC 222/2025 e o Decreto 12.861/2026 como regulamentação vigente) ou para a Lei Estadual de Incentivo ao Esporte de MG (Lei 20.824/2013). Nesse caso são dois projetos com objetos distintos e despesas segregadas, cada um declarando o outro como fonte.</t>
  </si>
  <si>
    <t xml:space="preserve">• Reescrever o projeto inteiro com objeto cultural. O texto atual (LIE, com 'predominância esportiva') é inadmissível no SALIC e teria quase todo o orçamento glosado pelo art. 18 da IN.
• ESIP: comprovar CNPJ com CNAE cultural compatível com Artes Visuais/Cênicas, estatuto, ata e portfólio de atuação CULTURAL (valor &gt; R$ 200 mil). Sem isso, a proposta não é admitida.
• Anuências das 4 pistas, incluindo autorização expressa para pintura mural permanente (superfície, tema, conservação), e cartas de coletivos locais de hip-hop/grafite.
• Ficha técnica nominada (curadoria de arte urbana, muralistas, arte-educadores de grafite e breaking, DJ/MC, grupo de breaking) com currículos, e projeto pedagógico com carga horária e conteúdo (Anexo II 7.2/7.3).
• Decidir o destino da competição de skate (LIE ou lei estadual do esporte), segregar despesas e declarar as fontes no campo A19.
• Prazo: submissão até 31/10/2026, ou seja, cerca de 2 semanas para reescrever, juntar documentos e cadastrar.</t>
  </si>
  <si>
    <t xml:space="preserve">• Retitular para 'Skate &amp; Rua – Arte Urbana nas Pistas' e usar o vocabulário da IN (Anexo I, LVII – cultura urbana/hip-hop).
• Fazer seleção pública de muralistas e arte-educadores da própria RMBH e construir os temas dos murais com os participantes (escuta comunitária).
• Trocar os EPIs de skate por EPIs de pintura (máscara PFF2/semifacial, luvas) e usar tintas base água.
• Audiodescrição gravada de cada mural com QR code fixo na pista: é acessibilidade permanente e reforça a ampliação de acesso.
• Declarar como medidas do art. 42: oficinas gratuitas, ação para jovens e vídeo-memória na internet com Libras, legendas e AD.
• Batalhas de breaking só com certificados. Nada de troféus/kits esportivos na planilha Rouanet.
• Se as duas versões forem a protocolo, manter em cada uma metas, equipes e notas fiscais distintas e citar a outra no campo de fontes.</t>
  </si>
  <si>
    <t xml:space="preserve">R$ 70.000: Ficar em 1 município (BH, numa pista com anuência): 1 oficina de grafite (20 vagas, 20 h), 1 mural coletivo (~50 m²), 1 oficina de breaking (20 vagas, 12 h) e 1 dia aberto (batalha, DJ/MC, 1 grupo). Coordenação cai para ~2 meses, sai a curadoria separada (a coordenação assume), o vídeo-memória vira 1 diária de registro com edição simples, e a acessibilidade fica em Libras no dia aberto + AD gravada do mural + rampa. Divulgação só digital. Saem os 3 municípios, o ônibus/van extra e o seguro ampliado. Os percentuais se mantêm (adm ~6%, acessibilidade/divulgação ~15%, captação 10%). Objeto viável e ainda Art. 18 (oficina + mural).</t>
  </si>
  <si>
    <t xml:space="preserve">Núcleos de formação em capoeira: 4 núcleos, 100 participantes, 16 encontros de 2 h com mestres (fundamentos, musicalidade, história, oralidade)
Secundários:
– 8 rodas comunitárias abertas + Encontro Estadual Roda de Minas (2 dias, mestres convidados, maculelê, construção de berimbau) (Artes Cênicas / Apresentação de Dança ou Ação Educativa: Capoeira)
– Memória: vídeo com depoimentos de mestres e publicação digital acessível. Recomenda-se cadastrar como entrega do produto principal. Se cadastrado à parte, usar Patrimônio Cultural, o que exige anuência dos detentores (Anexo II 8.1/8.8) (Patrimônio Cultural / Salvaguarda do patrimônio cultural imaterial)</t>
  </si>
  <si>
    <t xml:space="preserve">Artes Cênicas / Apresentação de Dança ou Ação Educativa: Capoeira</t>
  </si>
  <si>
    <t xml:space="preserve">É o projeto mais bem enquadrado do lote. A capoeira consta de forma expressa no Anexo IV da IN 29 como Art. 18 (Artes Cênicas – 'Apresentação de Dança ou Ação Educativa: Capoeira') e no Anexo I, LVI, como cultura afro-brasileira. Além disso, é registrada como Patrimônio Cultural do Brasil pelo IPHAN (Ofício dos Mestres de Capoeira e Roda de Capoeira), e a Roda de Capoeira foi reconhecida pela UNESCO. Por isso a exceção do art. 18 da IN ('manifestações de tradição, memória ou patrimônio cultural imaterial') protege o projeto da glosa aplicada a projetos esportivos. Recomendação: produto principal = os 4 núcleos formativos (ação de maior custo: R$ 78,6 mil diretos, contra R$ 55,7 mil de rodas e Encontro), no segmento 'Ação Educativa: Capoeira'. O segmento de Patrimônio ('Salvaguarda do patrimônio cultural imaterial', também Art. 18) só valeria a pena se o proponente precisasse escapar dos limites de valor ou quantidade, o que não é o caso da ESIP, e traria a exigência documental do Anexo II, item 8. A linguagem de salvaguarda entra na justificativa. Cuidados de redação na versão Rouanet: (a) eliminar 'desporto social', 'desenvolvimento motor', 'prática esportiva' e metas físicas; (b) não incluir graduação, cordas, uniformes esportivos nem material de treino físico; (c) feira afrocentrada fora da planilha, ou só como ação sem custo, para não dispersar o orçamento; (d) declarar a outra fonte se a versão da lei do esporte também for aprovada, com despesas segregadas. Observação: o plano do cliente prevê Rouanet + LEIC-MG (cultura), e o documento fala na lei estadual do ESPORTE. É preciso alinhar.</t>
  </si>
  <si>
    <t xml:space="preserve">• ESIP: CNPJ com CNAE cultural compatível com Artes Cênicas, estatuto com finalidade cultural, ata, certidões e portfólio cultural (valor &gt; R$ 200 mil). O próprio documento classifica isso como pendência CRÍTICA nº 1.
• Definir os 2 territórios restantes e os 4 espaços, com cartas de anuência e condições de acessibilidade. Confirmar ou retirar o núcleo quilombola (só citar com anuência formal).
• Nominar os mestres dos núcleos e os convidados do Encontro, com currículos e cartas de aceite. Elaborar o projeto pedagógico dos 16 encontros (Anexo II, item 7).
• Retirar a narrativa esportiva da versão SALIC e resolver a relação com a lei estadual do esporte (duplicidade de fontes; plano do cliente é LEIC-MG).
• Datas reais de 2027 e submissão até 31/10/2026.</t>
  </si>
  <si>
    <t xml:space="preserve">• Citar na justificativa o registro do IPHAN e o art. 3º da Lei 8.313/91 (preservação e difusão do patrimônio, apoio a manifestações culturais).
• Colher declarações de anuência de mestres e grupos participantes. Não é obrigatório no segmento de Artes Cênicas, mas fortalece a salvaguarda e protege contra questionamentos.
• Kits de instrumentos: especificar a composição com os mestres, justificar pelo art. 30 e prever termo de guarda/destinação ao grupo ou espaço de cada núcleo.
• Publicação digital acessível (PDF/UA + EPUB), com conteúdo validado pelos mestres antes da publicação.
• Estimar o público das rodas (~50 a 80 por roda) e do Encontro (~300 a 400) para o plano de distribuição.
• Manter a feira afrocentrada fora da planilha, ou como ação sem custo com expositores convidados.</t>
  </si>
  <si>
    <t xml:space="preserve">R$ 60.000: Ficar com 1 ou 2 núcleos (BH e Contagem) em vez de 4: 25 a 50 participantes, 16 encontros, 1 mestre por núcleo. Rodas caem de 8 para 2 a 4. O Encontro Estadual vira 1 roda de encerramento de 1 dia com 2 mestres convidados de BH, sem hospedagem, ônibus nem estrutura de som/tendas. Sem publicação digital: só registro e vídeo curto com Libras e legenda. 1 ou 2 kits de instrumentos. Coordenação geral em 3 a 4 meses de dedicação parcial. Mantém-se o segmento 'Ação Educativa: Capoeira' (Art. 18).</t>
  </si>
  <si>
    <t xml:space="preserve">Circulação de performances/intervenções de palhaçaria em hospitais (144 visitas em duplas, 6 hospitais)
Secundários:
– Formação artística interna dos 10 artistas (12 encontros/36 h) (Artes Cênicas / Empreendimento de Ações Educativo-Culturais/Capacitação/Treinamento)
– 4 apresentações públicas gratuitas em escolas públicas/centros culturais (Artes Cênicas / Performance de Circo, Clown e Ilusionismo)
– Guia digital gratuito de práticas de palhaçaria hospitalar (Artes Cênicas / Empreendimento de Ações Educativo-Culturais (material de difusão; não cadastrar como publicação/periódico de Humanidades, que é Art. 26))</t>
  </si>
  <si>
    <t xml:space="preserve">Artes Cênicas / Performance de Circo, Clown e Ilusionismo</t>
  </si>
  <si>
    <t xml:space="preserve">Enquadramento Art. 18 bem fundamentado: produto principal (performances de palhaçaria) em Artes Cênicas / "Performance de Circo, Clown e Ilusionismo", segmento expressamente listado no Anexo IV, e é a ação de maior custo (~R$ 197 mil de um valor de projeto de R$ 351,3 mil). Os secundários também são Art. 18; o guia deve entrar como material educativo-cultural de artes cênicas, nunca como "outras publicações" (Art. 26). Risco principal é a IN art. 18: por ser projeto de caráter social em ambiente de saúde, a planilha deve conter somente custos artístico-culturais (cachês, formação artística, figurinos/adereços, transporte da equipe artística, acessibilidade e divulgação); nada de EPIs/insumos hospitalares, exames, psicólogo, "humanização" como serviço ou brinquedos para doação. Redação: (1) o título "Riso que Cura" pode ser lido como promessa de efeito clínico; manter a ressalva da seção 03 no resumo do Salic e usar subtítulo descritivo ("Circuito de palhaçaria em hospitais de Minas Gerais"), ou renomear (ex.: "Riso em Cena"); (2) falar em "público fruidor", "visitas artísticas" e "intervenções cênicas", não em "atendimento", "pacientes beneficiados", "bem-estar" ou "humanização"; (3) evitar citar resultados terapêuticos de Doutores da Alegria/Hahaha; (4) metas e comprovação só culturais (já está assim no item 17). Não é plano anual (correto) e não se aplica teto especial do art. 12.</t>
  </si>
  <si>
    <t xml:space="preserve">• Dados jurídicos da Aver Mídia (CNPJ, atos, representante) e CNAE compatível com artes cênicas – risco de inabilitação se o CNAE for só de mídia/publicidade.
• Portfólio cultural comprovável da Aver Mídia (obrigatório para valor &gt; R$ 200 mil).
• Cartas de interesse/anuência dos 6 hospitais (nome, setor, contato) – sem elas o território e o plano de distribuição são fictícios.
• Validação da escala: 144 visitas só cabem em R$ 450 mil com cachê de R$ 400/turno, coordenação acumulada e captação ~9% (ver planilha); confirmar com artistas antes de congelar.
• Plano de acessibilidade escrito (Guia MDHC) e ficha técnica nominal com currículos.</t>
  </si>
  <si>
    <t xml:space="preserve">• Usar subtítulo descritivo no Salic e repetir a ressalva "não se trata de serviço de saúde nem promessa de resultado clínico"; avaliar renomear o projeto.
• Cadastrar estimativa de público por produto (ex.: ~2.160 fruições nas visitas; ~600 nas apresentações; 10 artistas formados), com nota de variação por condições assistenciais.
• Indicar incisos V e VI do art. 42 como ampliação de acesso.
• Definir datas civis (ex.: execução mar–out/2027) e prazo de captação.
• Protocolo de imagem/LGPD: apenas artistas, figurinos e ambientes; nenhum rosto, nome ou leito de paciente.
• Diferenciar textualmente de P16 (música) e P21 (cinema) para afastar leitura de fracionamento do eixo "Saúde".
• Se houver LEIC complementar, destinar a ela itens não culturais que eventualmente se queira (nunca ao Pronac) e declarar a fonte no campo A19.</t>
  </si>
  <si>
    <t xml:space="preserve">R$ 90.000: Reduzir para 2 hospitais em Belo Horizonte, 2 duplas (4 artistas) e 48 visitas (2/semana × 24 semanas; 96 cachês de R$ 400 ≈ R$ 38 mil + INSS); formação de 4 encontros (12 h); 1 apresentação pública; guia digital substituído por relatório-síntese online; sem viagens ao interior; coordenação geral acumulada com a artística em dedicação parcial (~R$ 4.000/mês × 8). Mantém objeto (palhaçaria em hospitais), segmento clown e Art. 18; acessibilidade mínima (consultoria + Libras/AD na apresentação) e captação ≤ 10%.</t>
  </si>
  <si>
    <t xml:space="preserve">Apresentações de música instrumental/regional mineira (trio acústico) em instituições de saúde – 30 apresentações
Secundários:
– 12 oficinas de musicalização (canto coletivo, percussão corporal, instrumentos simples) (Música / Empreendimento de Ações Educativo-Culturais/Capacitação/Treinamento)</t>
  </si>
  <si>
    <t xml:space="preserve">Música / Apresentação/Gravação de Música Instrumental (alternativa: Música Regional)</t>
  </si>
  <si>
    <t xml:space="preserve">O escopo admite as duas hipóteses e o próprio documento reconhece: "se prevalecer repertório genérico de MPB cantada, a classificação como artigo 26 será a alternativa prudente". Como está ("preferencialmente com voz e violão", "música popular brasileira"), o produto principal tende a "Música Popular Cantada" = Art. 26. Para garantir Art. 18, a decisão curatorial deve vir antes do protocolo: (a) formação fixa instrumental (trio de viola caipira/violão 7 cordas/flauta ou clarinete + percussão leve) com repertório instrumental mineiro (choro, valsas, toadas e modas de viola instrumentais) → segmento "Apresentação de Música Instrumental"; ou (b) repertório de matriz tradicional/regional mineira (modas de viola, toadas, cantigas de folia/congado em versão de câmara) → "Apresentação de Música Regional". A nota curatorial (pendência 01) deve listar repertório e proporções; o canto coletivo fica restrito às oficinas (Ações Educativo-Culturais de Música, também Art. 18). A apresentação continua sendo a ação de maior custo (~R$ 80 mil vs. ~R$ 11 mil das oficinas). IN art. 18: projeto em ambiente de saúde → apenas custos artístico-culturais; nada de musicoterapia, avaliação clínica ou insumos assistenciais (o texto já afasta). Linguagem: substituir "pessoas em cuidados" por "público em instituições de saúde", evitar "alívio", "conforto", "bem-estar" como resultados. Título: "Música nos Hospitais" coincide com o projeto da APM (PRONAC 257977) – recomenda-se nome próprio para evitar confusão de objeto/marca.</t>
  </si>
  <si>
    <t xml:space="preserve">• Decisão curatorial (formação instrumental/regional) – sem ela o produto principal tende a Art. 26 (música popular cantada).
• Carteira PF no limite: P05 (R$ 300 mil) + P16 (R$ 200 mil) = R$ 500 mil e 2 projetos; confirmar que não há outro projeto ativo e vínculos com PJ (art. 15).
• Anuências das 6 instituições (nenhuma indicada).
• Documentos do proponente PF e equipe nominal (currículos de músicos e educador) + projeto pedagógico das oficinas.
• Decidir mecanismo (Rouanet Art. 18 x IFC) e eliminar a doação de kits a hospitais.</t>
  </si>
  <si>
    <t xml:space="preserve">• Fechar nota curatorial de 1 página com repertório instrumental/regional e registrar no Salic como Música Instrumental (ou Regional).
• Trocar o título ou acrescentar identificador próprio (ex.: "Música nos Hospitais de Minas – Circuito Instrumental") para não confundir com PRONAC 257977.
• Plano de distribuição com estimativa (~750 fruições; ~150 participações em oficinas).
• Declarar art. 42, V (oficinas gratuitas) e, se houver residência terapêutica/ILPI, VII.
• Manter a frase "não constitui musicoterapia nem atividade assistencial" no resumo e na justificativa.
• Validar com contador a incidência de INSS patronal para proponente PF.
• Kits de percussão: material de consumo das oficinas, sem doação a instituições de saúde.</t>
  </si>
  <si>
    <t xml:space="preserve">R$ 40.000: Reduzir para 2 instituições em BH, duo instrumental (2 músicos), 10 apresentações e 4 oficinas; eliminar som portátil, kits (usar instrumentos dos músicos) e consultoria de acessibilidade mensal (manter Libras em 4 apresentações coletivas e programa ampliado); coordenação acumulada com produção (4 meses × R$ 2.000); captação ≤ 10%.</t>
  </si>
  <si>
    <t xml:space="preserve">Oficinas de dança, expressão corporal e artes visuais com criação coletiva (3 núcleos, 48 encontros, 96 h)
Secundários:
– Espetáculo coletivo de dança – 3 apresentações gratuitas (Artes Cênicas / Apresentação/Performance de Dança)
– Mostra de artes visuais (1 conjunto, 3 montagens) (Artes Visuais / Exposição Cultural/Artística)
– Minidocumentário de processo (5–8 min) e registros das apresentações (Audiovisual / Difusão de acervo e conteúdo AV (acessório; não cadastrar como produção AV autônoma))</t>
  </si>
  <si>
    <t xml:space="preserve">Artes Cênicas / Empreendimento de Ações Educativo-Culturais/Capacitação/Treinamento (dança)</t>
  </si>
  <si>
    <t xml:space="preserve">Projeto essencialmente artístico (dança) com enquadramento Art. 18 seguro: o produto principal – oficinas com criação coletiva – é a ação de maior custo nesta planilha (~R$ 56 mil contra ~R$ 27 mil do espetáculo) e se enquadra em Artes Cênicas / Ações Educativo-Culturais; o espetáculo ("Apresentação/Performance de Dança") e a mostra ("Exposição Cultural/Artística") também são Art. 18. A ligação com a frente "Saúde" é tênue (autoestima como efeito possível, encaminhamentos voluntários de CAPS) e não deve ser explorada no Salic: descrever como formação e criação artística, sem objetivos de saúde mental, terapêuticos ou de assistência social. Pela IN art. 18 (projeto de caráter social), custos de permanência (lanche, ateliê infantil) devem ser justificados como suporte às atividades culturais; acolhimento infantil deve ser atividade artística conduzida por arte-educadora (art. 42, VI), nunca "creche"; não incluir custos de assistência social, psicóloga ou cuidadora. O minidocumentário deve ser acessório (registro/difusão), sem virar produto AV autônomo.</t>
  </si>
  <si>
    <t xml:space="preserve">• Definir o proponente formal (PF Amanda Lourenço ou PJ com CNAE cultural) – sem ele não há inscrição.
• Escolher o 3º município e obter anuências dos 3 espaços de oficinas e do local da apresentação principal em BH.
• Ficha técnica nominal e projeto pedagógico formal (carga horária e conteúdo – Anexo II).
• Datas civis do cronograma e decisão IFC x Rouanet sem dupla captação.
• Formalizar "Arminde" (Armind?) apenas como fornecedor cotado, sem economia presumida.</t>
  </si>
  <si>
    <t xml:space="preserve">• Se PF e 1º projeto no Pronac, manter exatamente R$ 200 mil para usar a dispensa de portfólio.
• No Salic, cadastrar o produto principal como ação educativo-cultural de dança e o espetáculo como secundário (coerente com a planilha).
• Retirar do texto federal referências a CAPS e a efeitos de saúde; manter "frente Saúde" só como classificação interna.
• Declarar art. 42 II, V e VI como ampliação de acesso.
• Autorização de responsáveis para participantes de 16–17 anos e termos de uso de relatos.
• Citar o Guia de Acessibilidade do MDHC.</t>
  </si>
  <si>
    <t xml:space="preserve">R$ 40.000: 1 núcleo (BH) com 30 mulheres e 16 encontros; 1 apresentação final com mostra no mesmo dia; sem ônibus e sem minidocumentário (só registro fotográfico); ateliê infantil e lanche mantidos em escala reduzida; coordenação e direção acumuladas em dedicação parcial; Libras e AD na apresentação final; captação ≤ 10%.</t>
  </si>
  <si>
    <t xml:space="preserve">Oficinas continuadas de dança adaptada para pessoas idosas (72 encontros) com direção artístico-pedagógica
Secundários:
– Oficinas continuadas de canto coral (72 encontros) (Música / Empreendimento de Ações Educativo-Culturais/Capacitação/Treinamento (canto coral))
– Formação de multiplicadores culturais (2 turmas, 16 h) (Artes Cênicas / Empreendimento de Ações Educativo-Culturais/Capacitação/Treinamento)
– 6 apresentações locais + mostra final em BH (coral e dança) (Música / Artes Cênicas / Apresentação de Canto Coral / Apresentação de Dança)
– 6 vídeos curtos + 1 vídeo-síntese do processo (Audiovisual / Difusão de acervo e conteúdo AV (acessório))</t>
  </si>
  <si>
    <t xml:space="preserve">Versão federal bem desenhada para o Art. 18. O documento recomenda produto principal em Artes Cênicas (ações educativo-culturais de dança) e coral como secundário; na planilha o produto dança é o de maior custo (~R$ 47 mil, pois concentra a direção artístico-pedagógica) contra ~R$ 22 mil do coral. Mesmo que o MinC inverta, "Canto Coral" e ações educativo-culturais de Música também são Art. 18 – o repertório de "cantigas populares/música de memória" não converte o produto em "Música Popular Cantada" porque o formato é coral amador/formativo (manter o termo "canto coral" em todos os campos; pendência F5). Riscos de IN art. 18 (caráter social/saúde): o texto já declara "não constitui atendimento clínico, intervenção de saúde ou serviço terapêutico" e "não será cadastrado como ginástica"; manter, e trocar "envelhecimento ativo" no resumo por "protagonismo artístico de pessoas idosas" (o termo é de política de saúde da OMS e pode sugerir finalidade sanitária). Evitar como objetivos "combate ao isolamento" e "autoestima" (deixar como impacto). Não incluir cuidadores, fisioterapeutas ou lanche como alimentação assistencial. Referências religiosas apenas por escolha dos participantes (vedação a proselitismo).</t>
  </si>
  <si>
    <t xml:space="preserve">• Confirmar a Educare como proponente (CNPJ, CNAE cultural compatível, portfólio – obrigatório acima de R$ 200 mil).
• Anuência das 6 instituições (centros de convivência/ILPIs) com calendário de 24 semanas.
• Ficha técnica nominal (direção, regente, arte-educador de dança, formador) e projeto pedagógico formal.
• Datas civis e decisão sobre fonte complementar (IFC) sem dupla captação.
• Captação a 10% e custos vinculados conforme planilha (o documento previa 6% de captação e nenhuma rubrica de administração).</t>
  </si>
  <si>
    <t xml:space="preserve">• Usar no resumo "protagonismo artístico de pessoas idosas" e manter "Arte e Envelhecimento Ativo" só como título.
• Declarar ampliação de acesso pelo art. 42 VII (ILPIs) e II (transporte).
• Incluir ação intergeracional (ensaio aberto com escola pública ou familiares) para responder à pergunta 5.
• Termos de imagem com alternativa de participação sem filmagem e autorização de representantes legais em ILPIs.
• Plano de readequação para 4 instituições já documentado – útil para a versão mínima.</t>
  </si>
  <si>
    <t xml:space="preserve">R$ 50.000: Reduzir para 2 instituições em BH (≈40 pessoas), 48 oficinas (24 coral + 24 dança), 1 turma de multiplicadores de 4 encontros, 2 apresentações locais (sem mostra central, ônibus e iluminação), 1 vídeo-síntese editado a partir de registro único; coordenação e produção acumuladas; Libras nas 2 apresentações e material ampliado; captação ≤ 10%.</t>
  </si>
  <si>
    <t xml:space="preserve">[REFORMULAÇÃO – referência] Laboratório de formação audiovisual para 80 adolescentes (4 turmas de 20, 80 h cada) de Juatuba e Santa Luzia
Secundários:
– [REFORMULAÇÃO] Websérie documental 'Acelera Minas' (5 episódios de 8 a 10 min) feita com os alunos (Audiovisual / Produção de websérie)
– [REFORMULAÇÃO] Mostra gratuita da websérie (4 sessões em escolas/praças) (Audiovisual / Difusão de acervo e conteúdo AV em diversos meios/suportes)</t>
  </si>
  <si>
    <t xml:space="preserve">Audiovisual / Ações de capacitação e treinamento de pessoal</t>
  </si>
  <si>
    <t xml:space="preserve">CONCLUSÃO: o objeto é essencialmente esportivo e NÃO é enquadrável na Lei Rouanet como está. (1) Formação de pilotos de kart não corresponde a nenhuma área/segmento do Anexo IV da IN 29. (2) Pelo art. 18 da IN, em projetos esportivos só se aprovam custos artístico-culturais. O kart não é manifestação de tradição, memória ou patrimônio imaterial, e nenhum item do orçamento é cultural, então a glosa seria praticamente total. (3) A planilha do projeto esportivo original NÃO é aceitável na Rouanet. MECANISMO ADEQUADO: Lei de Incentivo ao Esporte federal (Lei 11.438/2006; o documento já segue o formato da LIE e cita a Portaria ME nº 10/2026), ou a Lei Estadual de Incentivo ao Esporte de MG (Lei 20.824/2013, Decreto 48.753/2023). Lá o projeto precisa ser redimensionado (R$ 2,43 mi contra R$ 450 mil planejados) e apresentado por uma OSC com finalidade esportiva. CAMINHO CULTURAL: não há um que seja crível e preserve o objeto. A única saída Art. 18 é trocar o objeto por formação audiovisual (Audiovisual – 'Ações de capacitação e treinamento de pessoal'), com uma websérie documental sobre jovens e o kart. Isso é outro projeto. Ele depende da escola de kart existir com outra fonte (senão não há o que documentar). A justificativa cultural é fraca (o kart não tem referência cultural própria). E ele se sobrepõe à reformulação recomendada para o P20 (formação audiovisual de jovens em Juatuba tendo o esporte como tema), com risco de fracionamento. Por isso o enquadramento da reformulação foi marcado como 'Risco', e a recomendação é NÃO submeter o P19 à Rouanet. Se o cliente quiser um projeto cultural nesse território, concentrar no P20. A planilha SALIC anexa serve só como referência do mínimo que uma reformulação exigiria, com valor alvo igual ao da planilha do cliente (R$ 450 mil).</t>
  </si>
  <si>
    <t xml:space="preserve">• NÃO SUBMETER À ROUANET: o objeto (escola de kart) é esportivo, sem segmento no Anexo IV, e o orçamento seria integralmente glosado (IN art. 18). A planilha esportiva original não é aceitável.
• Encaminhar para a Lei de Incentivo ao Esporte (Lei 11.438/2006) ou para a Lei Estadual de Incentivo ao Esporte de MG (Lei 20.824/2013), com uma OSC esportiva como proponente.
• Valor incompatível: o documento pede R$ 2.434.400, a planilha do cliente prevê R$ 450 mil. Redimensionar em qualquer mecanismo.
• Proponente indefinido ('[Nome da OSC]' x Rafael Tose). Se Rafael Tose for PF, só cabe um entre P19 e P21 na Rouanet (carteira de R$ 500 mil). Priorizar o P21 (cinema), que é cultural.
• A planilha SALIC anexa é uma PROPOSTA DE REFORMULAÇÃO DE OBJETO (formação audiovisual + websérie), não uma adaptação do projeto de kart. Se adotada, exige documento novo, roteiro/argumento da websérie (Anexo II, audiovisual), depósito legal na Cinemateca e diferenciação clara do P20.</t>
  </si>
  <si>
    <t xml:space="preserve">• Retirar o P19 do lote Rouanet de 31/10/2026 e tratá-lo no calendário da LIE ou da lei estadual do esporte.
• Para a LIE: separar 'elaboração' de 'captação', cotar a pista (locação contra frota própria) e rever a aquisição de 10 karts (R$ 280 mil) à luz das regras de bens do mecanismo esportivo.
• Se o cliente insistir numa vertente cultural, fazer UM projeto audiovisual para Juatuba (P20 reformulado) em vez de dois (risco de fracionamento).
• Em qualquer versão, não colocar logomarca de patrocinador em uniformes ou karts pagos com recurso incentivado sem checar as regras de marca do mecanismo.</t>
  </si>
  <si>
    <t xml:space="preserve">R$ 90.000: (Referência da reformulação.) 1 turma de 20 adolescentes em Juatuba, 80 h, com 1 arte-educador. Websérie reduzida a 1 curta documental de 10 a 15 min feito pelos alunos (direção e edição no piso). 1 sessão de mostra com Libras e AD. 1 kit audiovisual. Coordenação em dedicação parcial (4 a 5 meses). Saem Santa Luzia, os ônibus, os notebooks (usar o laboratório da escola parceira) e os módulos com convidados. A recomendação de não submeter o P19 à Rouanet continua valendo.</t>
  </si>
  <si>
    <t xml:space="preserve">[REFORMULAÇÃO] Escola de Audiovisual e Narração do Futebol: 6 turmas de 20 jovens (audiovisual/fotografia e narração/podcast), 60 h cada
Secundários:
– [REFORMULAÇÃO] Oficinas de percussão/batucada de arquibancada (2 turmas de 20, 60 h) (Música / Empreend Ações Educ-Cult/Capacitação/Treinamento)
– [REFORMULAÇÃO] Oficinas de arte urbana/grafite com 2 murais coletivos nos campos (2 turmas de 20, 60 h) (Artes Visuais / Empreend Ações Educ-Cult/Capacitação/Treinamento)
– [REFORMULAÇÃO] Festival Jovens do Fut: mostra dos curtas e podcasts, exposição fotográfica 'Olhares do Fut', apresentação da bateria (não cadastrar como 'Festival' no SALIC; tratar como culminância do produto principal) (Audiovisual / Difusão de acervo e conteúdo AV em diversos meios/suportes)</t>
  </si>
  <si>
    <t xml:space="preserve">CONCLUSÃO: o objeto atual (escola de futebol) é essencialmente esportivo e NÃO é enquadrável na Lei Rouanet como está. Não há segmento no Anexo IV, e o art. 18 da IN 29 só permite custos artístico-culturais em projetos esportivos. Professores de educação física, chuteiras, uniformes, lanche dos treinos, arbitragem, ambulância e assistente social seriam integralmente glosados. A planilha do projeto esportivo original NÃO é aceitável na Rouanet. MECANISMO ADEQUADO para a escola de futebol: Lei de Incentivo ao Esporte federal (Lei 11.438/2006; o documento já está no formato LIE e cita a Portaria ME nº 10/2026) ou Lei Estadual de Incentivo ao Esporte de MG (Lei 20.824/2013), redimensionada (R$ 1,13 mi contra R$ 500 mil). CAMINHO CULTURAL CRÍVEL: diferente do P19, existe. O futebol é fenômeno cultural, de linguagem (narração, crônica, imagem), música (cantos e batucadas de arquibancada) e memória local. Por isso cabe um PROJETO DE OBJETO REFORMULADO: formação cultural de jovens de Juatuba nas linguagens do futebol. O produto principal (ação de maior custo, R$ 86,4 mil diretos contra R$ 48,2 mil de arte urbana e R$ 27,3 mil de percussão) fica em Audiovisual – 'Ações de capacitação e treinamento de pessoal' (Art. 18). Secundários: Música e Artes Visuais – ações educativo-culturais (Art. 18). Como redigir: o futebol é tema e contexto, nunca prática. Sem treinos, jogos, campeonato ou metas físicas. A Copa Juatuba de Base, se acontecer, vai por outra fonte (LIE), e os alunos de narração e fotografia podem cobri-la como exercício sem custo para a Rouanet. Não cadastrar 'Festival' como produto. Evitar música popular cantada como item principal. É uma PROPOSTA DE REFORMULAÇÃO DO OBJETO: o documento técnico atual não serve e precisa ser reescrito. O proponente também precisa ser definido (CNAE cultural e portfólio, já que o valor passa de R$ 200 mil). Só uma entre P19 e P20 deve seguir nessa linha, por risco de fracionamento.</t>
  </si>
  <si>
    <t xml:space="preserve">• O documento atual (escola de futebol, formato LIE) NÃO pode ser submetido à Rouanet. A planilha esportiva original (R$ 1,13 mi) não é aceitável (IN art. 18; sem segmento no Anexo IV).
• A planilha SALIC anexa é uma PROPOSTA DE REFORMULAÇÃO DE OBJETO (formação cultural nas linguagens do futebol). Exige escrever um projeto novo (objetivos, justificativa cultural, projeto pedagógico com carga horária e conteúdo, ficha técnica de arte-educadores) antes de 31/10/2026.
• Proponente 'a definir': escolher PJ com CNAE cultural compatível com Audiovisual e portfólio cultural (R$ 500 mil &gt; R$ 200 mil), ou PF com carteira livre. Sem isso não há submissão.
• Escolas, CRAS e prefeitura de Juatuba: anuência para salas e para as superfícies dos murais.
• Fracionamento com P19 (mesmo território, mesmo modelo): não submeter as duas reformulações. Levar a escola de futebol (e a de kart) para a LIE ou para a lei estadual do esporte.</t>
  </si>
  <si>
    <t xml:space="preserve">• Retitular, ex.: 'Jovens do Fut – Cultura do Futebol em Juatuba', e reescrever o objeto como formação cultural.
• Manter os indicadores sociais do original (50% rede pública, 2 turmas femininas → paridade de gênero nas oficinas, 5% PcD), que fortalecem a democratização.
• Selecionar arte-educadores por chamada pública e incluir narradores e fotógrafos esportivos mineiros como convidados.
• Planejar a escola de futebol (LIE) e o projeto cultural (Rouanet) como projetos independentes, com despesas e metas separadas e com cada um declarando o outro como fonte.
• Publicar os curtas e podcasts com Libras, legenda e AD (ampliação de acesso, art. 42).</t>
  </si>
  <si>
    <t xml:space="preserve">R$ 90.000: (Reformulação.) Só o produto principal: 2 turmas de audiovisual/fotografia + 1 de narração/podcast (60 jovens, 60 h), com 2 kits audiovisuais e 1 de áudio. Mostra e exposição de encerramento em 1 dia, em espaço cedido, com Libras e AD. Saem a percussão, a arte urbana e os murais, o grupo convidado e a estrutura de tendas, banheiros e segurança. Notebooks só do laboratório da escola parceira. Coordenação em dedicação parcial (5 meses). Continua Art. 18 (Audiovisual – capacitação).</t>
  </si>
  <si>
    <t xml:space="preserve">Mostra itinerante de cinema brasileiro – 36 blocos de exibição gratuitos em 6 municípios
Secundários:
– 6 rodas de conversa mediadas (Audiovisual / Difusão de acervo e conteúdo AV (ação de formação de público vinculada))
– Catálogo digital acessível da mostra (Audiovisual / Difusão de acervo e conteúdo AV (não cadastrar como publicação de Humanidades))</t>
  </si>
  <si>
    <t xml:space="preserve">Audiovisual / Difusão de acervo e conteúdo audiovisual em diversos meios e suportes</t>
  </si>
  <si>
    <t xml:space="preserve">Enquadramento Art. 18 correto e seguro: a exibição gratuita de obras brasileiras é "Difusão de acervo e conteúdo audiovisual", segmento do Anexo IV no Art. 18, e é de longe a ação de maior custo (~R$ 238 mil de R$ 334 mil). Respeitar art. 28 (direitos de exibição ≤ 20%: aqui 9,6%) e art. 31 IV (evento AV 1ª edição ≤ R$ 600 mil). O eixo "Saúde" é tema curatorial das rodas – deve permanecer assim: nenhuma despesa de saúde, nenhuma ação de testagem/vacinação/orientação clínica, convidados de saúde pagos como palestrantes de debate sobre o filme (≤ R$ 5 mil). Na redação, trocar "reflexão comunitária sobre assuntos de saúde" por "debate sobre temas sociais presentes nas obras (cuidado, convivência, envelhecimento, saúde coletiva)"; avaliar título com o cinema em primeiro plano (ex.: "Caravana de Cinema Brasileiro – Cultura &amp; Saúde"), para não sugerir serviço de saúde itinerante. O ponto crítico não é o enquadramento, e sim o proponente: carteira de Rafael Tose (P19 + P21) e portfólio cultural.</t>
  </si>
  <si>
    <t xml:space="preserve">• Natureza jurídica do proponente e carteira: Rafael Tose aparece em P19 (kart, R$ 450 mil) e P21 (R$ 450 mil); como PF só cabe um projeto de R$ 450 mil (teto R$ 500 mil). Decidir qual vai à Rouanet ou usar PJ com CNAE audiovisual.
• Portfólio cultural/audiovisual comprovável (obrigatório acima de R$ 200 mil); sem ele, trocar o proponente (ex.: produtora AV parceira) ou reduzir a ≤ R$ 200 mil se for 1º projeto.
• Seleção dos 6 municípios e espaços (principais + alternativos cobertos) com anuência das prefeituras.
• Lista indicativa de filmes com licenças, classificação e versões acessíveis (AD/LSE).
• Ficha técnica nominal e confirmação de que não haverá serviços de saúde no projeto.</t>
  </si>
  <si>
    <t xml:space="preserve">• Se Rafael Tose for PF, priorizar P21 na Rouanet (Art. 18 seguro) e levar P19 (esporte, alto risco pela IN art. 18) para outro mecanismo/proponente.
• Pedir às prefeituras contrapartidas formais (energia, banheiros, segurança, espaço coberto) para reduzir custos de estrutura.
• Dividir estrutura técnica entre ≥ 2 fornecedores e cotar 3 orçamentos por item de maior valor.
• Executar na estação seca e manter as 2 semanas de contingência.
• Selecionar títulos com AD/LSE já existentes (obras com recursos públicos federais costumam tê-los).
• Incluir P21 na aba Projetos da planilha do cliente com valor mínimo definido.</t>
  </si>
  <si>
    <t xml:space="preserve">R$ 90.000: Mínimo não consta da planilha do cliente; sugere-se R$ 90 mil (20%, padrão do portfólio): 2 municípios × 2 dias (12 blocos), 2 rodas de conversa, licenças de ~4 longas e 8 curtas, estrutura locada de um pacote compacto (tela inflável + som), sem gerador/hospedagem (municípios da RMBH com energia), equipe central reduzida (coordenação acumulando produção), Libras nas rodas e AD por receptores; catálogo digital simplificado.</t>
  </si>
  <si>
    <t xml:space="preserve">Formulário de proposta no SALIC 2026 – campos e onde cada conteúdo entra</t>
  </si>
  <si>
    <t xml:space="preserve">Fonte: Manual do Proponente – apresentação de proposta e adequação (IN 2026), SEFIC/MinC, fev/2026: https://www.gov.br/cultura/pt-br/centrais-de-conteudo/marcas-e-logotipos/marcas-rouanet/ManualdoProponenteIN2026DEFINITIVO2.pdf</t>
  </si>
  <si>
    <t xml:space="preserve">Seção do SALIC</t>
  </si>
  <si>
    <t xml:space="preserve">O que o manual pede</t>
  </si>
  <si>
    <t xml:space="preserve">Código na revisão</t>
  </si>
  <si>
    <t xml:space="preserve">Nome da proposta</t>
  </si>
  <si>
    <t xml:space="preserve">Curto; em data comemorativa citar evento e ano (ex.: 'Festa Junina 2027'). Sem 'título provisório'.</t>
  </si>
  <si>
    <t xml:space="preserve">Tipicidade / Tipologia</t>
  </si>
  <si>
    <t xml:space="preserve">Define produtos e teto (Normal R$1,5 mi; Arte Urbana; Cultura Afro-brasileira; Povos e Comunidades Tradicionais; Específicos R$6 mi; Especiais: festa/festival R$15 mi; Patrimônio sem teto).</t>
  </si>
  <si>
    <t xml:space="preserve">Data fixa (Sim/Não)</t>
  </si>
  <si>
    <t xml:space="preserve">Sim para Natal, Festa Junina, Carnaval – proposta com data fixa NÃO pode ser prorrogada.</t>
  </si>
  <si>
    <t xml:space="preserve">Agência do Banco do Brasil</t>
  </si>
  <si>
    <t xml:space="preserve">5 dígitos; conferir se a agência existe.</t>
  </si>
  <si>
    <t xml:space="preserve">Plano de execução imediata</t>
  </si>
  <si>
    <t xml:space="preserve">Normal (captar 10%), edital homologado, ou contrato de patrocínio ≥20% sem condicionantes (vai direto à adequação).</t>
  </si>
  <si>
    <t xml:space="preserve">Período de realização (início/fim) e prorrogação automática</t>
  </si>
  <si>
    <t xml:space="preserve">Cobre captação + execução, até 36 meses.</t>
  </si>
  <si>
    <t xml:space="preserve">Máx. 5 linhas; todos os produtos; sem adjetivos, números, locais, datas ou artistas. Publicado no DOU.</t>
  </si>
  <si>
    <t xml:space="preserve">Objetivos (geral e específicos)</t>
  </si>
  <si>
    <t xml:space="preserve">Específicos = cada produto do Plano de Distribuição com quantidade (ex.: 'CURSO/OFICINA: 80 aulas de 50h/a'). Mal preenchido = proposta não analisada.</t>
  </si>
  <si>
    <t xml:space="preserve">Justificativa (8.000 caracteres)</t>
  </si>
  <si>
    <t xml:space="preserve">Transcrever os incisos do art. 1º e a alínea do art. 3º da Lei 8.313/91 aplicáveis, com fundamentação.</t>
  </si>
  <si>
    <t xml:space="preserve">Responsabilidade social</t>
  </si>
  <si>
    <t xml:space="preserve">Acessibilidade (8.000)</t>
  </si>
  <si>
    <t xml:space="preserve">Por produto: arquitetônica (dispensada se o espaço não é do proponente), comunicacional/conteúdo e divulgação acessível; Guia MDHC.</t>
  </si>
  <si>
    <t xml:space="preserve">Democratização de acesso (8.000)</t>
  </si>
  <si>
    <t xml:space="preserve">Distribuição/gratuidade e QUAL medida de ampliação do art. 42 (incisos I–X) será adotada.</t>
  </si>
  <si>
    <t xml:space="preserve">A7/A8</t>
  </si>
  <si>
    <t xml:space="preserve">Detalhes técnicos</t>
  </si>
  <si>
    <t xml:space="preserve">Etapas de trabalho (8.000)</t>
  </si>
  <si>
    <t xml:space="preserve">Pré, produção e pós (pós ≤ 60 dias); prazos em dias/meses, sem datas.</t>
  </si>
  <si>
    <t xml:space="preserve">Ficha técnica (8.000)</t>
  </si>
  <si>
    <t xml:space="preserve">Função do proponente/dirigente (gestão decisória – evitar intermediação) + nomes, funções e currículos.</t>
  </si>
  <si>
    <t xml:space="preserve">Sinopse da obra (8.000)</t>
  </si>
  <si>
    <t xml:space="preserve">Enredo/conteúdo, temas, classificação indicativa.</t>
  </si>
  <si>
    <t xml:space="preserve">Especificações técnicas do produto (8.000)</t>
  </si>
  <si>
    <t xml:space="preserve">Duração, materiais; MÚSICA: declarar 100% instrumental ou 100% regional (Súmula 32 CNIC) – define o enquadramento; CURSO/OFICINA: projeto pedagógico completo.</t>
  </si>
  <si>
    <t xml:space="preserve">Descrição da atividade do produto (8.000)</t>
  </si>
  <si>
    <t xml:space="preserve">Programação; contrapartida social (ações formativas) quando houver venda.</t>
  </si>
  <si>
    <t xml:space="preserve">A14/A8</t>
  </si>
  <si>
    <t xml:space="preserve">Outras informações</t>
  </si>
  <si>
    <t xml:space="preserve">Outras informações (8.000)</t>
  </si>
  <si>
    <t xml:space="preserve">Beneficiários de passagens e trechos; destinação de bens; respostas a diligências.</t>
  </si>
  <si>
    <t xml:space="preserve">País/UF/município + Deslocamento</t>
  </si>
  <si>
    <t xml:space="preserve">Cadastrar todas as cidades (trocar município apaga a planilha). Deslocamento obrigatório se houver passagens.</t>
  </si>
  <si>
    <t xml:space="preserve">Produtos (principal = maior custo), área, segmento, detalhamento por município</t>
  </si>
  <si>
    <t xml:space="preserve">Quantidades, gratuidade, preços (art. 41), receita prevista ≤ valor total.</t>
  </si>
  <si>
    <t xml:space="preserve">Orçamento</t>
  </si>
  <si>
    <t xml:space="preserve">Custos vinculados (percentuais) + Custos por produtos (itens)</t>
  </si>
  <si>
    <t xml:space="preserve">Itens só nas 5 etapas; vinculados e captação apenas em %. Justificar itens acima da 'modal' (laranja).</t>
  </si>
  <si>
    <t xml:space="preserve">A18/A19</t>
  </si>
  <si>
    <t xml:space="preserve">Anexar documentos</t>
  </si>
  <si>
    <t xml:space="preserve">PDFs do Anexo II</t>
  </si>
  <si>
    <t xml:space="preserve">Portfólio, identidade, CNPJ/estatuto/ata, currículos, projeto pedagógico, anuências, documentos de patrimônio.</t>
  </si>
  <si>
    <t xml:space="preserve">Referências de preço (MG/Sudeste 2025-2026) usadas no alerta de preço das planilhas</t>
  </si>
  <si>
    <t xml:space="preserve">Fontes: atas e licitações de municípios de MG no PNCP, SindMusi-MG 2025, FEBRAPILS, Portaria SMC-SP 34/2023, tabela LPG Nova Friburgo, TRT5, Fiocruz. O SALIC compara cada item com a 'modal' do sistema; confira no SalicNet (aplicacoes.cultura.gov.br/comparar) antes de enviar.</t>
  </si>
  <si>
    <t xml:space="preserve">item</t>
  </si>
  <si>
    <t xml:space="preserve">unidade</t>
  </si>
  <si>
    <t xml:space="preserve">valor_minimo</t>
  </si>
  <si>
    <t xml:space="preserve">valor_tipico</t>
  </si>
  <si>
    <t xml:space="preserve">valor_maximo</t>
  </si>
  <si>
    <t xml:space="preserve">fonte</t>
  </si>
  <si>
    <t xml:space="preserve">observacao</t>
  </si>
  <si>
    <t xml:space="preserve">Coordenador geral / produtor executivo</t>
  </si>
  <si>
    <t xml:space="preserve">mês</t>
  </si>
  <si>
    <t xml:space="preserve">Tabela Referencial Nova Friburgo-RJ (LPG): https://s3.amazonaws.com/el.com.br/portal/uploads/6993/arquivos/C8332364EDB126E5116E3749DEA2C59B.pdf</t>
  </si>
  <si>
    <t xml:space="preserve">TIPO: edital público (RJ/Sudeste) + estimativa. Tabela: Coordenação geral R$ 3.500 (Nova Friburgo) a R$ 7.335 (média RJ). Produtor executivo R$ 3.333 a 4.000. Diária sugerida R$ 367-542. Ano da tabela não informado (ciclo LPG 2023-24). Corrigir para 2026. Sem dado de projeto Rouanet aprovado.</t>
  </si>
  <si>
    <t xml:space="preserve">Coordenador pedagógico</t>
  </si>
  <si>
    <t xml:space="preserve">Estimativa. Referência indireta: Nova Friburgo Coordenação de programação R$ 3.075-4.250 (mesma URL acima)</t>
  </si>
  <si>
    <t xml:space="preserve">TIPO: estimativa. Não achei tabela específica. Justificar com carga horária e projeto pedagógico.</t>
  </si>
  <si>
    <t xml:space="preserve">Diretor artístico</t>
  </si>
  <si>
    <t xml:space="preserve">Nova Friburgo (URL acima): Diretor artístico R$ 2.300-6.500 e Direção artística R$ 5.000-7.000. Itajubá-MG 2026 Diretor artístico R$ 1.415/diária 8h (estimado): https://pncp.gov.br/app/editais/21512443000131/2026/41</t>
  </si>
  <si>
    <t xml:space="preserve">TIPO: edital público + licitação MG (valor estimado). Se for por apresentação usar unidade Cachê.</t>
  </si>
  <si>
    <t xml:space="preserve">Assistente de produção</t>
  </si>
  <si>
    <t xml:space="preserve">Nova Friburgo (URL acima): R$ 1.500-2.000 (diária R$ 175)</t>
  </si>
  <si>
    <t xml:space="preserve">TIPO: edital público + estimativa (ajustado para 2026 e MG). A tabela de Mogi Mirim-SP (R$ 150/h) foi vista só em resultado de busca e o PDF não baixou.</t>
  </si>
  <si>
    <t xml:space="preserve">Produtor local</t>
  </si>
  <si>
    <t xml:space="preserve">diária</t>
  </si>
  <si>
    <t xml:space="preserve">Nova Friburgo (URL acima) produtor local diária R$ 196. Itajubá-MG 2026 produtor de backstage R$ 519/diária e coordenador técnico R$ 873/diária (estimados): https://pncp.gov.br/app/editais/21512443000131/2026/41</t>
  </si>
  <si>
    <t xml:space="preserve">TIPO: edital público + licitação MG (estimado). Valores de licitação de agência de eventos tendem a ser altos.</t>
  </si>
  <si>
    <t xml:space="preserve">Oficineiro / arte-educador</t>
  </si>
  <si>
    <t xml:space="preserve">hora-aula</t>
  </si>
  <si>
    <t xml:space="preserve">Portaria SMC-SP nº 34/2023 (cursos teóricos R$ 175/hora-aula): https://legislacao.prefeitura.sp.gov.br/portaria-secretaria-municipal-de-cultura-smc-34-de-12-de-maio-de-2023/consolidado . SindMusi-MG 2025 aula particular R$ 150/h: https://sindmusimg.org.br/content/files/2025/01/TABELA-SINDIMUSI-2025.pdf</t>
  </si>
  <si>
    <t xml:space="preserve">TIPO: tabela pública municipal SP (2023) + sindicato MG. Valor mínimo é estimativa para o interior de MG. No SALIC lançar como Serviço (qtde de horas na ocorrência) ou Mês.</t>
  </si>
  <si>
    <t xml:space="preserve">Mestre de cultura popular</t>
  </si>
  <si>
    <t xml:space="preserve">cachê por oficina ou apresentação</t>
  </si>
  <si>
    <t xml:space="preserve">Estimativa. Referências: SMC-SP 34/2023 (1 integrante música R$ 3.500, cênicas R$ 4.500 por apresentação de 60 min). Teto IN 29/2026 art. 26 I = R$ 25.000</t>
  </si>
  <si>
    <t xml:space="preserve">TIPO: estimativa. Mestres têm o mesmo teto de artista individual (R$ 25 mil).</t>
  </si>
  <si>
    <t xml:space="preserve">Cachê de artista individual (solo)</t>
  </si>
  <si>
    <t xml:space="preserve">cachê por apresentação</t>
  </si>
  <si>
    <t xml:space="preserve">SMC-SP 34/2023 (URL acima): música 1 integrante R$ 3.500, artes cênicas R$ 4.500, literatura R$ 3.000, contação de histórias R$ 1.250 (60 min). Teto: IN MinC 29/2026 art. 26 I https://www.gov.br/cultura/pt-br/acesso-a-informacao/legislacao-e-normativas/instrucao-normativa-minc-no-29-de-29-de-janeiro-de-2026</t>
  </si>
  <si>
    <t xml:space="preserve">TIPO: tabela pública municipal SP (2023). O máximo é o TETO legal, não preço de mercado.</t>
  </si>
  <si>
    <t xml:space="preserve">Cachê de grupo artístico</t>
  </si>
  <si>
    <t xml:space="preserve">SMC-SP 34/2023: 2-3 integrantes R$ 5.000-5.500, 4-5 integrantes R$ 6.500-7.100, 6 ou mais R$ 7.400-8.000. Teto IN 29 art. 26 II = R$ 50.000</t>
  </si>
  <si>
    <t xml:space="preserve">TIPO: tabela pública municipal SP (2023). O máximo é o TETO legal. Orquestras seguem regra própria (por músico).</t>
  </si>
  <si>
    <t xml:space="preserve">Músico (por apresentação)</t>
  </si>
  <si>
    <t xml:space="preserve">cachê</t>
  </si>
  <si>
    <t xml:space="preserve">SindMusi-MG Tabela 2025 (valores mínimos): acompanhamento de artista nacional R$ 800/show, bar 3h R$ 500, baile R$ 600, instrumentista de concerto R$ 600, artista estrangeiro R$ 1.500. Ensaio 3h R$ 250. https://sindmusimg.org.br/content/files/2025/01/TABELA-SINDIMUSI-2025.pdf</t>
  </si>
  <si>
    <t xml:space="preserve">TIPO: tabela de sindicato MG 2025. Teto IN 29 art. 26 III = R$ 5.000 por músico de orquestra. Diária de viagem do músico (SindMusi): R$ 200 até 300 km, R$ 300 acima.</t>
  </si>
  <si>
    <t xml:space="preserve">Regente / maestro</t>
  </si>
  <si>
    <t xml:space="preserve">cachê por espetáculo</t>
  </si>
  <si>
    <t xml:space="preserve">SindMusi-MG 2025: regente R$ 4.500/espetáculo, regente assistente R$ 3.200, ensaio 2h R$ 200 (URL acima). Teto IN 29 art. 26 III = R$ 25.000</t>
  </si>
  <si>
    <t xml:space="preserve">TIPO: tabela de sindicato MG 2025. O máximo é o TETO legal.</t>
  </si>
  <si>
    <t xml:space="preserve">Palhaço / ator (intervenção artística)</t>
  </si>
  <si>
    <t xml:space="preserve">cachê por intervenção</t>
  </si>
  <si>
    <t xml:space="preserve">Estimativa. Referências: Nova Friburgo ator/atriz diária R$ 558 (obra R$ 3.000-8.152). SMC-SP cênicas 1 integrante R$ 4.500/60 min</t>
  </si>
  <si>
    <t xml:space="preserve">TIPO: estimativa. Não achei tabela SATED-MG publicada. Para intervenção curta (até 30 min) usar proporção.</t>
  </si>
  <si>
    <t xml:space="preserve">Muralista / grafiteiro</t>
  </si>
  <si>
    <t xml:space="preserve">m²</t>
  </si>
  <si>
    <t xml:space="preserve">SMC-SP 34/2023: graffiti até 2 m de altura R$ 155/m², em altura (NR-35) R$ 370/m², máximo de 100 m² remunerados. Mogi Mirim-SP R$ 200/m² (visto só em resultado de busca)</t>
  </si>
  <si>
    <t xml:space="preserve">TIPO: tabela pública municipal SP (2023). Valor do serviço artístico, sem material.</t>
  </si>
  <si>
    <t xml:space="preserve">Muralista (cachê por obra de até 50 m²)</t>
  </si>
  <si>
    <t xml:space="preserve">cachê / serviço</t>
  </si>
  <si>
    <t xml:space="preserve">Calculado a partir de SMC-SP 34/2023 (50 m² × R$ 155 a 370)</t>
  </si>
  <si>
    <t xml:space="preserve">TIPO: estimativa derivada de tabela pública.</t>
  </si>
  <si>
    <t xml:space="preserve">Tinta e material de pintura mural</t>
  </si>
  <si>
    <t xml:space="preserve">Estimativa de mercado (acrílica externa, primer, spray, rolos e EPI)</t>
  </si>
  <si>
    <t xml:space="preserve">TIPO: estimativa sem fonte direta. Andaime ou plataforma é item à parte (locação por diária).</t>
  </si>
  <si>
    <t xml:space="preserve">Locação de som pequeno porte (palestra/acústico, mesa 12-24 canais, 4 caixas ativas, com operador)</t>
  </si>
  <si>
    <t xml:space="preserve">Divinópolis-MG PE 142/2025: estimado R$ 3.000, homologado R$ 1.950 https://pncp.gov.br/app/editais/18291351000164/2025/271 . Entre Rios de Minas-MG 2026: estimado R$ 3.510, homologado R$ 1.290 https://pncp.gov.br/app/editais/20356747000194/2026/45 . TRT5-BA ARP 07/2025 R$ 1.100</t>
  </si>
  <si>
    <t xml:space="preserve">TIPO: licitação pública MG 2025-26 (homologado). Montagem e operador geralmente inclusos.</t>
  </si>
  <si>
    <t xml:space="preserve">Locação de som médio porte (line array + luz básica, 24h)</t>
  </si>
  <si>
    <t xml:space="preserve">Divinópolis-MG 2025 lote 2 (mesa 32 canais, 4 line array, 4 sub, 6 moving): estimado R$ 8.000, homologado R$ 4.600 (URL Divinópolis acima). Barra Longa-MG 2026 sistema de sonorização R$ 2.706 (estimado) https://pncp.gov.br/app/editais/18316182000170/2026/66</t>
  </si>
  <si>
    <t xml:space="preserve">TIPO: licitação pública MG (homologado e estimado).</t>
  </si>
  <si>
    <t xml:space="preserve">Locação de iluminação cênica pequeno porte</t>
  </si>
  <si>
    <t xml:space="preserve">TRT5-BA ARP 07/2025 iluminação de palco pequeno porte R$ 3.000. Divinópolis inclui luz no lote som+luz (acima)</t>
  </si>
  <si>
    <t xml:space="preserve">TIPO: licitação pública (BA) + estimativa para MG. Itajubá-MG 2026 estimou R$ 20 mil (fora da curva, não usado).</t>
  </si>
  <si>
    <t xml:space="preserve">Palco 6x4 m (box truss, com cobertura)</t>
  </si>
  <si>
    <t xml:space="preserve">TRT5-BA ARP 07/2025 palco 6x4 box truss com cobertura R$ 2.500/diária https://www.trt5.jus.br/sites/default/files/sistema/documentos/licitacoes/2025-09/125_documento_ata_de_registro_de_precos-1.pdf . Barra Longa-MG 2026 palco 6x4 Q30 R$ 6.867 (estimado)</t>
  </si>
  <si>
    <t xml:space="preserve">TIPO: licitação pública (BA homologada, MG estimada). Montagem e desmontagem incluídas.</t>
  </si>
  <si>
    <t xml:space="preserve">Palco 8x6 m (box truss, com cobertura)</t>
  </si>
  <si>
    <t xml:space="preserve">Barra Longa-MG 2026 palco 8x6 Q30 R$ 9.233 (estimado) (URL acima). Itajubá-MG 2026 palco duas águas R$ 100/m²/dia = R$ 4.800 para 48 m² (estimado) https://pncp.gov.br/app/editais/21512443000131/2026/41</t>
  </si>
  <si>
    <t xml:space="preserve">TIPO: licitação pública MG (estimado). Divinópolis 2025 palco 10x8 com som e luz grande, homologado R$ 17.000.</t>
  </si>
  <si>
    <t xml:space="preserve">Tenda 10x10 m (piramidal)</t>
  </si>
  <si>
    <t xml:space="preserve">Divinópolis-MG 2025 (24h): estimado R$ 1.200, homologado R$ 1.050 (48h: R$ 1.800). Entre Rios de Minas-MG 2026: homologado R$ 849. TRT5-BA R$ 1.700. Itajubá-MG R$ 2.505 (estimado)</t>
  </si>
  <si>
    <t xml:space="preserve">TIPO: licitação pública MG (homologado). Barra Longa estimou R$ 5.213 (fora da curva, não usado).</t>
  </si>
  <si>
    <t xml:space="preserve">Gerador (100-260 kVA silenciado)</t>
  </si>
  <si>
    <t xml:space="preserve">Divinópolis-MG 2025 260 kVA 24h: estimado R$ 8.000, homologado R$ 4.480. Itajubá-MG 2026 100 kVA R$ 3.853 (estimado). TRT5-BA 100 kVA R$ 2.500</t>
  </si>
  <si>
    <t xml:space="preserve">TIPO: licitação pública MG (homologado). Diesel normalmente incluso, conferir.</t>
  </si>
  <si>
    <t xml:space="preserve">Banheiro químico (standard / PCD)</t>
  </si>
  <si>
    <t xml:space="preserve">unidade por diária</t>
  </si>
  <si>
    <t xml:space="preserve">Barra Longa-MG 2026: standard R$ 277, PCD com lavatório R$ 483-552 (estimados). Alvarenga-MG 2026: 12 unidades R$ 6.633/diária (≈ R$ 553 cada, estimado) https://pncp.gov.br/app/editais/19770288000101/2026/65 . TRT5-BA R$ 160</t>
  </si>
  <si>
    <t xml:space="preserve">TIPO: licitação pública MG (estimado). Prever pelo menos 1 PCD a cada 20 (NBR 9050). Itajubá estimou R$ 882 (alto).</t>
  </si>
  <si>
    <t xml:space="preserve">Segurança desarmado (8-12h)</t>
  </si>
  <si>
    <t xml:space="preserve">diária por profissional</t>
  </si>
  <si>
    <t xml:space="preserve">Entre Rios de Minas-MG 2026 homologado R$ 310. São Francisco-MG 2026 homologado R$ 290 https://pncp.gov.br/app/editais/22679153000140/2026/73 . Patos de Minas-MG 2026 (12h) homologado R$ 404-467 https://pncp.gov.br/app/editais/18602011000107/2026/175 . Coimbra-MG R$ 560 (estimado)</t>
  </si>
  <si>
    <t xml:space="preserve">TIPO: licitação pública MG 2026 (homologado).</t>
  </si>
  <si>
    <t xml:space="preserve">Brigadista / bombeiro civil</t>
  </si>
  <si>
    <t xml:space="preserve">diária por profissional (8h)</t>
  </si>
  <si>
    <t xml:space="preserve">Entre Rios de Minas-MG 2026 homologado R$ 224. São Francisco-MG homologado R$ 220. Mateus Leme-MG homologado R$ 180 https://pncp.gov.br/app/editais/23769490000190/2026/2 . Barra Longa R$ 305, Varginha R$ 408, Pedro Teixeira R$ 467 (estimados)</t>
  </si>
  <si>
    <t xml:space="preserve">TIPO: licitação pública MG 2026. Número de brigadistas conforme IT do CBMMG (público estimado).</t>
  </si>
  <si>
    <t xml:space="preserve">Van com motorista (15-20 lugares)</t>
  </si>
  <si>
    <t xml:space="preserve">diária (até 100 km)</t>
  </si>
  <si>
    <t xml:space="preserve">Itajubá-MG 2026 van 15 pax R$ 979 e 17 pax R$ 1.016 por dia/100 km, hora extra R$ 146, km extra R$ 6,32 (estimados) https://pncp.gov.br/app/editais/21512443000131/2026/41 . Por km: Paraopeba homologado R$ 7,28/km, Lima Duarte homologado R$ 14,88/km. TRT5-BA R$ 750</t>
  </si>
  <si>
    <t xml:space="preserve">TIPO: licitação pública MG 2026. Combustível e motorista inclusos.</t>
  </si>
  <si>
    <t xml:space="preserve">Ônibus executivo com motorista (35-46 lugares)</t>
  </si>
  <si>
    <t xml:space="preserve">Itajubá-MG 2026 ônibus executivo R$ 2.171 e micro-ônibus R$ 1.500 por dia/100 km (estimados). TRT5-BA ônibus R$ 2.300, micro R$ 1.100</t>
  </si>
  <si>
    <t xml:space="preserve">TIPO: licitação pública MG (estimado). Viagens longas costumam ser cotadas por km.</t>
  </si>
  <si>
    <t xml:space="preserve">Hospedagem (interior de MG, com café)</t>
  </si>
  <si>
    <t xml:space="preserve">diária por pessoa</t>
  </si>
  <si>
    <t xml:space="preserve">Raul Soares-MG 2026 individual R$ 133 https://pncp.gov.br/app/editais/18836965000184/2026/100 . Barra Longa single R$ 156 e casal R$ 243. Muriaé individual R$ 216 https://pncp.gov.br/app/editais/02994421000100/2026/59 . Tumiritinga homologado R$ 220 por quarto https://pncp.gov.br/app/editais/21078563000172/2026/154 . Leopoldina (licitação BH) R$ 178 por pessoa https://pncp.gov.br/app/editais/17220203000196/2026/137</t>
  </si>
  <si>
    <t xml:space="preserve">TIPO: licitação pública MG 2026. No SALIC: unidade Unidade, qtde = pessoas, ocorrência = diárias.</t>
  </si>
  <si>
    <t xml:space="preserve">Alimentação (refeição/marmitex)</t>
  </si>
  <si>
    <t xml:space="preserve">refeição</t>
  </si>
  <si>
    <t xml:space="preserve">Itajubá-MG 2026 homologado R$ 19,95 https://pncp.gov.br/app/editais/21040001000130/2026/169 . Senhora dos Remédios-MG homologado R$ 21,11 (marmitex) e R$ 21,16 (self-service). São Gotardo homologado R$ 25 https://pncp.gov.br/app/editais/18602037000155/2026/352 . Santo Antônio do Amparo prato feito com bebida R$ 30-40 (estimado)</t>
  </si>
  <si>
    <t xml:space="preserve">TIPO: licitação pública MG 2026. IN 29 art. 33 veda alimentação como gasto pessoal sem vínculo com o projeto.</t>
  </si>
  <si>
    <t xml:space="preserve">Diária de alimentação por pessoa (2 refeições + lanche)</t>
  </si>
  <si>
    <t xml:space="preserve">Derivado das refeições acima, mais lanche de R$ 13,70 (Itajubá homologado)</t>
  </si>
  <si>
    <t xml:space="preserve">TIPO: estimativa derivada de licitação. Justificar quem recebe (equipe em deslocamento).</t>
  </si>
  <si>
    <t xml:space="preserve">Passagem rodoviária intermunicipal (MG)</t>
  </si>
  <si>
    <t xml:space="preserve">trecho</t>
  </si>
  <si>
    <t xml:space="preserve">Estimativa de mercado (BH-interior de 100 a 600 km)</t>
  </si>
  <si>
    <t xml:space="preserve">TIPO: estimativa sem fonte direta. Cadastrar Deslocamento no SALIC e listar beneficiários em Outras informações.</t>
  </si>
  <si>
    <t xml:space="preserve">Frete de cenário/equipamentos (caminhão baú 6 t)</t>
  </si>
  <si>
    <t xml:space="preserve">Itajubá-MG 2026 caminhão baú 6 t R$ 1.481 e carroceria 12 t R$ 1.533 por dia/100 km (estimados) https://pncp.gov.br/app/editais/21512443000131/2026/41</t>
  </si>
  <si>
    <t xml:space="preserve">TIPO: licitação pública MG (estimado). Viagem longa: estimar R$ 6 a 10 por km rodado (ida e volta).</t>
  </si>
  <si>
    <t xml:space="preserve">Cenógrafo (criação/projeto)</t>
  </si>
  <si>
    <t xml:space="preserve">serviço</t>
  </si>
  <si>
    <t xml:space="preserve">Nova Friburgo (URL acima): cenógrafo R$ 1.759-2.550, diretor de arte R$ 1.565-4.000</t>
  </si>
  <si>
    <t xml:space="preserve">TIPO: edital público + estimativa.</t>
  </si>
  <si>
    <t xml:space="preserve">Cenografia (material e confecção)</t>
  </si>
  <si>
    <t xml:space="preserve">verba</t>
  </si>
  <si>
    <t xml:space="preserve">Estimativa (depende do projeto cenográfico)</t>
  </si>
  <si>
    <t xml:space="preserve">TIPO: estimativa. Unidade Verba só quando não for mensurável. Detalhar materiais na justificativa.</t>
  </si>
  <si>
    <t xml:space="preserve">Figurino (confecção por peça)</t>
  </si>
  <si>
    <t xml:space="preserve">Estimativa. Referência: Nova Friburgo figurinista R$ 3.500-7.000, desenvolvimento e produção de figurino R$ 2.500-7.000 (por obra)</t>
  </si>
  <si>
    <t xml:space="preserve">TIPO: estimativa + edital público.</t>
  </si>
  <si>
    <t xml:space="preserve">Técnico de som ou de luz (operador)</t>
  </si>
  <si>
    <t xml:space="preserve">Nova Friburgo: operador de luz diária R$ 251, operador de som R$ 265. Itajubá-MG 2026 operador de iluminação R$ 461 e técnico de iluminação R$ 753 por diária 8h (estimados)</t>
  </si>
  <si>
    <t xml:space="preserve">TIPO: edital público + licitação MG (estimado). Não achei tabela SATED-MG publicada. Exigir DRT (Lei 6.533/78).</t>
  </si>
  <si>
    <t xml:space="preserve">Roadie / montador / carregador</t>
  </si>
  <si>
    <t xml:space="preserve">Nova Friburgo: roadie R$ 335/diária, carregadores R$ 362/diária</t>
  </si>
  <si>
    <t xml:space="preserve">TIPO: edital público (RJ) + estimativa.</t>
  </si>
  <si>
    <t xml:space="preserve">Registro fotográfico</t>
  </si>
  <si>
    <t xml:space="preserve">TRT5-BA ARP 07/2025 filmagem + fotografia com vídeo de 3-5 min R$ 900/diária. Nova Friburgo fotografia artística R$ 950-2.500 (obra)</t>
  </si>
  <si>
    <t xml:space="preserve">TIPO: licitação (BA) + estimativa para MG.</t>
  </si>
  <si>
    <t xml:space="preserve">Registro audiovisual / filmagem (5-8h com técnico)</t>
  </si>
  <si>
    <t xml:space="preserve">Itajubá-MG 2026 filmagem com técnico 5-8h R$ 1.416 por diária (estimado). TRT5-BA R$ 900</t>
  </si>
  <si>
    <t xml:space="preserve">TIPO: licitação pública MG (estimado).</t>
  </si>
  <si>
    <t xml:space="preserve">Edição de vídeo (vídeo-síntese/registro)</t>
  </si>
  <si>
    <t xml:space="preserve">Itajubá-MG 2026 edição R$ 206/hora (estimado). Nova Friburgo edição de imagem R$ 3.000-4.000 (obra)</t>
  </si>
  <si>
    <t xml:space="preserve">TIPO: licitação + edital público. Para vídeo do produto principal com Libras e AD (art. 42 III), somar os custos de acessibilidade.</t>
  </si>
  <si>
    <t xml:space="preserve">Intérprete de Libras</t>
  </si>
  <si>
    <t xml:space="preserve">hora (por intérprete)</t>
  </si>
  <si>
    <t xml:space="preserve">FEBRAPILS Lista de Referência (atualizada em 17/10/2020 e ainda vigente): contextos artísticos e culturais R$ 192/h, mínimo de 3 intérpretes, sendo 1 surdo, +30% se gravado ou transmitido, +25% sábado, +50% domingo e feriado. https://febrapils.org.br/lista-de-referencia-de-honorarios/ . Divinópolis-MG 2025 homologado R$ 190/h (dupla em revezamento). Fundarpe-PE 2025 R$ 240/h em shows</t>
  </si>
  <si>
    <t xml:space="preserve">TIPO: entidade de classe + licitação MG. Preparação ou ensaio R$ 480 por intérprete (taxa única, FEBRAPILS).</t>
  </si>
  <si>
    <t xml:space="preserve">diária de 6h por intérprete</t>
  </si>
  <si>
    <t xml:space="preserve">FEBRAPILS: conferências e palestras R$ 864 por diária de 6h. Valores 6h × R$ 192 e 6h × R$ 240 para contexto artístico</t>
  </si>
  <si>
    <t xml:space="preserve">TIPO: entidade de classe (cálculo). Em espetáculos usar equipe (2 a 3 intérpretes).</t>
  </si>
  <si>
    <t xml:space="preserve">Audiodescrição ao vivo (narração + consultor PcD visual)</t>
  </si>
  <si>
    <t xml:space="preserve">sessão/espetáculo</t>
  </si>
  <si>
    <t xml:space="preserve">Fiocruz TR 19/2025: AD ao vivo R$ 8,25/min e gravada R$ 12/min https://www.fiocruzbrasilia.fiocruz.br/wp-content/uploads/2025/09/TR_n__192025_Audiodescricao.pdf . MEC contrato 43/2025 audiodescritor R$ 200/h https://www.gov.br/mec/pt-br/media/licitacao/contratos/2025/CT_43_2025_Soluction.pdf</t>
  </si>
  <si>
    <t xml:space="preserve">TIPO: estimativa apoiada em contratos públicos federais 2025. IN 29 Anexo III exige AD em equipe (audiodescritor + consultor com deficiência visual).</t>
  </si>
  <si>
    <t xml:space="preserve">Audiodescrição: roteiro (elaboração única por espetáculo/exposição)</t>
  </si>
  <si>
    <t xml:space="preserve">SMC-SP 34/2023: audioguia (pesquisa, roteiro, redação e audiodescrição de 15 ou mais obras) R$ 6.500. Fiocruz/MEC acima</t>
  </si>
  <si>
    <t xml:space="preserve">TIPO: tabela pública SP + estimativa.</t>
  </si>
  <si>
    <t xml:space="preserve">Legenda descritiva (LSE) / closed caption</t>
  </si>
  <si>
    <t xml:space="preserve">minuto de conteúdo</t>
  </si>
  <si>
    <t xml:space="preserve">Estimativa. Referências: Nova Friburgo legendagem descritiva R$ 4.000-6.000 por obra. FEBRAPILS tradução e legendagem Libras R$ 96/min (serviço diferente)</t>
  </si>
  <si>
    <t xml:space="preserve">TIPO: estimativa.</t>
  </si>
  <si>
    <t xml:space="preserve">Impressão de material em braille (programa/catálogo)</t>
  </si>
  <si>
    <t xml:space="preserve">página</t>
  </si>
  <si>
    <t xml:space="preserve">Estimativa de mercado</t>
  </si>
  <si>
    <t xml:space="preserve">TIPO: estimativa sem fonte direta. Alternativa: QR code com áudio e texto acessível.</t>
  </si>
  <si>
    <t xml:space="preserve">Piso/rampa modular de acessibilidade</t>
  </si>
  <si>
    <t xml:space="preserve">m² por diária</t>
  </si>
  <si>
    <t xml:space="preserve">Itajubá-MG 2026 montagem de piso em compensado naval elevado R$ 42-77/m²/dia (estimado) https://pncp.gov.br/app/editais/21512443000131/2026/41</t>
  </si>
  <si>
    <t xml:space="preserve">TIPO: licitação MG (estimado) + estimativa. Rampa removível entra nos 20% de acessibilidade (IN 29 art. 20 I).</t>
  </si>
  <si>
    <t xml:space="preserve">Designer gráfico (identidade + peças do projeto)</t>
  </si>
  <si>
    <t xml:space="preserve">Nova Friburgo designer gráfico R$ 2.500-5.000. Itajubá-MG 2026 designer R$ 678 por diária 8h (estimado)</t>
  </si>
  <si>
    <t xml:space="preserve">TIPO: edital público + estimativa. Despesa coberta pelos 20% (art. 20 II e).</t>
  </si>
  <si>
    <t xml:space="preserve">Assessoria de imprensa</t>
  </si>
  <si>
    <t xml:space="preserve">Nova Friburgo assessor de imprensa R$ 3.800-4.750</t>
  </si>
  <si>
    <t xml:space="preserve">TIPO: edital público + estimativa. Coberta pelos 20% (art. 20 II c).</t>
  </si>
  <si>
    <t xml:space="preserve">Gestão de redes sociais</t>
  </si>
  <si>
    <t xml:space="preserve">Nova Friburgo gestão de redes sociais R$ 1.000-3.292</t>
  </si>
  <si>
    <t xml:space="preserve">TIPO: edital público + estimativa. Coberta pelos 20% (art. 20 II f).</t>
  </si>
  <si>
    <t xml:space="preserve">Impulsionamento / valoração de mídia</t>
  </si>
  <si>
    <t xml:space="preserve">Estimativa</t>
  </si>
  <si>
    <t xml:space="preserve">TIPO: estimativa sem fonte direta. Coberto pelos 20% (art. 20 II d). Guardar relatórios das plataformas.</t>
  </si>
  <si>
    <t xml:space="preserve">Impressão de cartaz A3 couché 4x0</t>
  </si>
  <si>
    <t xml:space="preserve">milheiro</t>
  </si>
  <si>
    <t xml:space="preserve">Juiz de Fora-MG 2026 A3 R$ 3,02/un (400 un) https://pncp.gov.br/app/editais/21195755000169/2026/70 . Chalé-MG A3 R$ 5,18/un https://pncp.gov.br/app/editais/18392548000190/2026/61 . Itapagipe-MG A3 R$ 6,73/un (estimados)</t>
  </si>
  <si>
    <t xml:space="preserve">TIPO: licitação MG 2026 (estimado). Mínimo = offset em tiragem maior (estimativa). Máximo = digital em pequena tiragem.</t>
  </si>
  <si>
    <t xml:space="preserve">Impressão de folder A4 com dobras, couché</t>
  </si>
  <si>
    <t xml:space="preserve">Guaxupé-MG 2026 folder 30x21 1 dobra homologado R$ 0,24/un https://pncp.gov.br/app/editais/18663401000197/2026/218 . Itapagipe-MG A4 2 dobras R$ 1,68/un e Nova Porteirinha R$ 2,00/un (estimados)</t>
  </si>
  <si>
    <t xml:space="preserve">TIPO: licitação pública MG 2026.</t>
  </si>
  <si>
    <t xml:space="preserve">Impressão de panfleto/flyer A5 4x4</t>
  </si>
  <si>
    <t xml:space="preserve">Juiz de Fora-MG 2026 A5 4x0 R$ 0,16/un (5.000 un). Chalé-MG 15x21 R$ 0,25/un. Botelhos R$ 0,71 e Nova Porteirinha R$ 1,34 (estimados)</t>
  </si>
  <si>
    <t xml:space="preserve">Banner / faixa em lona impressa</t>
  </si>
  <si>
    <t xml:space="preserve">Itapagipe-MG 2026 lona 440 g R$ 66/m². Botelhos R$ 86,50/m² https://pncp.gov.br/app/editais/17847641000189/2026/180 . Nova Porteirinha R$ 96,25/m². Juiz de Fora banner 2,42 m² R$ 280 (≈ R$ 116/m²). Patrocínio do Muriaé R$ 101-213/m linear (estimados)</t>
  </si>
  <si>
    <t xml:space="preserve">TIPO: licitação pública MG 2026. Roll-up R$ 500 e wind banner R$ 336 (Botelhos).</t>
  </si>
  <si>
    <t xml:space="preserve">Contador (assessoria contábil do projeto)</t>
  </si>
  <si>
    <t xml:space="preserve">Estimativa. Referência: Nova Friburgo contador R$ 1.500-5.500. CRC-MG não publica tabela de honorários</t>
  </si>
  <si>
    <t xml:space="preserve">TIPO: estimativa. Etapa Assessoria contábil e jurídica. Exige registro no CRC (IN 29 art. 17 §2º).</t>
  </si>
  <si>
    <t xml:space="preserve">Advogado (assessoria jurídica do projeto)</t>
  </si>
  <si>
    <t xml:space="preserve">mês ou serviço</t>
  </si>
  <si>
    <t xml:space="preserve">Estimativa. Referência legal: IN 29 art. 17 §3º manda respeitar a URH da OAB da UF. Tabela OAB-MG vigente aprovada em 15/12/2023, segundo https://blog.meuprecatorio.com.br/tabela-honorarios-oab/ (não consegui abrir oabmg.org.br)</t>
  </si>
  <si>
    <t xml:space="preserve">TIPO: estimativa. Conferir o valor da URH e da consultoria mensal na tabela oficial da OAB-MG antes de lançar.</t>
  </si>
  <si>
    <t xml:space="preserve">Elaboração do projeto cultural</t>
  </si>
  <si>
    <t xml:space="preserve">Estimativa de mercado (consultorias cobram valor fixo ou de 3% a 5%)</t>
  </si>
  <si>
    <t xml:space="preserve">TIPO: estimativa. Pela IN 29 art. 22 VIII entra nos CUSTOS DE ADMINISTRAÇÃO (15%), com contrato prévio e pagamento só após a aprovação da execução. Não é linha de etapa.</t>
  </si>
  <si>
    <t xml:space="preserve">Seguro de responsabilidade civil para evento</t>
  </si>
  <si>
    <t xml:space="preserve">apólice</t>
  </si>
  <si>
    <t xml:space="preserve">Estimativa de mercado (evento de 1 a 3 dias, até 5 mil pessoas)</t>
  </si>
  <si>
    <t xml:space="preserve">TIPO: estimativa sem fonte direta. Acidentes pessoais costuma custar de R$ 2 a 10 por pessoa/dia (estimativa).</t>
  </si>
  <si>
    <t xml:space="preserve">ECAD (direitos de execução pública)</t>
  </si>
  <si>
    <t xml:space="preserve">percentual / taxa</t>
  </si>
  <si>
    <t xml:space="preserve">ECAD: com ingresso cobrado = percentual sobre a receita bruta de bilheteria. Sem ingresso = valor pela área sonorizada. Festas e eventos de rua = custo musical (cachês + som). https://www4.ecad.org.br/?p=12885 . Decisão judicial citou 15% do custo musical em evento aberto sem ingresso. IN 29 art. 29</t>
  </si>
  <si>
    <t xml:space="preserve">TIPO: regulamento ECAD + estimativa dos percentuais. Os valores das colunas são % (0 = isento ou repertório próprio liberado). Pedir orçamento ao ECAD. Direitos autorais têm teto de 10% do valor aprovado (IN 29 art. 27).</t>
  </si>
  <si>
    <t xml:space="preserve">Alvarás, taxas e licenças (bombeiros/prefeitura)</t>
  </si>
  <si>
    <t xml:space="preserve">Estimativa. Itajubá-MG 2026 serviços de legalização do evento R$ 289/hora (estimado) https://pncp.gov.br/app/editais/21512443000131/2026/41</t>
  </si>
  <si>
    <t xml:space="preserve">TIPO: estimativa. Taxas do CBMMG e da prefeitura variam por porte e município. Lançar em Produção/Execução ou Recolhimentos, conforme o item disponível.</t>
  </si>
  <si>
    <t xml:space="preserve">Palestrante / conferencista</t>
  </si>
  <si>
    <t xml:space="preserve">cachê por palestra</t>
  </si>
  <si>
    <t xml:space="preserve">SMC-SP 34/2023 palestra R$ 2.000 (60 min). Teto IN 29 art. 26 IV = R$ 5.000</t>
  </si>
  <si>
    <t xml:space="preserve">TIPO: tabela pública SP. O máximo é o TETO legal.</t>
  </si>
  <si>
    <t xml:space="preserve">Recepcionista / monitor (inclusive apoio de acessibilidade)</t>
  </si>
  <si>
    <t xml:space="preserve">diária 6-8h</t>
  </si>
  <si>
    <t xml:space="preserve">Itajubá-MG 2026 recepcionista R$ 260 e bilíngue R$ 380 (estimados). TRT5-BA R$ 200 por 6h</t>
  </si>
  <si>
    <t xml:space="preserve">TIPO: licitação pública (estimado). Equipe de apoio a PcD pode entrar nos 20% (art. 20 II b).</t>
  </si>
  <si>
    <t xml:space="preserve">Ambulância de remoção para evento</t>
  </si>
  <si>
    <t xml:space="preserve">hora</t>
  </si>
  <si>
    <t xml:space="preserve">Entre Rios de Minas-MG 2026: estimado R$ 186,63/h, homologado R$ 126/h https://pncp.gov.br/app/editais/20356747000194/2026/45</t>
  </si>
  <si>
    <t xml:space="preserve">Parâmetros da IN MinC nº 29/2026 usados nas verificações</t>
  </si>
  <si>
    <t xml:space="preserve">Parâmetro</t>
  </si>
  <si>
    <t xml:space="preserve">Valor</t>
  </si>
  <si>
    <t xml:space="preserve">Fonte</t>
  </si>
  <si>
    <t xml:space="preserve">Custos de administração – máx. sobre o valor do projeto</t>
  </si>
  <si>
    <t xml:space="preserve">IN 29/2026, art. 22</t>
  </si>
  <si>
    <t xml:space="preserve">Acessibilidade, comunicação e divulgação acessíveis – máx. sobre o valor do projeto</t>
  </si>
  <si>
    <t xml:space="preserve">IN 29/2026, art. 20</t>
  </si>
  <si>
    <t xml:space="preserve">Remuneração para captação – máx. sobre o valor do projeto</t>
  </si>
  <si>
    <t xml:space="preserve">IN 29/2026, art. 19</t>
  </si>
  <si>
    <t xml:space="preserve">Remuneração para captação – teto em R$</t>
  </si>
  <si>
    <t xml:space="preserve">Pessoa física – valor máx. por projeto e carteira (até 2 projetos ativos)</t>
  </si>
  <si>
    <t xml:space="preserve">IN 29/2026, arts. 10, I e 11, I</t>
  </si>
  <si>
    <t xml:space="preserve">Pessoa jurídica – valor máx. por projeto (exceto patrimônio cultural, art. 14)</t>
  </si>
  <si>
    <t xml:space="preserve">IN 29/2026, art. 11, II</t>
  </si>
  <si>
    <t xml:space="preserve">Pessoa jurídica – carteira (até 10 projetos ativos)</t>
  </si>
  <si>
    <t xml:space="preserve">IN 29/2026, art. 10, III</t>
  </si>
  <si>
    <t xml:space="preserve">MEI – carteira (até 4 projetos ativos)</t>
  </si>
  <si>
    <t xml:space="preserve">IN 29/2026, art. 10, II</t>
  </si>
  <si>
    <t xml:space="preserve">1º projeto sem portfólio – valor máx.</t>
  </si>
  <si>
    <t xml:space="preserve">IN 29/2026, art. 4º, §5º</t>
  </si>
  <si>
    <t xml:space="preserve">Cachê artista individual / mestre(a) – por apresentação</t>
  </si>
  <si>
    <t xml:space="preserve">IN 29/2026, art. 26, I</t>
  </si>
  <si>
    <t xml:space="preserve">Cachê grupo/coletivo – por apresentação</t>
  </si>
  <si>
    <t xml:space="preserve">IN 29/2026, art. 26, II</t>
  </si>
  <si>
    <t xml:space="preserve">Orquestra – por músico (regente: R$ 25.000)</t>
  </si>
  <si>
    <t xml:space="preserve">IN 29/2026, art. 26, III</t>
  </si>
  <si>
    <t xml:space="preserve">Palestrante</t>
  </si>
  <si>
    <t xml:space="preserve">IN 29/2026, art. 26, IV</t>
  </si>
  <si>
    <t xml:space="preserve">Remuneração do proponente – máx. do captado (PF/MEI: 30%)</t>
  </si>
  <si>
    <t xml:space="preserve">IN 29/2026, art. 23</t>
  </si>
  <si>
    <t xml:space="preserve">Um mesmo fornecedor – máx. do captado</t>
  </si>
  <si>
    <t xml:space="preserve">IN 29/2026, art. 24</t>
  </si>
  <si>
    <t xml:space="preserve">Direitos autorais e conexos – máx. do valor aprovado</t>
  </si>
  <si>
    <t xml:space="preserve">IN 29/2026, art. 27</t>
  </si>
  <si>
    <t xml:space="preserve">Custo por beneficiário (só com venda de ingresso/produto)</t>
  </si>
  <si>
    <t xml:space="preserve">IN 29/2026, art. 16</t>
  </si>
  <si>
    <t xml:space="preserve">VALOR DO PROJETO = Pré-produção/Preparação + Produção/Execução + Pós-produção + Assessoria contábil e jurídica + Recolhimentos (IN 29, art. 17; Anexo I, LXXV). São as 5 abas de etapas do SALIC.</t>
  </si>
  <si>
    <t xml:space="preserve">CUSTOS VINCULADOS e CAPTAÇÃO não têm itens no SALIC: o proponente escolhe só o PERCENTUAL (Orçamento do projeto &gt; Custos vinculados) e o sistema calcula sobre o valor do projeto. Os gastos são comprovados na prestação de contas (Manual do Proponente IN 2026, p. 43-49).</t>
  </si>
  <si>
    <t xml:space="preserve">VALOR TOTAL DO PROJETO = valor do projeto + custos vinculados + captação (Anexo I, LXXVII). É este valor que foi fechado no valor pré-planejado do cliente.</t>
  </si>
  <si>
    <t xml:space="preserve">Enquadramento Art. 18 x Art. 26: definido pela área/segmento do PRODUTO PRINCIPAL (maior custo); em festa/festival vale o produto secundário de maior valor (IN 29, art. 46; Anexo IV).</t>
  </si>
  <si>
    <t xml:space="preserve">Projetos sociais, educativos, esportivos e gastronômicos que não sejam patrimônio imaterial: só custos artístico-culturais são aprovados (IN 29, art. 18).</t>
  </si>
  <si>
    <t xml:space="preserve">Convenção de cores: azul = entrada editável; preto = fórmula; verde = vínculo com outra aba; amarelo = percentual a escolher no SALIC.</t>
  </si>
  <si>
    <t xml:space="preserve">P01 – Escola de Ofícios do Espetáculo | Planilha orçamentária no padrão SALIC (IN MinC 29/2026)</t>
  </si>
  <si>
    <t xml:space="preserve">Proponente (planilha / pasta Drive / tipo)</t>
  </si>
  <si>
    <t xml:space="preserve">Educare / Educare / PJ</t>
  </si>
  <si>
    <t xml:space="preserve">Produto principal (maior custo) e enquadramento</t>
  </si>
  <si>
    <t xml:space="preserve">Curso/Oficina – ciclo formativo de iniciação aos ofícios técnicos e criativos das artes cênicas (9 turmas x 24h, 270 vagas, 3 núcleos) – Artes Cênicas / Empreend Ações Educ-Cult/Capacitação/Treinamento → Art. 18</t>
  </si>
  <si>
    <t xml:space="preserve">Público estimado</t>
  </si>
  <si>
    <t xml:space="preserve">270 beneficiários diretos (vagas formativas) + ~600 espectadores na mostra final (estimativa a validar com a lotação).</t>
  </si>
  <si>
    <t xml:space="preserve">Municípios</t>
  </si>
  <si>
    <t xml:space="preserve">Belo Horizonte (núcleos central e Venda Nova) e Contagem (núcleo metropolitano) – MG.</t>
  </si>
  <si>
    <t xml:space="preserve">Execução</t>
  </si>
  <si>
    <t xml:space="preserve">7 meses (jun a dez/2027)</t>
  </si>
  <si>
    <t xml:space="preserve">Valor pré-planejado (planilha do cliente)</t>
  </si>
  <si>
    <t xml:space="preserve">Resumo – o que vai ao SALIC</t>
  </si>
  <si>
    <t xml:space="preserve">Etapa / componente</t>
  </si>
  <si>
    <t xml:space="preserve">Valor (R$)</t>
  </si>
  <si>
    <t xml:space="preserve">% do valor do projeto</t>
  </si>
  <si>
    <t xml:space="preserve">Limite IN 29</t>
  </si>
  <si>
    <t xml:space="preserve">Pré-produção / Preparação</t>
  </si>
  <si>
    <t xml:space="preserve">Produção / Execução</t>
  </si>
  <si>
    <t xml:space="preserve">Pós-produção</t>
  </si>
  <si>
    <t xml:space="preserve">Assessoria contábil e jurídica</t>
  </si>
  <si>
    <t xml:space="preserve">Recolhimentos</t>
  </si>
  <si>
    <t xml:space="preserve">VALOR DO PROJETO (base de cálculo – soma das 5 etapas)</t>
  </si>
  <si>
    <t xml:space="preserve">Custos de administração (percentual escolhido no SALIC)</t>
  </si>
  <si>
    <t xml:space="preserve">Custos de acessibilidade, comunicação e divulgação acessíveis (percentual no SALIC)</t>
  </si>
  <si>
    <t xml:space="preserve">Remuneração para captação de recursos (percentual no SALIC; teto R$ 150 mil)</t>
  </si>
  <si>
    <t xml:space="preserve">VALOR TOTAL DO PROJETO (valor solicitado)</t>
  </si>
  <si>
    <t xml:space="preserve">Diferença para o valor pré-planejado</t>
  </si>
  <si>
    <t xml:space="preserve">Teto por projeto aplicável (PF R$ 500 mil / PJ R$ 1,5 mi)</t>
  </si>
  <si>
    <t xml:space="preserve">Percentuais (células amarelas) são inteiros escolhidos para cobrir o detalhamento interno abaixo da planilha. Altere-os aqui e no SALIC.</t>
  </si>
  <si>
    <t xml:space="preserve">Planilha orçamentária analítica – itens a lançar no SALIC (Orçamento do projeto &gt; Custos por produtos)</t>
  </si>
  <si>
    <t xml:space="preserve">Produto</t>
  </si>
  <si>
    <t xml:space="preserve">Etapa (aba do SALIC)</t>
  </si>
  <si>
    <t xml:space="preserve">Item</t>
  </si>
  <si>
    <t xml:space="preserve">Unidade SALIC</t>
  </si>
  <si>
    <t xml:space="preserve">Unidade de cálculo</t>
  </si>
  <si>
    <t xml:space="preserve">Quantidade</t>
  </si>
  <si>
    <t xml:space="preserve">Ocorrência</t>
  </si>
  <si>
    <t xml:space="preserve">Valor unitário (R$)</t>
  </si>
  <si>
    <t xml:space="preserve">Valor total (R$)</t>
  </si>
  <si>
    <t xml:space="preserve">Local (UF – município)</t>
  </si>
  <si>
    <t xml:space="preserve">Referência de mercado mín–típ–máx (R$)</t>
  </si>
  <si>
    <t xml:space="preserve">Alerta de preço</t>
  </si>
  <si>
    <t xml:space="preserve">Justificativa / memória de cálculo</t>
  </si>
  <si>
    <t xml:space="preserve">Oficinas – Escola de Ofícios do Espetáculo (principal)</t>
  </si>
  <si>
    <t xml:space="preserve">Coordenação geral (Túlio Gama)</t>
  </si>
  <si>
    <t xml:space="preserve">Mês</t>
  </si>
  <si>
    <t xml:space="preserve">MG - Belo Horizonte</t>
  </si>
  <si>
    <t xml:space="preserve">3.500 – 5.500 – 8.000</t>
  </si>
  <si>
    <t xml:space="preserve">dentro da faixa</t>
  </si>
  <si>
    <t xml:space="preserve">Jun–jul/2027: formalização de núcleos, parcerias, contratações e plano de trabalho. Valor no piso da faixa de referência (7.000–12.000).</t>
  </si>
  <si>
    <t xml:space="preserve">Coordenação pedagógica (Jade Oliveira)</t>
  </si>
  <si>
    <t xml:space="preserve">3.000 – 4.500 – 6.500</t>
  </si>
  <si>
    <t xml:space="preserve">Jul/2027: desenho pedagógico final, curadoria de educadores, critérios de seleção e matriz núcleo x formação. Dedicação parcial.</t>
  </si>
  <si>
    <t xml:space="preserve">Produtor(a) executivo(a)</t>
  </si>
  <si>
    <t xml:space="preserve">Jul/2027: contratos, logística dos núcleos, inscrições e mobilização.</t>
  </si>
  <si>
    <t xml:space="preserve">Elaboração de planos de aula e conteúdo programático por eixo (figurino, maquiagem, iluminação, audiovisual)</t>
  </si>
  <si>
    <t xml:space="preserve">Serviço</t>
  </si>
  <si>
    <t xml:space="preserve">s/ ref.</t>
  </si>
  <si>
    <t xml:space="preserve">Exigência do Anexo II item 7.3 (carga horária e conteúdo programático). 1 plano por eixo, elaborado pelo educador responsável.</t>
  </si>
  <si>
    <t xml:space="preserve">Vistorias técnicas e de acessibilidade nos núcleos (van com motorista)</t>
  </si>
  <si>
    <t xml:space="preserve">Unidade</t>
  </si>
  <si>
    <t xml:space="preserve">MG - Belo Horizonte e Contagem (3 núcleos)</t>
  </si>
  <si>
    <t xml:space="preserve">750 – 1.000 – 1.500</t>
  </si>
  <si>
    <t xml:space="preserve">3 diárias para vistoria dos 3 núcleos e do local da mostra (checklist de acessibilidade, estrutura e energia).</t>
  </si>
  <si>
    <t xml:space="preserve">Ago–nov/2027: execução das 9 turmas, visitas e mostra.</t>
  </si>
  <si>
    <t xml:space="preserve">Ago–nov/2027: acompanhamento de frequência, devolutivas, avaliação e certificação.</t>
  </si>
  <si>
    <t xml:space="preserve">Ago–nov/2027: gestão operacional dos 3 núcleos, fornecedores e mostra.</t>
  </si>
  <si>
    <t xml:space="preserve">Coordenação técnica (iluminação, montagem e integração da mostra)</t>
  </si>
  <si>
    <t xml:space="preserve">Função prevista no item 14 da proposta; sem código no catálogo, valor abaixo de produtor executivo. Responde por segurança de equipamentos e operação supervisionada.</t>
  </si>
  <si>
    <t xml:space="preserve">Assistente de produção (apoio aos núcleos)</t>
  </si>
  <si>
    <t xml:space="preserve">2.000 – 3.000 – 4.000</t>
  </si>
  <si>
    <t xml:space="preserve">1 assistente para circular entre os 3 núcleos (materiais, listas de presença, lanches).</t>
  </si>
  <si>
    <t xml:space="preserve">Educadores(as) dos eixos – oficinas, visita e mostra</t>
  </si>
  <si>
    <t xml:space="preserve">80 – 130 – 200</t>
  </si>
  <si>
    <t xml:space="preserve">9 turmas x 24h (16h de oficinas em 8 encontros de 2h + 4h de visita técnica + 4h de preparação/mostra) x R$130 (valor de referência). [Linha de equilíbrio: ajustada em R$ -5,199.21 para fechar o valor total com os percentuais de custos vinculados escolhidos no SALIC.]</t>
  </si>
  <si>
    <t xml:space="preserve">Educadores(as) assistentes/monitores técnicos (turmas de iluminação e maquiagem)</t>
  </si>
  <si>
    <t xml:space="preserve">5 turmas com manuseio de equipamentos elétricos e cosméticos (3 iluminação + 2 maquiagem) x 16h de oficina; segurança e atendimento a 30 participantes. Piso da faixa.</t>
  </si>
  <si>
    <t xml:space="preserve">Mediador(a) cultural nas visitas técnicas</t>
  </si>
  <si>
    <t xml:space="preserve">1 visita/mediação por turma (Palácio das Artes, Sesc Palladium, escolas de teatro etc.), 4h cada.</t>
  </si>
  <si>
    <t xml:space="preserve">Ônibus com motorista para visitas técnicas</t>
  </si>
  <si>
    <t xml:space="preserve">1.500 – 2.200 – 3.500</t>
  </si>
  <si>
    <t xml:space="preserve">1 ônibus por turma (30 participantes + equipe) do núcleo ao equipamento visitado; reduz barreira de deslocamento (art. 42, II). Piso da faixa.</t>
  </si>
  <si>
    <t xml:space="preserve">Material de consumo das oficinas (tecidos e aviamentos, maquiagem descartável e higienização, gelatinas/filtros, mídias)</t>
  </si>
  <si>
    <t xml:space="preserve">kit/participante</t>
  </si>
  <si>
    <t xml:space="preserve">270 vagas x R$60; materiais consumidos nas práticas (60–70% da carga horária).</t>
  </si>
  <si>
    <t xml:space="preserve">Locação de kit didático de iluminação cênica (refletores, mesa, cabos, dimmer)</t>
  </si>
  <si>
    <t xml:space="preserve">1.500 – 3.000 – 6.000</t>
  </si>
  <si>
    <t xml:space="preserve">3 turmas de iluminação; 8 diárias concentradas nos encontros práticos de montagem/operação (piso da faixa). Pode ser cotado com a Armind, respeitado o limite de 20% por fornecedor.</t>
  </si>
  <si>
    <t xml:space="preserve">Locação de equipamentos audiovisuais para aulas (câmera, tripé, microfone, luz de vídeo)</t>
  </si>
  <si>
    <t xml:space="preserve">2 turmas de audiovisual; 3 encontros práticos cada; complementa celulares dos participantes (produção com dispositivos acessíveis).</t>
  </si>
  <si>
    <t xml:space="preserve">Locação de máquinas de costura e manequins (turmas de figurino)</t>
  </si>
  <si>
    <t xml:space="preserve">2 turmas de figurino; 1 mês de prática de adaptação/reaproveitamento cada. Locação mais econômica que aquisição (art. 30).</t>
  </si>
  <si>
    <t xml:space="preserve">Lanche para participantes</t>
  </si>
  <si>
    <t xml:space="preserve">270 participantes x 8 encontros x R$8 (piso). Atividades de 2h a 4h com público jovem em vulnerabilidade; reduz evasão.</t>
  </si>
  <si>
    <t xml:space="preserve">Certificados de conclusão</t>
  </si>
  <si>
    <t xml:space="preserve">Certificação com carga horária para concluintes (frequência mínima 60%).</t>
  </si>
  <si>
    <t xml:space="preserve">Seguro de acidentes pessoais dos participantes</t>
  </si>
  <si>
    <t xml:space="preserve">800 – 2.000 – 5.000</t>
  </si>
  <si>
    <t xml:space="preserve">Participantes a partir de 14 anos em atividades práticas com equipamentos elétricos e visitas externas.</t>
  </si>
  <si>
    <t xml:space="preserve">Registro fotográfico das oficinas e visitas</t>
  </si>
  <si>
    <t xml:space="preserve">500 – 800 – 1.500</t>
  </si>
  <si>
    <t xml:space="preserve">5 diárias distribuídas entre núcleos e visitas; comprovação do objeto (meta 2 e 5).</t>
  </si>
  <si>
    <t xml:space="preserve">Registro audiovisual das oficinas</t>
  </si>
  <si>
    <t xml:space="preserve">900 – 1.400 – 2.500</t>
  </si>
  <si>
    <t xml:space="preserve">2 diárias de captação para vídeo-memória e comprovação.</t>
  </si>
  <si>
    <t xml:space="preserve">Mostra final integrada (secundário)</t>
  </si>
  <si>
    <t xml:space="preserve">Direção artística da mostra final integrada</t>
  </si>
  <si>
    <t xml:space="preserve">Cachê</t>
  </si>
  <si>
    <t xml:space="preserve">Concepção e direção da culminância que integra figurino, maquiagem, luz e audiovisual com o espetáculo parceiro; abaixo da faixa por ser montagem curta.</t>
  </si>
  <si>
    <t xml:space="preserve">Cachê de grupo teatral parceiro (apresentação na mostra – campo prático supervisionado)</t>
  </si>
  <si>
    <t xml:space="preserve">5.000 – 7.000 – 50.000</t>
  </si>
  <si>
    <t xml:space="preserve">1 apresentação teatral; grupo a confirmar com anuência e autorização do autor do texto (Anexo II 3.3). Valor de referência.</t>
  </si>
  <si>
    <t xml:space="preserve">Locação de iluminação cênica médio porte (mostra)</t>
  </si>
  <si>
    <t xml:space="preserve">Montagem assistida pelos participantes + apresentação (2 diárias).</t>
  </si>
  <si>
    <t xml:space="preserve">Locação de sonorização pequeno porte (mostra)</t>
  </si>
  <si>
    <t xml:space="preserve">1.100 – 1.900 – 3.500</t>
  </si>
  <si>
    <t xml:space="preserve">Montagem/ensaio + apresentação.</t>
  </si>
  <si>
    <t xml:space="preserve">Técnico(a) de luz (supervisão da operação pelos participantes)</t>
  </si>
  <si>
    <t xml:space="preserve">250 – 400 – 750</t>
  </si>
  <si>
    <t xml:space="preserve">2 diárias.</t>
  </si>
  <si>
    <t xml:space="preserve">Técnico(a) de som</t>
  </si>
  <si>
    <t xml:space="preserve">Montadores</t>
  </si>
  <si>
    <t xml:space="preserve">200 – 300 – 400</t>
  </si>
  <si>
    <t xml:space="preserve">3 montadores x 2 diárias (montagem e desmontagem).</t>
  </si>
  <si>
    <t xml:space="preserve">Ônibus para deslocamento dos participantes dos 3 núcleos à mostra</t>
  </si>
  <si>
    <t xml:space="preserve">1 ônibus por núcleo no dia do ensaio geral/mostra.</t>
  </si>
  <si>
    <t xml:space="preserve">Brigadista</t>
  </si>
  <si>
    <t xml:space="preserve">180 – 300 – 470</t>
  </si>
  <si>
    <t xml:space="preserve">Exigência de segurança para evento aberto ao público.</t>
  </si>
  <si>
    <t xml:space="preserve">Registro fotográfico da mostra</t>
  </si>
  <si>
    <t xml:space="preserve">Comprovação e memória.</t>
  </si>
  <si>
    <t xml:space="preserve">Registro audiovisual da mostra</t>
  </si>
  <si>
    <t xml:space="preserve">Base do vídeo-memória a ser publicado com Libras e audiodescrição (art. 42, III).</t>
  </si>
  <si>
    <t xml:space="preserve">Materiais cênicos da mostra (figurinos adaptados, maquiagem, consumíveis de luz) – verba de ajuste</t>
  </si>
  <si>
    <t xml:space="preserve">Verba</t>
  </si>
  <si>
    <t xml:space="preserve">Materiais aplicados pelos participantes na mostra; linha usada para arredondamento ao valor-alvo.</t>
  </si>
  <si>
    <t xml:space="preserve">Coordenação geral – encerramento</t>
  </si>
  <si>
    <t xml:space="preserve">Dez/2027: relatório de execução e indicadores.</t>
  </si>
  <si>
    <t xml:space="preserve">Coordenação pedagógica – relatório pedagógico e certificação</t>
  </si>
  <si>
    <t xml:space="preserve">Síntese pedagógica, avaliação e emissão de certificados.</t>
  </si>
  <si>
    <t xml:space="preserve">Produtor(a) executivo(a) – encerramento</t>
  </si>
  <si>
    <t xml:space="preserve">Organização documental e comprovações.</t>
  </si>
  <si>
    <t xml:space="preserve">Edição e finalização do vídeo-memória (com legendas)</t>
  </si>
  <si>
    <t xml:space="preserve">1.500 – 3.000 – 5.000</t>
  </si>
  <si>
    <t xml:space="preserve">Vídeo de 8–12 min sobre o percurso e a mostra, publicado gratuitamente.</t>
  </si>
  <si>
    <t xml:space="preserve">Contador(a)</t>
  </si>
  <si>
    <t xml:space="preserve">800 – 1.500 – 3.000</t>
  </si>
  <si>
    <t xml:space="preserve">Jun–dez/2027; escrituração do projeto e prestação de contas.</t>
  </si>
  <si>
    <t xml:space="preserve">Assessoria jurídica (contratos, termos de uso de imagem de menores, anuências)</t>
  </si>
  <si>
    <t xml:space="preserve">Atendimento a participantes de 14+ anos exige termos específicos.</t>
  </si>
  <si>
    <t xml:space="preserve">Intérprete de Libras (aulas inaugurais, visitas, mostra e banco de horas sob demanda)</t>
  </si>
  <si>
    <t xml:space="preserve">144 – 192 – 240</t>
  </si>
  <si>
    <t xml:space="preserve">9 aulas inaugurais x 2h + 4h mostra + 28h sob demanda de participantes surdos. [Acessibilidade de conteúdo lançada como item do produto, conforme exemplo do Manual do Proponente 2026, p. 47.]</t>
  </si>
  <si>
    <t xml:space="preserve">Audiodescrição da mostra (roteiro + narração ao vivo)</t>
  </si>
  <si>
    <t xml:space="preserve">2.300 – 4.500 – 9.000</t>
  </si>
  <si>
    <t xml:space="preserve">Acessibilidade comunicacional do evento aberto. [Acessibilidade de conteúdo lançada como item do produto, conforme exemplo do Manual do Proponente 2026, p. 47.]</t>
  </si>
  <si>
    <t xml:space="preserve">Janela de Libras e audiodescrição no vídeo-memória</t>
  </si>
  <si>
    <t xml:space="preserve">Registro online acessível – medida de ampliação de acesso art. 42, III. [Acessibilidade de conteúdo lançada como item do produto, conforme exemplo do Manual do Proponente 2026, p. 47.]</t>
  </si>
  <si>
    <t xml:space="preserve">Materiais pedagógicos em braille/ampliados</t>
  </si>
  <si>
    <t xml:space="preserve">Apostilas e programas acessíveis sob demanda. [Acessibilidade de conteúdo lançada como item do produto, conforme exemplo do Manual do Proponente 2026, p. 47.]</t>
  </si>
  <si>
    <t xml:space="preserve">Gestão de redes sociais e conteúdo acessível (legendas, descrição de imagens)</t>
  </si>
  <si>
    <t xml:space="preserve">1.200 – 2.500 – 4.000</t>
  </si>
  <si>
    <t xml:space="preserve">Campanha de inscrições e cobertura das oficinas e mostra. [Acessibilidade de conteúdo lançada como item do produto, conforme exemplo do Manual do Proponente 2026, p. 47.]</t>
  </si>
  <si>
    <t xml:space="preserve">INSS patronal 20% sobre pagamentos a pessoas físicas (RPA)</t>
  </si>
  <si>
    <t xml:space="preserve">20% x R$ 55.260 (base estimada de pagamentos a pessoas físicas: educadores R$28.080, monitores R$8.000, mediadores R$4.680, direção da mostra R$10.000, técnicos e montadores R$4.500). ISS não lançado: retido/embutido nas notas de prestadores PJ.</t>
  </si>
  <si>
    <t xml:space="preserve">Detalhamento interno dos custos vinculados – NÃO lançar itens no SALIC (só o percentual); usar para planejar a execução e a prestação de contas</t>
  </si>
  <si>
    <t xml:space="preserve">Componente</t>
  </si>
  <si>
    <t xml:space="preserve">Custo vinculado</t>
  </si>
  <si>
    <t xml:space="preserve">Referência de mercado</t>
  </si>
  <si>
    <t xml:space="preserve">Administração do projeto (custos vinculados)</t>
  </si>
  <si>
    <t xml:space="preserve">Custos de administração</t>
  </si>
  <si>
    <t xml:space="preserve">Elaboração da proposta cultural (contrato prévio)</t>
  </si>
  <si>
    <t xml:space="preserve">3.000 – 8.000 – 20.000</t>
  </si>
  <si>
    <t xml:space="preserve">2,4% do valor total; pago só após aprovação (art. 22, VIII).</t>
  </si>
  <si>
    <t xml:space="preserve">Elaboração de prestação de contas</t>
  </si>
  <si>
    <t xml:space="preserve">Art. 22, IX.</t>
  </si>
  <si>
    <t xml:space="preserve">Assistente administrativo-financeiro</t>
  </si>
  <si>
    <t xml:space="preserve">Pagamentos, contratos e documentação nos meses de maior volume (ago–out).</t>
  </si>
  <si>
    <t xml:space="preserve">Tarifas bancárias</t>
  </si>
  <si>
    <t xml:space="preserve">Contas captação/movimento.</t>
  </si>
  <si>
    <t xml:space="preserve">Material de escritório/expediente</t>
  </si>
  <si>
    <t xml:space="preserve">Impressão de listas de presença, fichas de inscrição e termos.</t>
  </si>
  <si>
    <t xml:space="preserve">Custos de acessibilidade, comunicação e divulgação</t>
  </si>
  <si>
    <t xml:space="preserve">Consultor(a) de acessibilidade (plano por núcleo, Guia MDHC, treinamento de educadores, adaptações sensoriais)</t>
  </si>
  <si>
    <t xml:space="preserve">Converte a diretriz do item 12 em protocolo; atenção a autistas e PcD.</t>
  </si>
  <si>
    <t xml:space="preserve">Equipe de apoio a PcD na mostra</t>
  </si>
  <si>
    <t xml:space="preserve">200 – 260 – 380</t>
  </si>
  <si>
    <t xml:space="preserve">3 monitores no dia da mostra.</t>
  </si>
  <si>
    <t xml:space="preserve">Designer gráfico (identidade visual e peças, com aplicação das marcas obrigatórias)</t>
  </si>
  <si>
    <t xml:space="preserve">2.500 – 4.000 – 7.000</t>
  </si>
  <si>
    <t xml:space="preserve">Identidade da Escola de Ofícios + peças de inscrição e da mostra; marcas Lei Rouanet/MinC/Governo Federal (art. 21).</t>
  </si>
  <si>
    <t xml:space="preserve">2.500 – 4.000 – 6.000</t>
  </si>
  <si>
    <t xml:space="preserve">Lançamento das inscrições e da mostra.</t>
  </si>
  <si>
    <t xml:space="preserve">Impulsionamento/mídia digital segmentada por território</t>
  </si>
  <si>
    <t xml:space="preserve">1.000 – 3.000 – 10.000</t>
  </si>
  <si>
    <t xml:space="preserve">Foco em jovens de periferias de BH/Contagem e escolas públicas.</t>
  </si>
  <si>
    <t xml:space="preserve">Impressão de cartazes A3</t>
  </si>
  <si>
    <t xml:space="preserve">Escolas, CRAS, centros culturais dos 3 territórios.</t>
  </si>
  <si>
    <t xml:space="preserve">Impressão de folders/filipetas</t>
  </si>
  <si>
    <t xml:space="preserve">4.000 unidades para mobilização comunitária.</t>
  </si>
  <si>
    <t xml:space="preserve">Banners/lonas de sinalização (núcleos e mostra)</t>
  </si>
  <si>
    <t xml:space="preserve">66 – 95 – 170</t>
  </si>
  <si>
    <t xml:space="preserve">abaixo da referência – confirmar viabilidade</t>
  </si>
  <si>
    <t xml:space="preserve">4 banners de 4 m².</t>
  </si>
  <si>
    <t xml:space="preserve">Custos de administração: detalhado x disponível pelo percentual</t>
  </si>
  <si>
    <t xml:space="preserve">Custos de acessibilidade, comunicação e divulgação: detalhado x disponível pelo percentual</t>
  </si>
  <si>
    <t xml:space="preserve">Colunas: B = detalhado; C = valor que o percentual libera; D = saldo (reserva).</t>
  </si>
  <si>
    <t xml:space="preserve">Premissas do orçamento</t>
  </si>
  <si>
    <t xml:space="preserve">• 9 turmas x 30 vagas; 24h por turma (8 encontros de 2h + 4h visita técnica + 4h mostra) = 216 horas-aula de educador titular.</t>
  </si>
  <si>
    <t xml:space="preserve">• Matriz adotada: Iluminação 3 turmas, Audiovisual 2, Figurino 2, Maquiagem 2; monitores técnicos apenas em iluminação e maquiagem.</t>
  </si>
  <si>
    <t xml:space="preserve">• Espaços dos núcleos e da mostra cedidos por parceiros (sem locação de imóvel); equipamentos didáticos locados.</t>
  </si>
  <si>
    <t xml:space="preserve">• 1 visita técnica por turma com ônibus fretado; 3 ônibus no dia da mostra.</t>
  </si>
  <si>
    <t xml:space="preserve">• Equipe de coordenação contratada como PJ/MEI; educadores, monitores, mediadores, direção da mostra, técnicos e montadores como PF (base do INSS 20%).</t>
  </si>
  <si>
    <t xml:space="preserve">• Execução jun–dez/2027 (2 meses de pré, 4 de produção, 1 de pós); contador por 7 meses.</t>
  </si>
  <si>
    <t xml:space="preserve">• Valores unitários do catálogo precos_base.csv, majoritariamente no valor de referência ou no piso da faixa.</t>
  </si>
  <si>
    <t xml:space="preserve">• Ajuste de fechamento: R$ -5.199,21 aplicado em 'Educadores(as) dos eixos – oficinas. visita e mostra' para fechar o valor total com percentuais inteiros,</t>
  </si>
  <si>
    <t xml:space="preserve">Versão mínima (valor 'Mín.' da planilha do cliente)</t>
  </si>
  <si>
    <t xml:space="preserve">Reduzir para 1 núcleo (central, ex.: CRJ) com 3 turmas (iluminação, figurino/maquiagem combinados e audiovisual) = 90 vagas, mantendo 24h por turma; eliminar coordenação técnica e assistente de produção (coordenação pedagógica acumula), reduzir coordenação geral para 4 meses em dedicação parcial; 3 visitas técnicas (1 ônibus por turma); mostra simplificada no próprio núcleo com grupo parceiro e luz/som pequeno porte; manter Libras na aula inaugural e na mostra, AD na mostra e vídeo com Libras; comunicação apenas digital + cartazes. Custos vinculados proporcionais (adm ~8%, acessibilidade/divulgação ~15%, captação 10%).</t>
  </si>
  <si>
    <t xml:space="preserve">P02 – Mestres e Aprendizes | Planilha orçamentária no padrão SALIC (IN MinC 29/2026)</t>
  </si>
  <si>
    <t xml:space="preserve">Aver Mídia / Aver Mídia / PJ</t>
  </si>
  <si>
    <t xml:space="preserve">Percursos continuados de transmissão de saberes tradicionais conduzidos por 4 mestres (4 turmas x 48h, 120 aprendizes) – Patrimônio Cultural / Salvaguarda do patrimônio cultural imaterial → Art. 18</t>
  </si>
  <si>
    <t xml:space="preserve">120 aprendizes (beneficiários diretos) + ~1.500 visitantes na exposição + alcance digital do catálogo/vídeos (contado à parte).</t>
  </si>
  <si>
    <t xml:space="preserve">Belo Horizonte e Região Metropolitana (municípios a definir conforme mestres) – MG.</t>
  </si>
  <si>
    <t xml:space="preserve">8 meses (jul/2027 a fev/2028)</t>
  </si>
  <si>
    <t xml:space="preserve">Percursos de transmissão de saberes – salvaguarda do patrimônio imaterial (principal)</t>
  </si>
  <si>
    <t xml:space="preserve">Coordenação geral (dedicação parcial)</t>
  </si>
  <si>
    <t xml:space="preserve">Jul/2027. Dedicação de ~50%: metade do piso da faixa (7.000) – projeto com 4 turmas semanais de 2h.</t>
  </si>
  <si>
    <t xml:space="preserve">Coordenação pedagógica/curatorial (dedicação parcial)</t>
  </si>
  <si>
    <t xml:space="preserve">Jul/2027: curadoria, convite aos mestres, plano formativo e protocolo de saberes sensíveis. ~60% de dedicação.</t>
  </si>
  <si>
    <t xml:space="preserve">Produtor(a) executivo(a) (dedicação parcial)</t>
  </si>
  <si>
    <t xml:space="preserve">Jul/2027: mapeamento e vistoria de espaços, cessões, compras.</t>
  </si>
  <si>
    <t xml:space="preserve">Pesquisa curatorial e dossiê de reconhecido valor cultural por saber (Anexo II 8.1.1–8.1.5)</t>
  </si>
  <si>
    <t xml:space="preserve">MG - Belo Horizonte e Região Metropolitana</t>
  </si>
  <si>
    <t xml:space="preserve">1 dossiê por saber (histórico, referências, registros, relatório do bem e justificativa) – exigido para o enquadramento em Patrimônio Cultural sem acautelamento formal.</t>
  </si>
  <si>
    <t xml:space="preserve">Articulação territorial (mobilização de escolas, comunidades e coletivos)</t>
  </si>
  <si>
    <t xml:space="preserve">Jul–ago/2027: reserva de vagas e mobilização; sem código no catálogo, abaixo de assistente de produção.</t>
  </si>
  <si>
    <t xml:space="preserve">Cachê dos mestres – participação na concepção do plano formativo e do protocolo de registro</t>
  </si>
  <si>
    <t xml:space="preserve">800 – 1.500 – 3.500</t>
  </si>
  <si>
    <t xml:space="preserve">4 mestres; garante participação dos detentores na concepção (pergunta específica 2).</t>
  </si>
  <si>
    <t xml:space="preserve">Ago/2027–jan/2028.</t>
  </si>
  <si>
    <t xml:space="preserve">Acompanhamento dos 4 percursos, encontros integrados e avaliação.</t>
  </si>
  <si>
    <t xml:space="preserve">Ago–dez/2027; em jan–fev a produção da exposição é coberta pela coordenação.</t>
  </si>
  <si>
    <t xml:space="preserve">Mestres(as) – condução dos percursos de transmissão (24 encontros de 2h por turma)</t>
  </si>
  <si>
    <t xml:space="preserve">4 mestres x 6 meses x R$2.800 (≈R$700 por encontro de 2h com preparação e acompanhamento). Faixa 2.500–4.500. [Linha de equilíbrio: ajustada em R$ -2,013.48 para fechar o valor total com os percentuais de custos vinculados escolhidos no SALIC.]</t>
  </si>
  <si>
    <t xml:space="preserve">Materiais e insumos por aprendiz (linhas, tecidos, argila, esmaltes, madeira, tintas, cordas)</t>
  </si>
  <si>
    <t xml:space="preserve">120 aprendizes x 48h de prática continuada; kit acima da referência por ser percurso de 6 meses.</t>
  </si>
  <si>
    <t xml:space="preserve">Serviço de queima de cerâmica (forno)</t>
  </si>
  <si>
    <t xml:space="preserve">Percurso de cerâmica; queimas das peças da exposição.</t>
  </si>
  <si>
    <t xml:space="preserve">Violas caipiras para o percurso de viola (aquisição justificada)</t>
  </si>
  <si>
    <t xml:space="preserve">10 instrumentos de estudo; aquisição mais econômica que 6 meses de locação (art. 30); destinação final declarada a ponto de cultura/escola pública.</t>
  </si>
  <si>
    <t xml:space="preserve">Ferramentas e EPIs (bastidores, estecas, formões, luvas, óculos)</t>
  </si>
  <si>
    <t xml:space="preserve">Segurança e prática nas linguagens com ferramentas cortantes.</t>
  </si>
  <si>
    <t xml:space="preserve">Lanche nos encontros integrados, vivências e acolhimento</t>
  </si>
  <si>
    <t xml:space="preserve">120 aprendizes x 6 encontros de maior duração.</t>
  </si>
  <si>
    <t xml:space="preserve">Ônibus para vivências comunitárias nos territórios dos mestres</t>
  </si>
  <si>
    <t xml:space="preserve">2 vivências (turmas reunidas) – encontros integrados previstos na metodologia.</t>
  </si>
  <si>
    <t xml:space="preserve">Van para transporte de materiais e mestres</t>
  </si>
  <si>
    <t xml:space="preserve">Distribuição de materiais/ferramentas aos 4 espaços e transporte dos mestres às vivências.</t>
  </si>
  <si>
    <t xml:space="preserve">Registro fotográfico dos percursos (com protocolo de saberes sensíveis)</t>
  </si>
  <si>
    <t xml:space="preserve">2 diárias por turma; base do catálogo e do acervo.</t>
  </si>
  <si>
    <t xml:space="preserve">Registro audiovisual (depoimentos e processos autorizados)</t>
  </si>
  <si>
    <t xml:space="preserve">Captação de depoimentos dos 4 mestres para vídeos de memória.</t>
  </si>
  <si>
    <t xml:space="preserve">Exposição Mestres e Aprendizes (secundário)</t>
  </si>
  <si>
    <t xml:space="preserve">Projeto expográfico e curadoria da exposição</t>
  </si>
  <si>
    <t xml:space="preserve">Projeto expográfico com layout e especificações (Anexo II 4.3), elaborado com os mestres.</t>
  </si>
  <si>
    <t xml:space="preserve">Mobiliário expositivo, suportes e montagem (verba de ajuste)</t>
  </si>
  <si>
    <t xml:space="preserve">Locação/confecção de bases, vitrines e suportes; linha usada para arredondamento ao valor-alvo.</t>
  </si>
  <si>
    <t xml:space="preserve">Montagem e desmontagem.</t>
  </si>
  <si>
    <t xml:space="preserve">Frete de peças e mobiliário</t>
  </si>
  <si>
    <t xml:space="preserve">1.200 – 1.500 – 2.500</t>
  </si>
  <si>
    <t xml:space="preserve">Transporte dos trabalhos dos 4 espaços ao local da exposição.</t>
  </si>
  <si>
    <t xml:space="preserve">Impressão de painéis expográficos e legendas</t>
  </si>
  <si>
    <t xml:space="preserve">Textos de parede com fonte ampliada e contraste.</t>
  </si>
  <si>
    <t xml:space="preserve">Mediadores culturais da exposição</t>
  </si>
  <si>
    <t xml:space="preserve">2 mediadores x 8 dias x 4h.</t>
  </si>
  <si>
    <t xml:space="preserve">Cachê dos mestres – demonstração/abertura da exposição</t>
  </si>
  <si>
    <t xml:space="preserve">Demonstração pública dos saberes na abertura (crédito e remuneração ao detentor).</t>
  </si>
  <si>
    <t xml:space="preserve">Seguro das peças expostas</t>
  </si>
  <si>
    <t xml:space="preserve">Peças dos mestres e aprendizes.</t>
  </si>
  <si>
    <t xml:space="preserve">Catálogo – textos, pesquisa e revisão</t>
  </si>
  <si>
    <t xml:space="preserve">Trajetórias, saberes e créditos aprovados pelos mestres.</t>
  </si>
  <si>
    <t xml:space="preserve">Catálogo – design editorial e versão digital acessível</t>
  </si>
  <si>
    <t xml:space="preserve">PDF acessível (texto alternativo) + arquivo para impressão.</t>
  </si>
  <si>
    <t xml:space="preserve">Catálogo – impressão (tiragem reduzida)</t>
  </si>
  <si>
    <t xml:space="preserve">exemplar</t>
  </si>
  <si>
    <t xml:space="preserve">120 exemplares: mestres, aprendizes, parceiros, bibliotecas públicas e doação de 10% (art. 42, I).</t>
  </si>
  <si>
    <t xml:space="preserve">Fev/2028: relatório e indicadores.</t>
  </si>
  <si>
    <t xml:space="preserve">Coordenação pedagógica – avaliação final e relatório de memória</t>
  </si>
  <si>
    <t xml:space="preserve">Consolidação das avaliações e relatos dos mestres.</t>
  </si>
  <si>
    <t xml:space="preserve">Edição de vídeos de memória (4 vídeos curtos + 1 síntese, legendados)</t>
  </si>
  <si>
    <t xml:space="preserve">Conteúdo autorizado pelos mestres, publicado gratuitamente.</t>
  </si>
  <si>
    <t xml:space="preserve">Organização e catalogação do acervo digital</t>
  </si>
  <si>
    <t xml:space="preserve">Inventário, nomenclatura, backup e matriz de permissões (pendência 21).</t>
  </si>
  <si>
    <t xml:space="preserve">Jul/2027–fev/2028.</t>
  </si>
  <si>
    <t xml:space="preserve">Assessoria jurídica (contratos dos mestres, termos de imagem/voz, anuências de saberes coletivos)</t>
  </si>
  <si>
    <t xml:space="preserve">Protocolo de direitos e saberes sensíveis (pendência 16).</t>
  </si>
  <si>
    <t xml:space="preserve">Intérprete de Libras (acolhimento, encontros integrados, abertura e visitas mediadas)</t>
  </si>
  <si>
    <t xml:space="preserve">Banco de 30h. [Acessibilidade de conteúdo lançada como item do produto, conforme exemplo do Manual do Proponente 2026, p. 47.]</t>
  </si>
  <si>
    <t xml:space="preserve">Audiodescrição da exposição (roteiro + audioguia)</t>
  </si>
  <si>
    <t xml:space="preserve">Acessibilidade comunicacional do produto secundário. [Acessibilidade de conteúdo lançada como item do produto, conforme exemplo do Manual do Proponente 2026, p. 47.]</t>
  </si>
  <si>
    <t xml:space="preserve">Recursos táteis e textos em braille/ampliados na exposição</t>
  </si>
  <si>
    <t xml:space="preserve">Legendas e etiquetas acessíveis. [Acessibilidade de conteúdo lançada como item do produto, conforme exemplo do Manual do Proponente 2026, p. 47.]</t>
  </si>
  <si>
    <t xml:space="preserve">20% x R$ 103.600 (base estimada de pagamentos a pessoas físicas: mestres R$79.200, dossiês R$7.200, articulação R$6.000, mediadores R$6.400, montadores R$1.800, textos do catálogo R$3.000). ISS não lançado: retido/embutido nas notas de prestadores PJ.</t>
  </si>
  <si>
    <t xml:space="preserve">2,5% do valor total; pago após aprovação.</t>
  </si>
  <si>
    <t xml:space="preserve">Meses de contratação e de encerramento.</t>
  </si>
  <si>
    <t xml:space="preserve">Listas de presença, termos e fichas.</t>
  </si>
  <si>
    <t xml:space="preserve">Consultor(a) de acessibilidade (espaços, exposição, Guia MDHC)</t>
  </si>
  <si>
    <t xml:space="preserve">Planejamento (jul) e exposição (fev).</t>
  </si>
  <si>
    <t xml:space="preserve">Equipe de apoio a PcD na exposição</t>
  </si>
  <si>
    <t xml:space="preserve">8 dias de exposição.</t>
  </si>
  <si>
    <t xml:space="preserve">Designer gráfico (identidade e peças, com marcas obrigatórias)</t>
  </si>
  <si>
    <t xml:space="preserve">Identidade que não use referências tradicionais como ornamento descontextualizado (item 19).</t>
  </si>
  <si>
    <t xml:space="preserve">Gestão de redes sociais e conteúdo acessível</t>
  </si>
  <si>
    <t xml:space="preserve">Inscrições, trajetórias dos mestres e exposição.</t>
  </si>
  <si>
    <t xml:space="preserve">Lançamento da exposição.</t>
  </si>
  <si>
    <t xml:space="preserve">Impulsionamento/mídia digital</t>
  </si>
  <si>
    <t xml:space="preserve">Inscrições e exposição.</t>
  </si>
  <si>
    <t xml:space="preserve">• 4 mestres, 4 turmas de até 30 aprendizes, 24 encontros de 2h (48h) por turma, 6 meses de formação (ago/2027–jan/2028).</t>
  </si>
  <si>
    <t xml:space="preserve">• Mestres remunerados por mês (R$ 2.800 ≈ R$ 700/encontro com preparação) + cachês de concepção e de demonstração na abertura.</t>
  </si>
  <si>
    <t xml:space="preserve">• Coordenação geral, pedagógica e produção em dedicação parcial (valores abaixo do piso do catálogo, justificados).</t>
  </si>
  <si>
    <t xml:space="preserve">• Espaços de formação e de exposição cedidos por parceiros; exposição de 8 dias com mediação.</t>
  </si>
  <si>
    <t xml:space="preserve">• Catálogo digital acessível + 120 exemplares impressos; 4 vídeos curtos + 1 síntese.</t>
  </si>
  <si>
    <t xml:space="preserve">• Mestres, pesquisadores, articulação, mediadores, montadores e redator como PF (base INSS 20%); demais PJ/MEI.</t>
  </si>
  <si>
    <t xml:space="preserve">• Ajuste de fechamento: R$ -2.013,48 aplicado em 'Mestres(as) – condução dos percursos de transmissão (24 encontros de 2h por turma)' para fechar o valor total com percentuais inteiros,</t>
  </si>
  <si>
    <t xml:space="preserve">2 mestres/2 turmas (60 aprendizes) mantendo 24 encontros de 2h; coordenação única (geral + pedagógica) em dedicação parcial e sem produtor executivo; materiais só dos 2 saberes; sem ônibus de vivências; exposição simplificada (1 semana) no espaço parceiro sem projeto expográfico contratado; catálogo apenas digital; registro fotográfico + 1 vídeo síntese; Libras na abertura e AD/recursos táteis na exposição; divulgação digital. Custos vinculados proporcionais.</t>
  </si>
  <si>
    <t xml:space="preserve">P03 – Cultura Viva nas Vilas | Planilha orçamentária no padrão SALIC (IN MinC 29/2026)</t>
  </si>
  <si>
    <t xml:space="preserve">IHV / IHV / PJ</t>
  </si>
  <si>
    <t xml:space="preserve">Oficinas de formação artística em cultura urbana – música e musicalidade, grafite e audiovisual (8 oficinas x 24h, 200 participantes) – Artes Visuais / Empreend Ações Educ-Cult/Capacitação/Treinamento → Art. 18</t>
  </si>
  <si>
    <t xml:space="preserve">200 participantes distintos nas oficinas + 800 a 1.000 participações de público nas 4 mostras.</t>
  </si>
  <si>
    <t xml:space="preserve">Belo Horizonte (Serra/Vila Marçola, Lagoinha, Cabana do Pai Tomás) e Contagem (Eldorado) – MG.</t>
  </si>
  <si>
    <t xml:space="preserve">6 meses (abr a set/2027)</t>
  </si>
  <si>
    <t xml:space="preserve">Oficinas de formação artística – música e musicalidade, grafite e audiovisual (principal)</t>
  </si>
  <si>
    <t xml:space="preserve">Abr–mai/2027: anuências, vistorias, contratações, inscrições. Dedicação ~40% (abaixo do piso de 7.000 por ser projeto de R$ 200 mil).</t>
  </si>
  <si>
    <t xml:space="preserve">Curadoria artística e coordenação pedagógica</t>
  </si>
  <si>
    <t xml:space="preserve">MG - Belo Horizonte (Vila Marçola, Lagoinha, Cabana do Pai Tomás) e Contagem (Eldorado)</t>
  </si>
  <si>
    <t xml:space="preserve">3.000 – 5.000 – 7.000</t>
  </si>
  <si>
    <t xml:space="preserve">Abr–mai/2027: mapeamento de artistas/Pontos de Cultura, seleção dos 6+ oficineiros, plano pedagógico (Anexo II 7.3). Funções unificadas; dedicação parcial.</t>
  </si>
  <si>
    <t xml:space="preserve">Jun–ago/2027: oficinas e mostras.</t>
  </si>
  <si>
    <t xml:space="preserve">Jun–ago/2027: logística dos 4 territórios, materiais e produção das 4 mostras. Dedicação parcial (abaixo do piso de 5.500).</t>
  </si>
  <si>
    <t xml:space="preserve">Jun–jul/2027: acompanhamento pedagógico e curadoria das mostras.</t>
  </si>
  <si>
    <t xml:space="preserve">Artistas-oficineiros(as) (música e musicalidade, grafite, audiovisual)</t>
  </si>
  <si>
    <t xml:space="preserve">8 oficinas x 24h (8 encontros semanais de 3h) x R$130; ≥6 profissionais, prioridade para artistas dos territórios. [Linha de equilíbrio: ajustada em R$ -2,652.24 para fechar o valor total com os percentuais de custos vinculados escolhidos no SALIC.]</t>
  </si>
  <si>
    <t xml:space="preserve">Materiais de grafite (tintas spray e base água, bicos, rolos, EPIs)</t>
  </si>
  <si>
    <t xml:space="preserve">3 oficinas de grafite x 25 participantes.</t>
  </si>
  <si>
    <t xml:space="preserve">Materiais de consumo – música e audiovisual (cabos, baquetas, cordas, cartões de memória)</t>
  </si>
  <si>
    <t xml:space="preserve">3 oficinas de música + 2 de audiovisual x 25 participantes (piso da faixa).</t>
  </si>
  <si>
    <t xml:space="preserve">Locação de equipamentos audiovisuais (câmeras, microfones, tripés, notebook de edição)</t>
  </si>
  <si>
    <t xml:space="preserve">2 oficinas de audiovisual x 6 encontros práticos; produção dos curtas exibidos nas mostras.</t>
  </si>
  <si>
    <t xml:space="preserve">Locação de instrumentos e equipamento de som para oficinas de música</t>
  </si>
  <si>
    <t xml:space="preserve">kit/mês</t>
  </si>
  <si>
    <t xml:space="preserve">3 oficinas x 2 meses (percussão, teclado, caixa amplificada, controladora).</t>
  </si>
  <si>
    <t xml:space="preserve">Superfícies para painéis de grafite (compensado naval tratado) – quando não houver muro autorizado</t>
  </si>
  <si>
    <t xml:space="preserve">Painéis móveis expostos nas mostras; evita intervenção sem autorização dos espaços.</t>
  </si>
  <si>
    <t xml:space="preserve">200 participantes x 6 encontros (prioridade aos encontros vespertinos/noturnos) x R$8.</t>
  </si>
  <si>
    <t xml:space="preserve">Seguro de acidentes pessoais dos participantes (12 a 29 anos)</t>
  </si>
  <si>
    <t xml:space="preserve">Participantes menores de idade em atividades práticas.</t>
  </si>
  <si>
    <t xml:space="preserve">Registro fotográfico das oficinas e mostras</t>
  </si>
  <si>
    <t xml:space="preserve">2 diárias nas oficinas + 4 mostras.</t>
  </si>
  <si>
    <t xml:space="preserve">Mostras territoriais (secundário)</t>
  </si>
  <si>
    <t xml:space="preserve">Locação de sonorização pequeno porte (mostras)</t>
  </si>
  <si>
    <t xml:space="preserve">1 diária por mostra (piso da faixa).</t>
  </si>
  <si>
    <t xml:space="preserve">Locação de projetor e tela (exibição dos curtas)</t>
  </si>
  <si>
    <t xml:space="preserve">1 diária por mostra.</t>
  </si>
  <si>
    <t xml:space="preserve">Montador(a)</t>
  </si>
  <si>
    <t xml:space="preserve">Montagem de painéis, som e projeção.</t>
  </si>
  <si>
    <t xml:space="preserve">Cachê de artista local convidado(a) por mostra</t>
  </si>
  <si>
    <t xml:space="preserve">1.250 – 3.500 – 25.000</t>
  </si>
  <si>
    <t xml:space="preserve">1 artista do território por mostra, valorizando a cena local (piso da faixa).</t>
  </si>
  <si>
    <t xml:space="preserve">Materiais de montagem e sinalização das mostras (verba de ajuste)</t>
  </si>
  <si>
    <t xml:space="preserve">Fixação de painéis, extensões, fitas, sinalização; linha usada para arredondamento ao valor-alvo.</t>
  </si>
  <si>
    <t xml:space="preserve">Set/2027: relatórios por território, indicadores deduplicados.</t>
  </si>
  <si>
    <t xml:space="preserve">Edição de vídeo-síntese (com legendas)</t>
  </si>
  <si>
    <t xml:space="preserve">Registro das oficinas e mostras, publicado gratuitamente.</t>
  </si>
  <si>
    <t xml:space="preserve">Abr–set/2027.</t>
  </si>
  <si>
    <t xml:space="preserve">Intérprete de Libras nas mostras</t>
  </si>
  <si>
    <t xml:space="preserve">Dupla por mostra (turno até 4h). [Acessibilidade de conteúdo lançada como item do produto, conforme exemplo do Manual do Proponente 2026, p. 47.]</t>
  </si>
  <si>
    <t xml:space="preserve">Audiodescrição das mostras (roteiro base + narração)</t>
  </si>
  <si>
    <t xml:space="preserve">Roteiro dos painéis/curtas reaproveitado nas 4 mostras; 2 serviços no piso da faixa. [Acessibilidade de conteúdo lançada como item do produto, conforme exemplo do Manual do Proponente 2026, p. 47.]</t>
  </si>
  <si>
    <t xml:space="preserve">20% x R$ 50.160 (base estimada de pagamentos a pessoas físicas: oficineiros R$24.960, curadoria/coordenação pedagógica R$16.000, artistas locais R$6.000, técnico e montador R$3.200). ISS não lançado: retido/embutido nas notas de prestadores PJ.</t>
  </si>
  <si>
    <t xml:space="preserve">2% do valor total; pago após aprovação.</t>
  </si>
  <si>
    <t xml:space="preserve">Listas de presença, termos de menores.</t>
  </si>
  <si>
    <t xml:space="preserve">Consultoria de acessibilidade (vistoria dos 4 espaços, plano, orientação da equipe – Guia MDHC)</t>
  </si>
  <si>
    <t xml:space="preserve">1 mês concentrado na preparação.</t>
  </si>
  <si>
    <t xml:space="preserve">Equipe de apoio a PcD nas mostras</t>
  </si>
  <si>
    <t xml:space="preserve">1 monitor por mostra.</t>
  </si>
  <si>
    <t xml:space="preserve">Inscrições (mai) e mostras (ago).</t>
  </si>
  <si>
    <t xml:space="preserve">Escolas e equipamentos dos 4 territórios.</t>
  </si>
  <si>
    <t xml:space="preserve">Segmentado por território.</t>
  </si>
  <si>
    <t xml:space="preserve">• 8 oficinas (3 música, 3 grafite, 2 audiovisual) x 25 vagas x 8 encontros de 3h = 192 horas de oficineiro.</t>
  </si>
  <si>
    <t xml:space="preserve">• 4 mostras de 1 dia em espaços cedidos; som pequeno porte, projetor, 1 artista local convidado por mostra.</t>
  </si>
  <si>
    <t xml:space="preserve">• Curadoria artística e coordenação pedagógica unificadas em uma função (dedicação parcial); coordenação geral e produção em dedicação parcial (abaixo do piso de referência) por ser projeto de R$ 200 mil.</t>
  </si>
  <si>
    <t xml:space="preserve">• Lanche em 6 dos 8 encontros; seguro de acidentes pessoais para participantes.</t>
  </si>
  <si>
    <t xml:space="preserve">• Oficineiros, curadoria, artistas locais, técnico e montador como PF (base INSS); coordenação e produção como PJ/MEI.</t>
  </si>
  <si>
    <t xml:space="preserve">• Execução abr–set/2027 (pré abr–mai, produção jun–ago, pós set).</t>
  </si>
  <si>
    <t xml:space="preserve">• Ajuste de fechamento: R$ -2.652,24 aplicado em 'Artistas-oficineiros(as) (música e musicalidade. grafite. audiovisual)' para fechar o valor total com percentuais inteiros,</t>
  </si>
  <si>
    <t xml:space="preserve">Atender 2 territórios com 1 oficina cada (ex.: grafite na Vila Marçola e audiovisual na Cabana) = 50 participantes, 24h cada; 2 mostras simplificadas no próprio espaço; coordenação geral acumulando produção e curadoria; sem artista convidado; materiais apenas das 2 linguagens; Libras e apoio PcD nas 2 mostras; divulgação digital e cartazes. Custos vinculados proporcionais.</t>
  </si>
  <si>
    <t xml:space="preserve">P04 – Cena Mineira em Movimento | Planilha orçamentária no padrão SALIC (IN MinC 29/2026)</t>
  </si>
  <si>
    <t xml:space="preserve">Mobox / Mobox / PJ</t>
  </si>
  <si>
    <t xml:space="preserve">Circulação de 4 espetáculos mineiros de teatro/dança – 24 apresentações gratuitas em 12 municípios – Artes Cênicas / Apresentação ou Performance de Teatro → Art. 18</t>
  </si>
  <si>
    <t xml:space="preserve">~7.200 espectadores (24 sessões x ~300) + 840 vagas em oficinas (24 x 35).</t>
  </si>
  <si>
    <t xml:space="preserve">Ouro Preto, Mariana, Congonhas, Conselheiro Lafaiete, Pará de Minas, Itaúna, Divinópolis, Formiga, Curvelo, Diamantina, Montes Claros e Janaúba – MG (reservas: Sete Lagoas, João Monlevade, Ipatinga, Timóteo, Caratinga, Gov. Valadares).</t>
  </si>
  <si>
    <t xml:space="preserve">8 meses (abr a nov/2027)</t>
  </si>
  <si>
    <t xml:space="preserve">Circulação de espetáculos – Apresentação ou Performance de Teatro/Dança (principal)</t>
  </si>
  <si>
    <t xml:space="preserve">Coordenação geral</t>
  </si>
  <si>
    <t xml:space="preserve">MG - Belo Horizonte (sede)</t>
  </si>
  <si>
    <t xml:space="preserve">Abr–jun/2027: articulação com 12 prefeituras, chamada pública, contratações.</t>
  </si>
  <si>
    <t xml:space="preserve">Abr–jun/2027: plano logístico, cotações, contratos.</t>
  </si>
  <si>
    <t xml:space="preserve">Curador(a)-coordenador(a) da seleção artística</t>
  </si>
  <si>
    <t xml:space="preserve">Mai/2027: chamada pública + convites, análise e seleção dos 4 espetáculos.</t>
  </si>
  <si>
    <t xml:space="preserve">Pareceristas da comissão de seleção</t>
  </si>
  <si>
    <t xml:space="preserve">2 pareceristas externos (teatro e dança) para a chamada pública.</t>
  </si>
  <si>
    <t xml:space="preserve">Coordenação técnica – levantamento de riders e fichas técnicas dos 12 espaços</t>
  </si>
  <si>
    <t xml:space="preserve">Jun/2027: compatibilização riders x equipamentos; sem código, valor de produtor executivo.</t>
  </si>
  <si>
    <t xml:space="preserve">Visitas técnicas aos municípios – van com motorista</t>
  </si>
  <si>
    <t xml:space="preserve">MG - 12 municípios (Ouro Preto, Mariana, Congonhas, Cons. Lafaiete, Pará de Minas, Itaúna, Divinópolis, Formiga, Curvelo, Diamantina, Montes Claros, Janaúba)</t>
  </si>
  <si>
    <t xml:space="preserve">Rota pelos 3 eixos para vistoria técnica e de acessibilidade dos espaços.</t>
  </si>
  <si>
    <t xml:space="preserve">Visitas técnicas – hospedagem</t>
  </si>
  <si>
    <t xml:space="preserve">diária/pessoa</t>
  </si>
  <si>
    <t xml:space="preserve">130 – 180 – 250</t>
  </si>
  <si>
    <t xml:space="preserve">2 pessoas x 6 noites.</t>
  </si>
  <si>
    <t xml:space="preserve">Visitas técnicas – alimentação</t>
  </si>
  <si>
    <t xml:space="preserve">55 – 75 – 110</t>
  </si>
  <si>
    <t xml:space="preserve">2 pessoas x 6 dias.</t>
  </si>
  <si>
    <t xml:space="preserve">Jul–out/2027: circulação pelos 3 eixos.</t>
  </si>
  <si>
    <t xml:space="preserve">Jul–out/2027.</t>
  </si>
  <si>
    <t xml:space="preserve">Coordenação técnica da circulação</t>
  </si>
  <si>
    <t xml:space="preserve">Jul–out/2027: montagem, segurança e operação em 12 espaços.</t>
  </si>
  <si>
    <t xml:space="preserve">Produtor(a) de circulação (road manager)</t>
  </si>
  <si>
    <t xml:space="preserve">Acompanha as companhias em trânsito; piso da faixa de produtor executivo.</t>
  </si>
  <si>
    <t xml:space="preserve">Cachê por apresentação – 4 companhias mineiras (24 apresentações)</t>
  </si>
  <si>
    <t xml:space="preserve">4 espetáculos x 6 apresentações; 2 sessões por cidade no mesmo dia (matinê escolar + noturna); inclui direitos de texto/encenação (autorização do autor – Anexo II 3.3). Abaixo do valor de referência (8.000) pela dupla sessão. [Linha de equilíbrio: ajustada em R$ -12,662.58 para fechar o valor total com os percentuais de custos vinculados escolhidos no SALIC.]</t>
  </si>
  <si>
    <t xml:space="preserve">Produtor(a) local</t>
  </si>
  <si>
    <t xml:space="preserve">200 – 350 – 550</t>
  </si>
  <si>
    <t xml:space="preserve">1 por município x 2 diárias (mobilização e dia de apresentações).</t>
  </si>
  <si>
    <t xml:space="preserve">Técnico(a) de luz</t>
  </si>
  <si>
    <t xml:space="preserve">12 dias de apresentação + 4 diárias de deslocamento/montagem antecipada.</t>
  </si>
  <si>
    <t xml:space="preserve">Idem.</t>
  </si>
  <si>
    <t xml:space="preserve">Montadores/carregadores locais</t>
  </si>
  <si>
    <t xml:space="preserve">2 por município.</t>
  </si>
  <si>
    <t xml:space="preserve">Complementação de iluminação cênica (pequeno porte)</t>
  </si>
  <si>
    <t xml:space="preserve">1 diária por município (2 sessões/dia); complementa o equipamento dos teatros municipais. Piso da faixa.</t>
  </si>
  <si>
    <t xml:space="preserve">Complementação de sonorização (pequeno porte)</t>
  </si>
  <si>
    <t xml:space="preserve">1 diária por município.</t>
  </si>
  <si>
    <t xml:space="preserve">Van com motorista – transporte das companhias</t>
  </si>
  <si>
    <t xml:space="preserve">4 companhias x 5 diárias (rota de 3 cidades do eixo + retorno).</t>
  </si>
  <si>
    <t xml:space="preserve">Van com motorista – equipe técnica e de produção central</t>
  </si>
  <si>
    <t xml:space="preserve">Acompanha os 12 municípios (12 dias de apresentação + 12 de deslocamento).</t>
  </si>
  <si>
    <t xml:space="preserve">Frete de cenários, figurinos e equipamentos</t>
  </si>
  <si>
    <t xml:space="preserve">1 diária de frete por município (cenários das 4 companhias).</t>
  </si>
  <si>
    <t xml:space="preserve">Hospedagem – elencos e técnicos das companhias</t>
  </si>
  <si>
    <t xml:space="preserve">4 companhias x 7 pessoas x 4 noites.</t>
  </si>
  <si>
    <t xml:space="preserve">Hospedagem – equipe central</t>
  </si>
  <si>
    <t xml:space="preserve">5 pessoas (coord. técnica, 2 técnicos, produtor de circulação, fotógrafo) x 22 noites.</t>
  </si>
  <si>
    <t xml:space="preserve">Alimentação – companhias</t>
  </si>
  <si>
    <t xml:space="preserve">28 pessoas x 5 dias.</t>
  </si>
  <si>
    <t xml:space="preserve">Alimentação – equipe central</t>
  </si>
  <si>
    <t xml:space="preserve">5 pessoas x 24 dias.</t>
  </si>
  <si>
    <t xml:space="preserve">12 dias de apresentação + 4 de oficinas em cidades-chave.</t>
  </si>
  <si>
    <t xml:space="preserve">Registro audiovisual (captação multicâmera de espetáculos)</t>
  </si>
  <si>
    <t xml:space="preserve">6 sessões captadas integralmente para publicação com Libras e AD (art. 42, III) e memória.</t>
  </si>
  <si>
    <t xml:space="preserve">Seguro (acidentes pessoais e responsabilidade civil)</t>
  </si>
  <si>
    <t xml:space="preserve">Equipe em trânsito e eventos públicos.</t>
  </si>
  <si>
    <t xml:space="preserve">ECAD (trilhas sonoras em sessões gratuitas)</t>
  </si>
  <si>
    <t xml:space="preserve">Conforme regulamento para eventos gratuitos.</t>
  </si>
  <si>
    <t xml:space="preserve">1 por município quando o espaço não dispuser.</t>
  </si>
  <si>
    <t xml:space="preserve">Oficinas de artes cênicas (secundário)</t>
  </si>
  <si>
    <t xml:space="preserve">Artistas-oficineiros(as) das companhias</t>
  </si>
  <si>
    <t xml:space="preserve">24 oficinas x 3h x 2 artistas (dupla para turmas de 30–40); recomenda-se 3h em vez das 2h do texto.</t>
  </si>
  <si>
    <t xml:space="preserve">Material de apoio às oficinas (verba de ajuste)</t>
  </si>
  <si>
    <t xml:space="preserve">Tecidos, colchonetes locados, materiais de expressão corporal; linha usada para arredondamento ao valor-alvo.</t>
  </si>
  <si>
    <t xml:space="preserve">Nov/2027: relatórios, indicadores, clipping.</t>
  </si>
  <si>
    <t xml:space="preserve">Nov/2027: documentação e comprovações.</t>
  </si>
  <si>
    <t xml:space="preserve">Edição e finalização audiovisual (vídeo-memória + 6 registros de espetáculos)</t>
  </si>
  <si>
    <t xml:space="preserve">ACIMA da referência – justificar/cotar</t>
  </si>
  <si>
    <t xml:space="preserve">Material para publicação gratuita na internet.</t>
  </si>
  <si>
    <t xml:space="preserve">Abr–nov/2027.</t>
  </si>
  <si>
    <t xml:space="preserve">Assessoria jurídica (chamada pública, contratos com 4 companhias e 12 municípios, direitos autorais)</t>
  </si>
  <si>
    <t xml:space="preserve">Intérprete de Libras (dupla) por apresentação</t>
  </si>
  <si>
    <t xml:space="preserve">Todas as 24 sessões. [Acessibilidade de conteúdo lançada como item do produto, conforme exemplo do Manual do Proponente 2026, p. 47.]</t>
  </si>
  <si>
    <t xml:space="preserve">Audiodescrição – roteiro por espetáculo</t>
  </si>
  <si>
    <t xml:space="preserve">4 roteiros. [Acessibilidade de conteúdo lançada como item do produto, conforme exemplo do Manual do Proponente 2026, p. 47.]</t>
  </si>
  <si>
    <t xml:space="preserve">Audiodescrição – narração ao vivo</t>
  </si>
  <si>
    <t xml:space="preserve">1 sessão com AD por município. [Acessibilidade de conteúdo lançada como item do produto, conforme exemplo do Manual do Proponente 2026, p. 47.]</t>
  </si>
  <si>
    <t xml:space="preserve">Janela de Libras e AD nos vídeos publicados</t>
  </si>
  <si>
    <t xml:space="preserve">Medida de ampliação de acesso art. 42, III. [Acessibilidade de conteúdo lançada como item do produto, conforme exemplo do Manual do Proponente 2026, p. 47.]</t>
  </si>
  <si>
    <t xml:space="preserve">Programas em braille/ampliados</t>
  </si>
  <si>
    <t xml:space="preserve">[Acessibilidade de conteúdo lançada como item do produto, conforme exemplo do Manual do Proponente 2026, p. 47.]</t>
  </si>
  <si>
    <t xml:space="preserve">20% x R$ 72.200 (base estimada de pagamentos a pessoas físicas: curadoria R$11.000, produtores locais R$10.800, técnicos R$21.600, montadores R$7.200, oficineiros R$21.600). ISS não lançado: retido/embutido nas notas de prestadores PJ.</t>
  </si>
  <si>
    <t xml:space="preserve">Abr–nov/2027: alto volume de pagamentos (diárias, fretes, 12 municípios).</t>
  </si>
  <si>
    <t xml:space="preserve">Consultor(a)/coordenador(a) de acessibilidade</t>
  </si>
  <si>
    <t xml:space="preserve">Plano por espaço e espetáculo (Guia MDHC) e supervisão na circulação.</t>
  </si>
  <si>
    <t xml:space="preserve">Equipe de apoio a PcD</t>
  </si>
  <si>
    <t xml:space="preserve">2 monitores por município.</t>
  </si>
  <si>
    <t xml:space="preserve">Rampas/pisos modulares (espaços sem acessibilidade plena)</t>
  </si>
  <si>
    <t xml:space="preserve">Reserva para 2 municípios.</t>
  </si>
  <si>
    <t xml:space="preserve">Designer gráfico (identidade, peças por cidade, marcas obrigatórias)</t>
  </si>
  <si>
    <t xml:space="preserve">Assessoria de imprensa (estadual e regional)</t>
  </si>
  <si>
    <t xml:space="preserve">Impulsionamento/mídia digital regional</t>
  </si>
  <si>
    <t xml:space="preserve">Segmentação por município.</t>
  </si>
  <si>
    <t xml:space="preserve">100 por município.</t>
  </si>
  <si>
    <t xml:space="preserve">500 por município.</t>
  </si>
  <si>
    <t xml:space="preserve">Banners/lonas de fachada</t>
  </si>
  <si>
    <t xml:space="preserve">4 m² por município.</t>
  </si>
  <si>
    <t xml:space="preserve">• 4 espetáculos x 6 apresentações = 24 apresentações em 12 municípios (2 sessões por cidade no mesmo dia: matinê escolar e noturna).</t>
  </si>
  <si>
    <t xml:space="preserve">• Cada espetáculo circula por 3 municípios de um eixo; companhias com até 7 pessoas em viagem; 4 noites e 5 diárias de van por companhia.</t>
  </si>
  <si>
    <t xml:space="preserve">• 24 oficinas de 3h (2 por município) conduzidas por dupla de artistas das companhias.</t>
  </si>
  <si>
    <t xml:space="preserve">• Espaços cedidos pelas prefeituras; projeto complementa luz e som (pequeno porte) e frete de cenário.</t>
  </si>
  <si>
    <t xml:space="preserve">• Equipe central de 5 pessoas viajando 24 dias (12 de apresentação + 12 de deslocamento).</t>
  </si>
  <si>
    <t xml:space="preserve">• Cachê de R$ 6.000 por apresentação, inclusos direitos de encenação; companhias contratadas como PJ/MEI.</t>
  </si>
  <si>
    <t xml:space="preserve">• Curadoria, produtores locais, técnicos, montadores e oficineiros como PF (base INSS 20%).</t>
  </si>
  <si>
    <t xml:space="preserve">• Execução abr–nov/2027 (pré abr–jun, circulação jul–out, pós nov).</t>
  </si>
  <si>
    <t xml:space="preserve">• Ajuste de fechamento: R$ -12.662,58 aplicado em 'Cachê por apresentação – 4 companhias mineiras (24 apresentações)' para fechar o valor total com percentuais inteiros,</t>
  </si>
  <si>
    <t xml:space="preserve">Somente o Eixo Histórico (Ouro Preto, Mariana, Congonhas, Cons. Lafaiete – menor distância de BH): 2 espetáculos x 4 apresentações = 8 sessões (2 por cidade) e 4 oficinas; seleção por convite (sem chamada pública/pareceristas); equipe central de 3 pessoas; coordenação e produção acumuladas por 5 meses; registro fotográfico + 2 sessões filmadas; Libras em todas as sessões e AD em 1 por cidade; divulgação regional digital. Custos vinculados proporcionais.</t>
  </si>
  <si>
    <t xml:space="preserve">P05 – Sons do Congado | Planilha orçamentária no padrão SALIC (IN MinC 29/2026)</t>
  </si>
  <si>
    <t xml:space="preserve">Ado Viana (pessoa física) / Ado Viana / PF</t>
  </si>
  <si>
    <t xml:space="preserve">Álbum Sons do Congado como registro sonoro de salvaguarda: gravação de campo com 4 guardas (12 faixas), repertório e limites de registro definidos pelos mestres, devolução às comunidades e difusão gratuita. – Patrimônio Cultural / Salvaguarda do patrimônio cultural imaterial → Art. 18</t>
  </si>
  <si>
    <t xml:space="preserve">4 guardas (~60 integrantes) e 4 mestres no álbum; ~120 participantes únicos nas oficinas (180 participações); ~400 pessoas na apresentação final; 300 CDs distribuídos gratuitamente. Ouvintes digitais não contam como beneficiários.</t>
  </si>
  <si>
    <t xml:space="preserve">RMBH (Belo Horizonte e mais 1 município de guarda) + 2 municípios do interior de origem das guardas (a definir).</t>
  </si>
  <si>
    <t xml:space="preserve">7 meses (abr-out/2027), mais a prestação de contas.</t>
  </si>
  <si>
    <t xml:space="preserve">PF ou a confirmar (testado como PF)</t>
  </si>
  <si>
    <t xml:space="preserve">Álbum Sons do Congado – registro sonoro de salvaguarda (principal)</t>
  </si>
  <si>
    <t xml:space="preserve">Coordenação geral (mapeamento, articulação e pactuação com as guardas)</t>
  </si>
  <si>
    <t xml:space="preserve">MG - Belo Horizonte (RMBH)</t>
  </si>
  <si>
    <t xml:space="preserve">2 meses de pré-produção (abr-mai/2027); valor abaixo da referência (9.000) pelo porte do projeto.</t>
  </si>
  <si>
    <t xml:space="preserve">Articulador(a) comunitário(a)/pesquisador(a) em cultura popular – mapeamento, escuta e protocolo de consentimento</t>
  </si>
  <si>
    <t xml:space="preserve">MG - Municípios de origem das guardas (RMBH e interior)</t>
  </si>
  <si>
    <t xml:space="preserve">Reuniões de escuta e pactuação com 4 guardas e mestres (metodologia 9.1-9.3 da proposta); referência COORDPED/DIRARTM em faixa inferior.</t>
  </si>
  <si>
    <t xml:space="preserve">Locação de van com motorista – visitas de articulação às comunidades</t>
  </si>
  <si>
    <t xml:space="preserve">4 visitas (1 por guarda) para reuniões de escuta e coleta de anuências.</t>
  </si>
  <si>
    <t xml:space="preserve">Jun-ago/2027: oficinas, gravação e apresentação.</t>
  </si>
  <si>
    <t xml:space="preserve">Articulador(a) comunitário(a) – acompanhamento das guardas</t>
  </si>
  <si>
    <t xml:space="preserve">Mediação com as comunidades durante gravação e devolutiva.</t>
  </si>
  <si>
    <t xml:space="preserve">Direção musical/produção fonográfica do álbum</t>
  </si>
  <si>
    <t xml:space="preserve">Condução técnica das sessões, respeitando o repertório definido pelos mestres; referência DIRMUS (8.000-20.000).</t>
  </si>
  <si>
    <t xml:space="preserve">Cachê das guardas de Congado – sessões de gravação</t>
  </si>
  <si>
    <t xml:space="preserve">4 guardas x 1 sessão; referência GRUPOTRAD (2.500-8.000), muito abaixo do teto de R$ 50 mil por grupo (IN 29, art. 26, II). [Linha de equilíbrio: ajustada em R$ -2,702.53 para fechar o valor total com os percentuais de custos vinculados escolhidos no SALIC.]</t>
  </si>
  <si>
    <t xml:space="preserve">Cachê de mestres – curadoria do repertório e condução das sessões</t>
  </si>
  <si>
    <t xml:space="preserve">1 mestre por guarda; referência MESTRE (teto R$ 25 mil).</t>
  </si>
  <si>
    <t xml:space="preserve">Gravação de campo – unidade móvel de gravação multicanal com técnico</t>
  </si>
  <si>
    <t xml:space="preserve">Gravação no território/sede de cada guarda (4 diárias), evitando deslocar grupos de 15-20 integrantes e respeitando o contexto ritual; cotação a anexar.</t>
  </si>
  <si>
    <t xml:space="preserve">Locação de estúdio – vozes complementares e edições</t>
  </si>
  <si>
    <t xml:space="preserve">1 diária de estúdio na RMBH; cotação a anexar.</t>
  </si>
  <si>
    <t xml:space="preserve">Técnico de som assistente (gravação)</t>
  </si>
  <si>
    <t xml:space="preserve">Apoio técnico nas 4 sessões de campo.</t>
  </si>
  <si>
    <t xml:space="preserve">Alimentação dos integrantes das guardas nos dias de gravação</t>
  </si>
  <si>
    <t xml:space="preserve">4 guardas x 15 integrantes x 1 dia.</t>
  </si>
  <si>
    <t xml:space="preserve">Hospedagem da equipe técnica (gravações no interior)</t>
  </si>
  <si>
    <t xml:space="preserve">4 profissionais x 2 pernoites (2 guardas fora da RMBH).</t>
  </si>
  <si>
    <t xml:space="preserve">Alimentação da equipe técnica</t>
  </si>
  <si>
    <t xml:space="preserve">4 profissionais x 5 dias (4 de campo + 1 de estúdio).</t>
  </si>
  <si>
    <t xml:space="preserve">Locação de van com motorista – deslocamento da equipe e equipamentos de gravação</t>
  </si>
  <si>
    <t xml:space="preserve">4 diárias de campo + 1 de estúdio.</t>
  </si>
  <si>
    <t xml:space="preserve">Oficinas de transmissão de saberes com mestres (secundário)</t>
  </si>
  <si>
    <t xml:space="preserve">Cachê de mestres – oficinas/encontros de transmissão de saberes</t>
  </si>
  <si>
    <t xml:space="preserve">6 oficinas de 4h conduzidas por mestres (ações educativo-culturais de mestres, Anexo I, IV), com apoio de integrantes experientes das guardas.</t>
  </si>
  <si>
    <t xml:space="preserve">Locação de van – transporte de jovens das irmandades às oficinas</t>
  </si>
  <si>
    <t xml:space="preserve">1 diária por oficina.</t>
  </si>
  <si>
    <t xml:space="preserve">Lanche para participantes das oficinas</t>
  </si>
  <si>
    <t xml:space="preserve">6 oficinas x 30 participantes.</t>
  </si>
  <si>
    <t xml:space="preserve">Material de apoio às oficinas (cadernos, impressos autorizados, cópias de áudio)</t>
  </si>
  <si>
    <t xml:space="preserve">120 participantes únicos estimados; abaixo da referência.</t>
  </si>
  <si>
    <t xml:space="preserve">Apresentação final gratuita de devolutiva (secundário)</t>
  </si>
  <si>
    <t xml:space="preserve">Cachê das guardas – apresentação final de devolutiva</t>
  </si>
  <si>
    <t xml:space="preserve">4 guardas x 1 apresentação; referência GRUPOTRAD.</t>
  </si>
  <si>
    <t xml:space="preserve">Locação de ônibus – transporte das guardas do interior</t>
  </si>
  <si>
    <t xml:space="preserve">2 guardas fora da RMBH.</t>
  </si>
  <si>
    <t xml:space="preserve">Locação de van – transporte das guardas da RMBH</t>
  </si>
  <si>
    <t xml:space="preserve">2 guardas da RMBH.</t>
  </si>
  <si>
    <t xml:space="preserve">Alimentação dos integrantes das guardas – dia da apresentação</t>
  </si>
  <si>
    <t xml:space="preserve">4 guardas x 15 integrantes.</t>
  </si>
  <si>
    <t xml:space="preserve">Locação de sonorização pequeno porte</t>
  </si>
  <si>
    <t xml:space="preserve">Apresentação em equipamento cultural público com palco e energia (anuência a obter); público estimado de 400 pessoas.</t>
  </si>
  <si>
    <t xml:space="preserve">Locação de iluminação pequeno porte</t>
  </si>
  <si>
    <t xml:space="preserve">Técnico de som</t>
  </si>
  <si>
    <t xml:space="preserve">Montador/roadie</t>
  </si>
  <si>
    <t xml:space="preserve">Segurança/controlador de acesso</t>
  </si>
  <si>
    <t xml:space="preserve">290 – 400 – 560</t>
  </si>
  <si>
    <t xml:space="preserve">Brigadista/socorrista</t>
  </si>
  <si>
    <t xml:space="preserve">Taxas e alvarás</t>
  </si>
  <si>
    <t xml:space="preserve">300 – 1.500 – 5.000</t>
  </si>
  <si>
    <t xml:space="preserve">Custos gerais do projeto</t>
  </si>
  <si>
    <t xml:space="preserve">Seguro de acidentes pessoais/RC (gravações, oficinas e apresentação)</t>
  </si>
  <si>
    <t xml:space="preserve">Minidocumentário e acervo digital (secundário)</t>
  </si>
  <si>
    <t xml:space="preserve">Direção e roteiro do minidocumentário (~15 min)</t>
  </si>
  <si>
    <t xml:space="preserve">Tratamento integrado às gravações; cotação a anexar.</t>
  </si>
  <si>
    <t xml:space="preserve">Registro audiovisual (captação)</t>
  </si>
  <si>
    <t xml:space="preserve">2 sessões de gravação, 1 oficina e apresentação final.</t>
  </si>
  <si>
    <t xml:space="preserve">Coordenação geral – pós-produção, devolutiva e relatórios</t>
  </si>
  <si>
    <t xml:space="preserve">Set-out/2027.</t>
  </si>
  <si>
    <t xml:space="preserve">Edição, mixagem e masterização do álbum (12 faixas)</t>
  </si>
  <si>
    <t xml:space="preserve">Linha de arredondamento do orçamento; equivale a ~R$ 550 por faixa (mercado R$ 400-900).</t>
  </si>
  <si>
    <t xml:space="preserve">Fabricação de 300 CDs para devolução às comunidades, escolas e acervos</t>
  </si>
  <si>
    <t xml:space="preserve">Distribuição gratuita (democratização); cotação a anexar.</t>
  </si>
  <si>
    <t xml:space="preserve">Distribuição digital do álbum (agregadora, ISRC, metadados)</t>
  </si>
  <si>
    <t xml:space="preserve">Disponibilização gratuita em plataformas de streaming.</t>
  </si>
  <si>
    <t xml:space="preserve">Edição/finalização do minidocumentário</t>
  </si>
  <si>
    <t xml:space="preserve">Organização do acervo digital, metadados e entrega às comunidades</t>
  </si>
  <si>
    <t xml:space="preserve">Acervo com registro das autorizações por arquivo.</t>
  </si>
  <si>
    <t xml:space="preserve">Armazenamento em nuvem do acervo (12 meses)</t>
  </si>
  <si>
    <t xml:space="preserve">Evita aquisição de bem permanente.</t>
  </si>
  <si>
    <t xml:space="preserve">Base de cálculo: R$ 62.000 em pagamentos estimados a pessoas físicas por RPA (Articulador(a) comunitário(a) – acompanhamento das guardas; Articulador(a) comunitário(a)/pesquisador(a) em cultura popular – mapeamento, escuta e protocolo de consentimento; Cachê das guardas de Congado – sessões de gravação; Cachê das guardas – apresentação final de devolutiva; Cachê de mestres – curadoria do repertório e condução das sessões; Cachê de mestres – oficinas/encontros de transmissão de saberes) x 20% = R$ 12.400. Proponente PF: confirmar com o contador a incidência (Lei 8.212, art. 15, p.u.); mantida por prudência.</t>
  </si>
  <si>
    <t xml:space="preserve">Execução + prestação de contas (faixa inferior pelo porte).</t>
  </si>
  <si>
    <t xml:space="preserve">Assessoria jurídica – termos de consentimento, cessão de direitos conexos e contratos</t>
  </si>
  <si>
    <t xml:space="preserve">Protocolo de consentimento livre, prévio e informado com as comunidades.</t>
  </si>
  <si>
    <t xml:space="preserve">Intérprete de Libras (dupla) – oficinas e apresentação final</t>
  </si>
  <si>
    <t xml:space="preserve">6 oficinas + 1 apresentação. [Acessibilidade de conteúdo lançada como item do produto, conforme exemplo do Manual do Proponente 2026, p. 47.]</t>
  </si>
  <si>
    <t xml:space="preserve">Audiodescrição do minidocumentário</t>
  </si>
  <si>
    <t xml:space="preserve">Legendagem descritiva (LSE) e janela de Libras do minidocumentário</t>
  </si>
  <si>
    <t xml:space="preserve">Encarte do álbum em braille/ampliado</t>
  </si>
  <si>
    <t xml:space="preserve">Distribuição a instituições de pessoas com deficiência visual. [Acessibilidade de conteúdo lançada como item do produto, conforme exemplo do Manual do Proponente 2026, p. 47.]</t>
  </si>
  <si>
    <t xml:space="preserve">Elaboração da proposta cultural (contrato prévio, pago após aprovação)</t>
  </si>
  <si>
    <t xml:space="preserve">~2,3% do valor total (art. 22, VIII).</t>
  </si>
  <si>
    <t xml:space="preserve">Consultor(a) de acessibilidade (plano conforme Guia MDHC)</t>
  </si>
  <si>
    <t xml:space="preserve">Equipe de apoio a PcD (monitores) – apresentação final</t>
  </si>
  <si>
    <t xml:space="preserve">Rampa/piso modular acessível</t>
  </si>
  <si>
    <t xml:space="preserve">Caso o equipamento não possua rota acessível ao palco.</t>
  </si>
  <si>
    <t xml:space="preserve">Designer gráfico (identidade, capa e encarte digital acessível)</t>
  </si>
  <si>
    <t xml:space="preserve">Gestão de redes sociais/conteúdo</t>
  </si>
  <si>
    <t xml:space="preserve">Conteúdos validados pelas comunidades.</t>
  </si>
  <si>
    <t xml:space="preserve">• 4 guardas participantes (2 da RMBH e 2 do interior), com cerca de 15 integrantes cada, e 1 mestre de referência por guarda.</t>
  </si>
  <si>
    <t xml:space="preserve">• Álbum com 12 faixas (~3 por guarda), gravado em campo com unidade móvel (4 diárias) + 1 diária de estúdio; mixagem/masterização na pós-produção.</t>
  </si>
  <si>
    <t xml:space="preserve">• 6 oficinas de transmissão de 4h com 30 vagas (180 participações, ~120 participantes únicos), cada uma com mestre remunerado; as 6 oficinas cumprem a meta mínima de '6 a 8 ações'.</t>
  </si>
  <si>
    <t xml:space="preserve">• Apresentação final em equipamento cultural público com palco e energia (anuência a obter), com som e luz de pequeno porte locados.</t>
  </si>
  <si>
    <t xml:space="preserve">• Execução em 6 meses (abr-set/2027) + 1 mês de pós/devolutiva; coordenação de 6 meses a R$ 4.500.</t>
  </si>
  <si>
    <t xml:space="preserve">• INSS patronal de 20% sobre pagamentos por RPA a mestres, guardas, articulador e produtor. Proponente PF: confirmar a incidência com o contador.</t>
  </si>
  <si>
    <t xml:space="preserve">• Sem aquisição de instrumentos (bens permanentes). Apoio limitado a transporte.</t>
  </si>
  <si>
    <t xml:space="preserve">• A linha 'Edição, mixagem e masterização' absorve o arredondamento até o valor-alvo.</t>
  </si>
  <si>
    <t xml:space="preserve">• Ajuste de fechamento: R$ -2.702,53 aplicado em 'Cachê das guardas de Congado – sessões de gravação' para fechar o valor total com percentuais inteiros,</t>
  </si>
  <si>
    <t xml:space="preserve">Versão de R$ 60 mil: álbum com 2 guardas (6 faixas) gravado em campo (2 diárias); 2 oficinas com mestres; devolutiva comunitária na sede de uma guarda, sem som/luz locados e sem transporte por ônibus; minidocumentário substituído por registro fotográfico + 1 vídeo curto com legendas e Libras; CDs só para as guardas (100 un.); coordenação de 3 meses. Mantêm-se anuências, consultor/Libras mínimos, contador e captação de 10%. O objeto (registro de salvaguarda + transmissão) continua viável.</t>
  </si>
  <si>
    <t xml:space="preserve">P06 – Mural Minas | Planilha orçamentária no padrão SALIC (IN MinC 29/2026)</t>
  </si>
  <si>
    <t xml:space="preserve">Morsa (Morsa Produções Ltda.) / Morsa / PJ</t>
  </si>
  <si>
    <t xml:space="preserve">6 murais de arte urbana (~180 m² no total) criados com as turmas e artistas-educadores, em exposição pública permanente e gratuita em BH, Contagem e Santa Luzia. – Artes Visuais / Exposição Cultural / Artística → Art. 18</t>
  </si>
  <si>
    <t xml:space="preserve">75 vagas diretas (meta de ≥60 concluintes); ~250 pessoas na cerimônia de encerramento. A fruição pública dos 6 murais não conta como beneficiário.</t>
  </si>
  <si>
    <t xml:space="preserve">Belo Horizonte, Contagem e Santa Luzia (MG).</t>
  </si>
  <si>
    <t xml:space="preserve">8 meses (abr-nov/2027), mais a prestação de contas.</t>
  </si>
  <si>
    <t xml:space="preserve">Murais de arte urbana – 6 obras em exposição pública permanente (principal)</t>
  </si>
  <si>
    <t xml:space="preserve">Meses 1-2: equipe, parceiros, superfícies e autorizações.</t>
  </si>
  <si>
    <t xml:space="preserve">Coordenação artística/curadoria</t>
  </si>
  <si>
    <t xml:space="preserve">Conceito artístico, chamada e seleção de artistas-educadores.</t>
  </si>
  <si>
    <t xml:space="preserve">Percurso formativo em artes urbanas – 3 turmas/48 encontros (secundário)</t>
  </si>
  <si>
    <t xml:space="preserve">Coordenação pedagógica (plano pedagógico, ementa, carga horária, critérios de seleção e certificação)</t>
  </si>
  <si>
    <t xml:space="preserve">Exigência Anexo II, item 7 (plano de execução com carga horária e conteúdo programático).</t>
  </si>
  <si>
    <t xml:space="preserve">Vistoria técnica das superfícies com laudo/ART (engenheiro ou arquiteto)</t>
  </si>
  <si>
    <t xml:space="preserve">MG - Belo Horizonte, Contagem e Santa Luzia</t>
  </si>
  <si>
    <t xml:space="preserve">1 por superfície: medidas, estado, preparo e plano de trabalho em altura; cotação a anexar.</t>
  </si>
  <si>
    <t xml:space="preserve">Comissão de seleção da chamada de artistas-educadores (pareceristas)</t>
  </si>
  <si>
    <t xml:space="preserve">Seleção por chamada on-line com análise de portfólio (transparência).</t>
  </si>
  <si>
    <t xml:space="preserve">Meses 3-6.</t>
  </si>
  <si>
    <t xml:space="preserve">Acompanhamento da criação coletiva e da execução das obras.</t>
  </si>
  <si>
    <t xml:space="preserve">3 municípios x 15 diárias (pintura e encontros).</t>
  </si>
  <si>
    <t xml:space="preserve">Cachê de autoria/execução artística dos murais (artista-educador responsável)</t>
  </si>
  <si>
    <t xml:space="preserve">6 murais (~30 m² cada, área total ~180 m²) criados com as turmas; abaixo da faixa MURALISTA (10.000-30.000, para 150-300 m²) pela menor área. [Linha de equilíbrio: ajustada em R$ -9,948.82 para fechar o valor total com os percentuais de custos vinculados escolhidos no SALIC.]</t>
  </si>
  <si>
    <t xml:space="preserve">Assistente de pintura mural</t>
  </si>
  <si>
    <t xml:space="preserve">6 murais x 6 encontros de produção x 2 assistentes.</t>
  </si>
  <si>
    <t xml:space="preserve">Tintas acrílicas, sprays e materiais de pintura mural</t>
  </si>
  <si>
    <t xml:space="preserve">Área preliminar de 180 m² (descrição da proposta); revisar após vistorias.</t>
  </si>
  <si>
    <t xml:space="preserve">Preparação das superfícies (limpeza, lixamento, selador, fundo e reparos pontuais)</t>
  </si>
  <si>
    <t xml:space="preserve">Cotação a anexar.</t>
  </si>
  <si>
    <t xml:space="preserve">Verniz de proteção UV/antipichação</t>
  </si>
  <si>
    <t xml:space="preserve">Aumenta a durabilidade da obra entregue.</t>
  </si>
  <si>
    <t xml:space="preserve">Locação de plataforma elevatória/andaime</t>
  </si>
  <si>
    <t xml:space="preserve">6 murais x 4 diárias; operação somente por profissional habilitado (NR-35).</t>
  </si>
  <si>
    <t xml:space="preserve">Equipamentos de proteção individual (máscaras, luvas, óculos, cintos)</t>
  </si>
  <si>
    <t xml:space="preserve">kit</t>
  </si>
  <si>
    <t xml:space="preserve">75 participantes + 15 equipe; material de consumo.</t>
  </si>
  <si>
    <t xml:space="preserve">Lonas e proteção do entorno</t>
  </si>
  <si>
    <t xml:space="preserve">Locação de van com motorista – transporte de equipe e materiais</t>
  </si>
  <si>
    <t xml:space="preserve">Circulação entre BH, Contagem e Santa Luzia nos dias de pintura.</t>
  </si>
  <si>
    <t xml:space="preserve">Taxas, alvarás e ART das intervenções</t>
  </si>
  <si>
    <t xml:space="preserve">1 por município.</t>
  </si>
  <si>
    <t xml:space="preserve">Seguro de acidentes pessoais (participantes e equipe, inclui trabalho em altura)</t>
  </si>
  <si>
    <t xml:space="preserve">Coordenação pedagógica</t>
  </si>
  <si>
    <t xml:space="preserve">Artista-educador(a) – condução dos 16 encontros por turma, planejamento e mediação</t>
  </si>
  <si>
    <t xml:space="preserve">3 educadores (1 por município) x 4 meses; equivale a ~35 h/mês x R$ 130/h (OFIC).</t>
  </si>
  <si>
    <t xml:space="preserve">Material de consumo para oficinas (cadernos, papéis, sprays de estudo, marcadores)</t>
  </si>
  <si>
    <t xml:space="preserve">75 vagas.</t>
  </si>
  <si>
    <t xml:space="preserve">75 participantes x 16 encontros.</t>
  </si>
  <si>
    <t xml:space="preserve">Auxílio-transporte dos participantes (passagens urbanas/metropolitanas)</t>
  </si>
  <si>
    <t xml:space="preserve">passagem</t>
  </si>
  <si>
    <t xml:space="preserve">75 participantes x 16 encontros x 2 trechos (reduz barreira de acesso de jovens que estudam e trabalham).</t>
  </si>
  <si>
    <t xml:space="preserve">Locação de ônibus – visitas mediadas</t>
  </si>
  <si>
    <t xml:space="preserve">1 visita por município.</t>
  </si>
  <si>
    <t xml:space="preserve">Certificados</t>
  </si>
  <si>
    <t xml:space="preserve">Cerimônia de encerramento e registro (secundário)</t>
  </si>
  <si>
    <t xml:space="preserve">Cachê de grupo artístico de hip-hop/cultura de rua – cerimônia de encerramento</t>
  </si>
  <si>
    <t xml:space="preserve">Locação de tenda 10x10</t>
  </si>
  <si>
    <t xml:space="preserve">850 – 1.100 – 2.500</t>
  </si>
  <si>
    <t xml:space="preserve">Locação de ônibus – transporte de participantes dos 3 municípios ao encerramento</t>
  </si>
  <si>
    <t xml:space="preserve">Lanche – cerimônia de encerramento</t>
  </si>
  <si>
    <t xml:space="preserve">Participantes, familiares e comunidade (sem coquetel).</t>
  </si>
  <si>
    <t xml:space="preserve">Antes/durante/depois de cada mural + encontros-chave.</t>
  </si>
  <si>
    <t xml:space="preserve">Coordenação geral – consolidação, entrega das obras e relatórios</t>
  </si>
  <si>
    <t xml:space="preserve">Meses 7-8.</t>
  </si>
  <si>
    <t xml:space="preserve">Produtor(a) executivo(a) – fechamento</t>
  </si>
  <si>
    <t xml:space="preserve">Edição/finalização – minidocumentário e vídeos curtos dos murais</t>
  </si>
  <si>
    <t xml:space="preserve">Linha de arredondamento do orçamento (minidoc ~15 min + 6 vídeos curtos).</t>
  </si>
  <si>
    <t xml:space="preserve">Mapa digital/catálogo on-line dos murais (desenvolvimento de página)</t>
  </si>
  <si>
    <t xml:space="preserve">Localização, ficha técnica e acesso aos recursos de acessibilidade.</t>
  </si>
  <si>
    <t xml:space="preserve">Base de cálculo: R$ 149.850 em pagamentos estimados a pessoas físicas por RPA (Artista-educador(a) – condução dos 16 encontros por turma, planejamento e mediação; Assistente de pintura mural; Cachê de autoria/execução artística dos murais (artista-educador responsável); Produtor(a) local) x 20% = R$ 29.970. Muralistas/educadores contratados como MEI ou PJ não geram INSS patronal; ajustar a base conforme a forma de contratação.</t>
  </si>
  <si>
    <t xml:space="preserve">Assessoria jurídica (termos de cessão de superfícies, autorizações de imagem de menores, contratos)</t>
  </si>
  <si>
    <t xml:space="preserve">Intérprete de Libras (dupla) – encontros sob demanda, visitas e encerramento</t>
  </si>
  <si>
    <t xml:space="preserve">Previsão de 11 encontros/visitas + cerimônia. [Acessibilidade de conteúdo lançada como item do produto, conforme exemplo do Manual do Proponente 2026, p. 47.]</t>
  </si>
  <si>
    <t xml:space="preserve">Audiodescrição dos murais (roteiro + narração acessível via QR Code)</t>
  </si>
  <si>
    <t xml:space="preserve">1 por mural. [Acessibilidade de conteúdo lançada como item do produto, conforme exemplo do Manual do Proponente 2026, p. 47.]</t>
  </si>
  <si>
    <t xml:space="preserve">Placas de identificação dos murais com braille, fonte ampliada e QR Code</t>
  </si>
  <si>
    <t xml:space="preserve">Legendagem, janela de Libras e audiodescrição do minidocumentário</t>
  </si>
  <si>
    <t xml:space="preserve">2% do valor total (art. 22, VIII).</t>
  </si>
  <si>
    <t xml:space="preserve">Vistoria dos espaços, adaptação pedagógica e plano conforme Guia MDHC.</t>
  </si>
  <si>
    <t xml:space="preserve">Equipe de apoio a PcD (monitor)</t>
  </si>
  <si>
    <t xml:space="preserve">Sob demanda identificada nas inscrições.</t>
  </si>
  <si>
    <t xml:space="preserve">Designer gráfico (identidade e peças)</t>
  </si>
  <si>
    <t xml:space="preserve">Entrega dos murais e encerramento.</t>
  </si>
  <si>
    <t xml:space="preserve">Impressão de cartazes A3 (mobilização em escolas)</t>
  </si>
  <si>
    <t xml:space="preserve">• Escopo do documento: 6 murais (~30 m² cada, ~180 m²), 3 turmas de 25 vagas, 16 encontros por turma (48), 8 meses (abr-nov/2027).</t>
  </si>
  <si>
    <t xml:space="preserve">• 3 artistas-educadores (1 por município) por 4 meses, que também assinam a autoria/execução de 2 murais cada (cachê de R$ 9.000 por mural).</t>
  </si>
  <si>
    <t xml:space="preserve">• 2 assistentes de pintura por encontro de produção (6 por mural) e plataforma/andaime por 4 diárias por mural.</t>
  </si>
  <si>
    <t xml:space="preserve">• Equipe central: coordenação geral (8 meses), coordenação artística e pedagógica (6 meses), produção executiva (8 meses), assistente de produção (4 meses), produtor local (15 diárias por município).</t>
  </si>
  <si>
    <t xml:space="preserve">• Lanche e auxílio-transporte urbano dos participantes como condição de acesso de jovens que estudam e trabalham.</t>
  </si>
  <si>
    <t xml:space="preserve">• INSS patronal de 20% sobre RPA (educadores, autoria dos murais, assistentes, produtores locais). Contratações via MEI/PJ reduzem a base.</t>
  </si>
  <si>
    <t xml:space="preserve">• A linha de edição do minidocumentário/vídeos absorve o arredondamento até o valor-alvo.</t>
  </si>
  <si>
    <t xml:space="preserve">• Ajuste de fechamento: R$ -9.948,82 aplicado em 'Cachê de autoria/execução artística dos murais (artista-educador responsável)' para fechar o valor total com percentuais inteiros,</t>
  </si>
  <si>
    <t xml:space="preserve">Versão de R$ 150 mil: um único município (BH), 1 turma de 25 vagas com 16 encontros e 2 murais (~60 m²); coordenação geral acumulando a artística (5 meses), 1 artista-educador e 1 produtor; sem van, mapa digital e minidocumentário (só fotos e 1 vídeo curto acessível); cerimônia simples no próprio espaço. Mantêm-se AD/placas dos 2 murais, Libras sob demanda, seguro, contador e captação de 10%.</t>
  </si>
  <si>
    <t xml:space="preserve">P07 – Concertos nas Praças do Interior (documentos: 'Concertos na Praça') | Planilha orçamentária no padrão SALIC (IN MinC 29/2026)</t>
  </si>
  <si>
    <t xml:space="preserve">Túlio Gama (pessoa física) / PRO SP / PF</t>
  </si>
  <si>
    <t xml:space="preserve">Circuito de 8 concertos gratuitos de música instrumental/de concerto com formação de câmara (8 músicos + regente) e aberturas regionais instrumentais/corais. – Música / Apresentação/Gravação de Música Instrumental (alternativa: Apresentação/Gravação de Música Erudita) → Art. 18</t>
  </si>
  <si>
    <t xml:space="preserve">~2.400 pessoas nos 8 concertos (média de 300) + ~640 estudantes nos 8 ensaios abertos (80 por ensaio).</t>
  </si>
  <si>
    <t xml:space="preserve">8 municípios do interior de MG (sugestão: Ouro Preto, Mariana, Congonhas, Conselheiro Lafaiete, Divinópolis, Itaúna, Curvelo e Diamantina).</t>
  </si>
  <si>
    <t xml:space="preserve">6 meses (pré-produção, 3 meses de circulação, pós-produção).</t>
  </si>
  <si>
    <t xml:space="preserve">Concertos de música instrumental/erudita – circuito de 8 concertos gratuitos (principal)</t>
  </si>
  <si>
    <t xml:space="preserve">Coordenação geral e produção (proponente)</t>
  </si>
  <si>
    <t xml:space="preserve">MG - Belo Horizonte (base)</t>
  </si>
  <si>
    <t xml:space="preserve">Meses 1-2: municípios, anuências, riders. Remuneração do proponente PF limitada a 30% do captado (art. 23, §2º, II).</t>
  </si>
  <si>
    <t xml:space="preserve">Direção artística e curadoria (definição da formação, repertório e grupos regionais)</t>
  </si>
  <si>
    <t xml:space="preserve">Inclui protocolo/chamada simplificada para grupos regionais.</t>
  </si>
  <si>
    <t xml:space="preserve">Visitas técnicas às praças (van + diretor técnico)</t>
  </si>
  <si>
    <t xml:space="preserve">MG - 8 municípios do interior (ex.: Ouro Preto, Mariana, Congonhas, Cons. Lafaiete, Divinópolis, Itaúna, Curvelo, Diamantina)</t>
  </si>
  <si>
    <t xml:space="preserve">4 diárias (2 municípios por diária): van R$ 1.000 + técnico R$ 700; gera rider e plano de chuva por praça.</t>
  </si>
  <si>
    <t xml:space="preserve">Cachê de músicos – ensaios de preparação da formação de câmara</t>
  </si>
  <si>
    <t xml:space="preserve">8 músicos x 2 ensaios gerais.</t>
  </si>
  <si>
    <t xml:space="preserve">Partituras e materiais musicais (aquisição/locação)</t>
  </si>
  <si>
    <t xml:space="preserve">Prioridade a obras em domínio público e arranjos próprios.</t>
  </si>
  <si>
    <t xml:space="preserve">Meses 3-5 (circulação).</t>
  </si>
  <si>
    <t xml:space="preserve">8 municípios x 3 diárias (articulação, montagem e dia do concerto).</t>
  </si>
  <si>
    <t xml:space="preserve">Cachê de músicos – formação de câmara (concerto + ensaio aberto)</t>
  </si>
  <si>
    <t xml:space="preserve">8 músicos x 8 concertos; referência MUSICO (600-1.500), teto de R$ 5.000/músico (art. 26, III). [Linha de equilíbrio: ajustada em R$ -2,845.21 para fechar o valor total com os percentuais de custos vinculados escolhidos no SALIC.]</t>
  </si>
  <si>
    <t xml:space="preserve">Cachê de regente/diretor musical por concerto</t>
  </si>
  <si>
    <t xml:space="preserve">3.200 – 4.500 – 25.000</t>
  </si>
  <si>
    <t xml:space="preserve">Teto R$ 25.000 por concerto (art. 26, III).</t>
  </si>
  <si>
    <t xml:space="preserve">Cachê de grupo/artista regional convidado (abertura instrumental, banda, coral)</t>
  </si>
  <si>
    <t xml:space="preserve">1 abertura por concerto (bandas de música, corais e grupos instrumentais locais; referência GRUPOTRAD 2.500-8.000); vedada música popular cantada solo como atração principal para manter o segmento (Art. 18).</t>
  </si>
  <si>
    <t xml:space="preserve">Apresentador(a) – falas breves de acolhida e contextualização</t>
  </si>
  <si>
    <t xml:space="preserve">Locação de palco 8x6 com cobertura</t>
  </si>
  <si>
    <t xml:space="preserve">4.800 – 6.500 – 9.300</t>
  </si>
  <si>
    <t xml:space="preserve">Inclui montagem; dispensado onde a prefeitura ceder estrutura formalmente.</t>
  </si>
  <si>
    <t xml:space="preserve">Locação de sonorização pequeno porte (amplificação de câmara)</t>
  </si>
  <si>
    <t xml:space="preserve">Fornecedor distinto do palco para respeitar o limite de 20% por fornecedor.</t>
  </si>
  <si>
    <t xml:space="preserve">Concertos no fim de tarde/início da noite.</t>
  </si>
  <si>
    <t xml:space="preserve">Banheiro químico (inclui PcD)</t>
  </si>
  <si>
    <t xml:space="preserve">unidade/diária</t>
  </si>
  <si>
    <t xml:space="preserve">160 – 280 – 550</t>
  </si>
  <si>
    <t xml:space="preserve">3 por concerto (1 PcD), onde não houver sanitário público próximo.</t>
  </si>
  <si>
    <t xml:space="preserve">2 por concerto.</t>
  </si>
  <si>
    <t xml:space="preserve">Taxas, alvarás, AVCB/ART de estruturas</t>
  </si>
  <si>
    <t xml:space="preserve">ECAD – execução pública (eventos gratuitos, conforme regulamento)</t>
  </si>
  <si>
    <t xml:space="preserve">Valor a confirmar por simulação ECAD após definição de praças e repertório; domínio público reduz a base.</t>
  </si>
  <si>
    <t xml:space="preserve">Seguro de acidentes pessoais/RC</t>
  </si>
  <si>
    <t xml:space="preserve">Locação de ônibus com motorista – formação principal e equipe</t>
  </si>
  <si>
    <t xml:space="preserve">4 finais de semana x 2 dias (2 municípios vizinhos por fim de semana).</t>
  </si>
  <si>
    <t xml:space="preserve">Frete/van de carga – instrumentos e equipamentos</t>
  </si>
  <si>
    <t xml:space="preserve">Hospedagem da formação principal e equipe</t>
  </si>
  <si>
    <t xml:space="preserve">14 pessoas x 1 pernoite x 4 finais de semana.</t>
  </si>
  <si>
    <t xml:space="preserve">Alimentação da formação principal e equipe</t>
  </si>
  <si>
    <t xml:space="preserve">18 pessoas x 8 dias de concerto.</t>
  </si>
  <si>
    <t xml:space="preserve">Ensaios abertos e mobilização escolar – 8 ações (secundário)</t>
  </si>
  <si>
    <t xml:space="preserve">Transporte de estudantes da rede pública aos ensaios abertos (micro-ônibus)</t>
  </si>
  <si>
    <t xml:space="preserve">1 por município; complementa transporte municipal quando não houver parceria (ampliação de acesso, art. 42, II).</t>
  </si>
  <si>
    <t xml:space="preserve">Material educativo dos ensaios abertos (roteiro do repertório para professores)</t>
  </si>
  <si>
    <t xml:space="preserve">Registro audiovisual e aftermovie (secundário)</t>
  </si>
  <si>
    <t xml:space="preserve">Captação para cortes e aftermovie; sem gravação integral (direitos).</t>
  </si>
  <si>
    <t xml:space="preserve">Coordenação geral e produção (proponente) – relatórios e prestação de resultados</t>
  </si>
  <si>
    <t xml:space="preserve">Mês 6.</t>
  </si>
  <si>
    <t xml:space="preserve">Edição/finalização – aftermovie e cortes</t>
  </si>
  <si>
    <t xml:space="preserve">Linha de arredondamento do orçamento (aftermovie ~5 min + 8 cortes).</t>
  </si>
  <si>
    <t xml:space="preserve">Base de cálculo: R$ 90.800 em pagamentos estimados a pessoas físicas por RPA (Apresentador(a) – falas breves de acolhida e contextualização; Cachê de músicos – ensaios de preparação da formação de câmara; Cachê de músicos – formação de câmara (concerto + ensaio aberto); Cachê de regente/diretor musical por concerto; Produtor(a) local) x 20% = R$ 18.160. Proponente PF: confirmar com o contador a incidência (Lei 8.212, art. 15, p.u.); mantida por prudência.</t>
  </si>
  <si>
    <t xml:space="preserve">Assessoria jurídica (contratos de artistas, termos de imagem de estudantes)</t>
  </si>
  <si>
    <t xml:space="preserve">Intérprete de Libras (dupla) – falas e ensaios abertos</t>
  </si>
  <si>
    <t xml:space="preserve">Legendagem, janela de Libras e audiodescrição do aftermovie</t>
  </si>
  <si>
    <t xml:space="preserve">Checklist por praça (Guia MDHC).</t>
  </si>
  <si>
    <t xml:space="preserve">Rampa/piso modular acessível e área reservada sinalizada</t>
  </si>
  <si>
    <t xml:space="preserve">Equipe de apoio a PcD (monitores)</t>
  </si>
  <si>
    <t xml:space="preserve">Designer gráfico (identidade e peças por município)</t>
  </si>
  <si>
    <t xml:space="preserve">Impulsionamento/mídia digital local</t>
  </si>
  <si>
    <t xml:space="preserve">R$ 400 por município.</t>
  </si>
  <si>
    <t xml:space="preserve">• 8 concertos em 8 municípios, 4 finais de semana (2 municípios vizinhos por fim de semana), cada concerto com ensaio aberto no mesmo dia.</t>
  </si>
  <si>
    <t xml:space="preserve">• Formação de câmara de 8 músicos + regente (cachê por concerto incluindo ensaio aberto) e 2 ensaios gerais de preparação.</t>
  </si>
  <si>
    <t xml:space="preserve">• 8 aberturas por bandas/corais/grupos instrumentais locais a R$ 3.000.</t>
  </si>
  <si>
    <t xml:space="preserve">• Estrutura de pequeno porte (palco 8x6 coberto, som e luz pequenos); energia, segurança e gradil cedidos pelas prefeituras (a formalizar). Sem gerador.</t>
  </si>
  <si>
    <t xml:space="preserve">• Ônibus com a formação e equipe em 8 diárias; 1 pernoite por fim de semana para 14 pessoas.</t>
  </si>
  <si>
    <t xml:space="preserve">• Coordenação do proponente (6 meses a R$ 5.000) dentro do limite de 30%.</t>
  </si>
  <si>
    <t xml:space="preserve">• INSS patronal de 20% sobre RPA (músicos, regente, apresentador, produtores locais). Proponente PF: confirmar a incidência com o contador.</t>
  </si>
  <si>
    <t xml:space="preserve">• A linha de edição do aftermovie absorve o arredondamento até o valor-alvo.</t>
  </si>
  <si>
    <t xml:space="preserve">• Ajuste de fechamento: R$ -2.845,21 aplicado em 'Cachê de músicos – formação de câmara (concerto + ensaio aberto)' para fechar o valor total com percentuais inteiros,</t>
  </si>
  <si>
    <t xml:space="preserve">Versão de R$ 100 mil: 2 concertos em 2 municípios vizinhos num único fim de semana (ex.: Ouro Preto e Mariana) com quinteto + regente, 2 ensaios abertos e 2 aberturas locais; palco/som/luz de pequeno porte só nesses 2 dias; registro fotográfico + 1 vídeo curto com legendas/Libras no lugar do aftermovie; coordenação de 3 meses. Mantêm-se Libras, rampa, ECAD, contador e captação de 10%.</t>
  </si>
  <si>
    <t xml:space="preserve">P08 – Sabores de Minas – Circuito de Cultura Alimentar, Memória e Patrimônio de Minas Gerais | Planilha orçamentária no padrão SALIC (IN MinC 29/2026)</t>
  </si>
  <si>
    <t xml:space="preserve">PRO SP (ProSP) / Túlio Gama / PJ</t>
  </si>
  <si>
    <t xml:space="preserve">Encontros de transmissão de saberes da cultura alimentar tradicional mineira com mestres e detentores (cozinhas de mestres, oficinas, 'Cozinha de Memórias' com escolas e rodas de conversa) em 4 etapas municipais, como ação de salvaguarda. – Patrimônio Cultural / Salvaguarda do patrimônio cultural imaterial → Risco</t>
  </si>
  <si>
    <t xml:space="preserve">~2.000 participações abertas (4 etapas x ~500); 320 vagas em 16 oficinas; ~120 estudantes em 4 'Cozinhas de Memórias'; ~200 nas 4 rodas; 28 participações de mestres e ~80 de expositores; 500 exemplares + publicação digital.</t>
  </si>
  <si>
    <t xml:space="preserve">Belo Horizonte, Ouro Preto, Mariana e 4º município do eixo histórico-cultural (a definir), em MG.</t>
  </si>
  <si>
    <t xml:space="preserve">7 meses (mai-nov/2027), mais a prestação de contas.</t>
  </si>
  <si>
    <t xml:space="preserve">Encontros de transmissão de saberes da cultura alimentar tradicional com mestres (cozinhas de mestres, oficinas e rodas) – salvaguarda (principal)</t>
  </si>
  <si>
    <t xml:space="preserve">Maio-jun/2027: rota, espaços, anuências, plano sanitário.</t>
  </si>
  <si>
    <t xml:space="preserve">Curadoria e coordenação de conteúdo (patrimônio alimentar) – Rafael Bastos</t>
  </si>
  <si>
    <t xml:space="preserve">Critérios de seleção de mestres/detentores e programação.</t>
  </si>
  <si>
    <t xml:space="preserve">Pesquisador(a) em patrimônio imaterial – mapeamento de detentores e relatório de referência cultural</t>
  </si>
  <si>
    <t xml:space="preserve">MG - Belo Horizonte, Ouro Preto, Mariana e 4º município (a definir)</t>
  </si>
  <si>
    <t xml:space="preserve">Sustenta o relatório de reconhecido valor cultural (Anexo II, 8.1.2.1) e as anuências das comunidades (8.1.3).</t>
  </si>
  <si>
    <t xml:space="preserve">Locação de van – visitas de mapeamento e articulação nos municípios</t>
  </si>
  <si>
    <t xml:space="preserve">Jun-set/2027 (4 etapas).</t>
  </si>
  <si>
    <t xml:space="preserve">Curadoria e coordenação de conteúdo – Rafael Bastos</t>
  </si>
  <si>
    <t xml:space="preserve">4 municípios x 8 diárias.</t>
  </si>
  <si>
    <t xml:space="preserve">Cachê de mestres/cozinheiras(os) tradicionais – oficinas e cozinhas de mestres (demonstração de modos de fazer)</t>
  </si>
  <si>
    <t xml:space="preserve">4 etapas x 7 atividades (4 oficinas de 20 vagas + 2 cozinhas abertas + 1 'Cozinha de Memórias' com escolas); referência MESTRE (1.200-3.000), teto R$ 25 mil. [Linha de equilíbrio: ajustada em R$ -4,720.72 para fechar o valor total com os percentuais de custos vinculados escolhidos no SALIC.]</t>
  </si>
  <si>
    <t xml:space="preserve">Cachê de mediadores/pesquisadores – rodas de conversa 'Patrimônio à Mesa'</t>
  </si>
  <si>
    <t xml:space="preserve">4 rodas x 2 convidados; teto de R$ 5.000 por palestrante (art. 26, IV).</t>
  </si>
  <si>
    <t xml:space="preserve">Ingredientes e insumos das oficinas (material pedagógico de consumo, sem venda nem bufê)</t>
  </si>
  <si>
    <t xml:space="preserve">kit/atividade</t>
  </si>
  <si>
    <t xml:space="preserve">Insumos exclusivamente para demonstração/prática; prioridade a agricultura familiar.</t>
  </si>
  <si>
    <t xml:space="preserve">Locação de cozinha de demonstração (bancada, cocção, refrigeração, pia)</t>
  </si>
  <si>
    <t xml:space="preserve">4 etapas x 3 dias; cotação a anexar.</t>
  </si>
  <si>
    <t xml:space="preserve">Locação de tenda 10x10 (cozinha de mestres/rodas)</t>
  </si>
  <si>
    <t xml:space="preserve">1 por dia de programação.</t>
  </si>
  <si>
    <t xml:space="preserve">Sonorização para demonstrações (microfones headset e caixas)</t>
  </si>
  <si>
    <t xml:space="preserve">Abaixo de SOMP pelo porte.</t>
  </si>
  <si>
    <t xml:space="preserve">Locação de mesas e cadeiras</t>
  </si>
  <si>
    <t xml:space="preserve">Responsável técnico(a) de cozinha/boas práticas sanitárias</t>
  </si>
  <si>
    <t xml:space="preserve">Exigência de vigilância sanitária.</t>
  </si>
  <si>
    <t xml:space="preserve">2 por dia, onde o espaço não dispuser de sanitários.</t>
  </si>
  <si>
    <t xml:space="preserve">4 por etapa.</t>
  </si>
  <si>
    <t xml:space="preserve">Taxas, alvarás e licenças sanitárias</t>
  </si>
  <si>
    <t xml:space="preserve">Coleta seletiva e destinação de resíduos</t>
  </si>
  <si>
    <t xml:space="preserve">Locação de van com motorista – equipe itinerante</t>
  </si>
  <si>
    <t xml:space="preserve">Frete/caminhão – estrutura e equipamentos</t>
  </si>
  <si>
    <t xml:space="preserve">1 por etapa.</t>
  </si>
  <si>
    <t xml:space="preserve">Hospedagem da equipe itinerante</t>
  </si>
  <si>
    <t xml:space="preserve">5 pessoas x 3 noites x 3 etapas fora de BH.</t>
  </si>
  <si>
    <t xml:space="preserve">Alimentação da equipe</t>
  </si>
  <si>
    <t xml:space="preserve">8 pessoas x 12 dias.</t>
  </si>
  <si>
    <t xml:space="preserve">Passagens rodoviárias – mestres convidados de outros territórios</t>
  </si>
  <si>
    <t xml:space="preserve">50 – 120 – 280</t>
  </si>
  <si>
    <t xml:space="preserve">Metade dos mestres de fora do município da etapa (14 x ida e volta).</t>
  </si>
  <si>
    <t xml:space="preserve">Espaço de exposição de produtos tradicionais – feira (secundário)</t>
  </si>
  <si>
    <t xml:space="preserve">Tendas 3x3 para expositores detentores de saberes (sem taxa de participação)</t>
  </si>
  <si>
    <t xml:space="preserve">10 expositores x 2 dias (sáb-dom) x 4 etapas; somente estrutura de exposição – vendas são receita privada do expositor, sem custo incentivado de insumos.</t>
  </si>
  <si>
    <t xml:space="preserve">Registro audiovisual e acervo (secundário)</t>
  </si>
  <si>
    <t xml:space="preserve">Modos de fazer e trajetórias autorizadas.</t>
  </si>
  <si>
    <t xml:space="preserve">Coordenação geral – consolidação, devolutiva e relatórios</t>
  </si>
  <si>
    <t xml:space="preserve">Out-nov/2027.</t>
  </si>
  <si>
    <t xml:space="preserve">Edição/finalização – 4 episódios curtos (1 por etapa)</t>
  </si>
  <si>
    <t xml:space="preserve">Organização do acervo e relatório de documentação para Iphan/MinC (art. 41, §9º)</t>
  </si>
  <si>
    <t xml:space="preserve">Caderno Sabores de Minas – publicação de receitas e memórias (secundário)</t>
  </si>
  <si>
    <t xml:space="preserve">Pesquisa e redação editorial do Caderno (receitas, histórias e créditos)</t>
  </si>
  <si>
    <t xml:space="preserve">Revisão de textos</t>
  </si>
  <si>
    <t xml:space="preserve">Projeto gráfico e diagramação do Caderno (versão digital acessível + impressa)</t>
  </si>
  <si>
    <t xml:space="preserve">Impressão do Caderno (tiragem reduzida para comunidades, bibliotecas e escolas)</t>
  </si>
  <si>
    <t xml:space="preserve">Tiragem ≤ 3.000 (art. 25); distribuição gratuita.</t>
  </si>
  <si>
    <t xml:space="preserve">Distribuição postal dos exemplares</t>
  </si>
  <si>
    <t xml:space="preserve">Produtor(a) executivo(a) – fechamento e devolutiva às comunidades (out-nov/2027)</t>
  </si>
  <si>
    <t xml:space="preserve">2 meses (~R$ 5.500/mês); linha de arredondamento do orçamento.</t>
  </si>
  <si>
    <t xml:space="preserve">Base de cálculo: R$ 87.800 em pagamentos estimados a pessoas físicas por RPA (Cachê de mediadores/pesquisadores – rodas de conversa 'Patrimônio à Mesa'; Cachê de mestres/cozinheiras(os) tradicionais – oficinas e cozinhas de mestres (demonstração de modos de fazer); Produtor(a) local; Responsável técnico(a) de cozinha/boas práticas sanitárias) x 20% = R$ 17.560.</t>
  </si>
  <si>
    <t xml:space="preserve">Assessoria jurídica (regulamento de expositores, termos de consentimento e cessão de receitas/imagem)</t>
  </si>
  <si>
    <t xml:space="preserve">Intérprete de Libras (dupla)</t>
  </si>
  <si>
    <t xml:space="preserve">Sábados e domingos (cozinhas abertas e rodas) das 4 etapas. [Acessibilidade de conteúdo lançada como item do produto, conforme exemplo do Manual do Proponente 2026, p. 47.]</t>
  </si>
  <si>
    <t xml:space="preserve">Audiodescrição, legendas e Libras dos 4 episódios</t>
  </si>
  <si>
    <t xml:space="preserve">Caderno em formato acessível (EPUB acessível + 30 exemplares em braille/ampliado)</t>
  </si>
  <si>
    <t xml:space="preserve">R$ 500 por etapa.</t>
  </si>
  <si>
    <t xml:space="preserve">Impressão de cartazes A3 e sinalização de serviço</t>
  </si>
  <si>
    <t xml:space="preserve">• Proponente ProSP como PJ (valor de R$ 600 mil permitido). Se for Túlio Gama PF, o projeto não cabe na carteira.</t>
  </si>
  <si>
    <t xml:space="preserve">• 4 etapas municipais com 1 fim de semana cada (sex-dom, 3 dias = 12 dias de programação), dentro do 'até dois finais de semana' do documento.</t>
  </si>
  <si>
    <t xml:space="preserve">• Por etapa: 4 oficinas com mestre (20 vagas), 2 cozinhas de mestres abertas, 1 'Cozinha de Memórias' com escolas e 1 roda de conversa com 2 convidados = 28 cachês de mestres e 8 de mediadores.</t>
  </si>
  <si>
    <t xml:space="preserve">• Ingredientes só como insumo pedagógico (R$ 500 por atividade), sem degustação/venda com recurso incentivado.</t>
  </si>
  <si>
    <t xml:space="preserve">• Feira com 10 expositores no sábado e domingo, sem taxa; incentivo cobre só tendas 3x3 (R$ 20 mil).</t>
  </si>
  <si>
    <t xml:space="preserve">• Caderno com edição, revisão, diagramação, 500 exemplares impressos + EPUB acessível; 4 episódios audiovisuais curtos.</t>
  </si>
  <si>
    <t xml:space="preserve">• INSS patronal de 20% sobre RPA (mestres, mediadores, produtores locais, RT de cozinha).</t>
  </si>
  <si>
    <t xml:space="preserve">• A linha de produção executiva de fechamento absorve o arredondamento até o valor-alvo.</t>
  </si>
  <si>
    <t xml:space="preserve">• Ajuste de fechamento: R$ -4.720,72 aplicado em 'Cachê de mestres/cozinheiras(os) tradicionais – oficinas e cozinhas de mestres (demonstração de modos de fazer)' para fechar o valor total com percentuais inteiros,</t>
  </si>
  <si>
    <t xml:space="preserve">Versão de R$ 120 mil: 2 etapas em municípios contíguos (Ouro Preto e Mariana), 1 fim de semana cada (sáb-dom), com 8 atividades de mestres e 2 rodas; sem tendas de feira (expositores com estrutura própria ou cessão municipal); Caderno só em versão digital acessível; registro fotográfico + 1 vídeo curto acessível; coordenação e curadoria de 4 meses. Mantêm-se pesquisa/relatório de referência cultural, anuências, Libras, contador e captação de 10%.</t>
  </si>
  <si>
    <t xml:space="preserve">P09 – Auto de Natal Mineiro | Planilha orçamentária no padrão SALIC (IN MinC 29/2026)</t>
  </si>
  <si>
    <t xml:space="preserve">Armind / Armind (pasta '01. Auto de Natal Mineiro - Armind'); nos documentos: 'Arminde' / A confirmar</t>
  </si>
  <si>
    <t xml:space="preserve">Espetáculo teatral-musical Auto de Natal Mineiro – criação e circulação (10 apresentações gratuitas) – Artes Cênicas / Teatro Musical (c/ dramaturgia, danças e canções) – alternativa equivalente: Apresentação ou Performance de Teatro → Art. 18</t>
  </si>
  <si>
    <t xml:space="preserve">10.000 pessoas presenciais (média de 1.000 por apresentação) + público online do vídeo acessível</t>
  </si>
  <si>
    <t xml:space="preserve">Belo Horizonte (centro e Barreiro), Contagem, Ibirité, Esmeraldas, Santa Luzia, Sete Lagoas, Paraopeba + 2 a definir (MG)</t>
  </si>
  <si>
    <t xml:space="preserve">6 meses (ago/2027–jan/2028)</t>
  </si>
  <si>
    <t xml:space="preserve">Espetáculo teatral-musical Auto de Natal Mineiro – criação e circulação (principal)</t>
  </si>
  <si>
    <t xml:space="preserve">Coordenador(a) geral</t>
  </si>
  <si>
    <t xml:space="preserve">Ago–set/2027: planejamento, contratos, articulação com 9 municípios e plano técnico. Valor na faixa de referência (7–12 mil).</t>
  </si>
  <si>
    <t xml:space="preserve">Set/2027: logística da circulação, cotações, autorizações de uso das praças. Faixa 5,5–9 mil.</t>
  </si>
  <si>
    <t xml:space="preserve">Dramaturgia original (texto do Auto de Natal Mineiro)</t>
  </si>
  <si>
    <t xml:space="preserve">Texto inédito em cenas, narração e números musicais (escopo §2). Exige contrato de direito autoral/anuência do autor (Anexo II, 3.3).</t>
  </si>
  <si>
    <t xml:space="preserve">Direção artística/encenação – criação e montagem</t>
  </si>
  <si>
    <t xml:space="preserve">Criação do espetáculo de 60–90 min e condução dos ensaios de montagem (escopo §8.2). Valor de referência.</t>
  </si>
  <si>
    <t xml:space="preserve">Direção musical e arranjos (repertório natalino mineiro)</t>
  </si>
  <si>
    <t xml:space="preserve">Arranjos para núcleo itinerante e partes adaptáveis a corais/bandas locais; pesquisa de autoria e domínio público (escopo §8.1).</t>
  </si>
  <si>
    <t xml:space="preserve">Consultoria de mestres de Folia de Reis/Pastorinhas (pesquisa e validação)</t>
  </si>
  <si>
    <t xml:space="preserve">Duas vivências/consultorias com detentores para pesquisa respeitosa das referências tradicionais (escopo §2 e §8.1).</t>
  </si>
  <si>
    <t xml:space="preserve">Cenografia modular transportável (presépio, estrelas, elementos cênicos) – criação e confecção</t>
  </si>
  <si>
    <t xml:space="preserve">Cenário desmontável para 10 montagens/desmontagens, priorizando reuso (escopo §8.2 e §13). Valor ajustado ao teto do projeto.</t>
  </si>
  <si>
    <t xml:space="preserve">Figurinos inspirados em referências mineiras (criação e confecção)</t>
  </si>
  <si>
    <t xml:space="preserve">300 – 700 – 1.500</t>
  </si>
  <si>
    <t xml:space="preserve">6 atores/narrador + 3 músicos do núcleo itinerante.</t>
  </si>
  <si>
    <t xml:space="preserve">Desenho de luz (temática natalina, adaptável a praças)</t>
  </si>
  <si>
    <t xml:space="preserve">Desenho para montagem em palco 8x6 ao ar livre com equipamento de pequeno porte.</t>
  </si>
  <si>
    <t xml:space="preserve">Elenco (6 atores/atrizes, incluindo narrador) – ensaios de montagem</t>
  </si>
  <si>
    <t xml:space="preserve">Set–out/2027: 2 meses de ensaios de cenas e números musicais (escopo §12). Faixa 3,5–6 mil; contratação prevista via MEI.</t>
  </si>
  <si>
    <t xml:space="preserve">Locação de sala de ensaio</t>
  </si>
  <si>
    <t xml:space="preserve">Premissa: sala de ensaio em BH por 2 meses (sem item no catálogo; cotação a anexar). Temporária, vinculada à montagem.</t>
  </si>
  <si>
    <t xml:space="preserve">Van com motorista – visitas técnicas aos municípios</t>
  </si>
  <si>
    <t xml:space="preserve">MG - Circuito BH + 8 municípios</t>
  </si>
  <si>
    <t xml:space="preserve">Vistoria de 9 praças (pendência 10: energia, rotas, lotação, sanitários).</t>
  </si>
  <si>
    <t xml:space="preserve">Nov–dez/2027: coordenação das 10 apresentações.</t>
  </si>
  <si>
    <t xml:space="preserve">Operação da circulação, contratos locais, segurança e logística.</t>
  </si>
  <si>
    <t xml:space="preserve">Elenco (6 atores/atrizes) – temporada de circulação</t>
  </si>
  <si>
    <t xml:space="preserve">10 apresentações em ~8 semanas; remuneração mensal (mais econômica que cachê por sessão). [Linha de equilíbrio: ajustada em R$ -8,087.87 para fechar o valor total com os percentuais de custos vinculados escolhidos no SALIC.]</t>
  </si>
  <si>
    <t xml:space="preserve">Músicos do núcleo itinerante (cachê por apresentação, inclui ensaio)</t>
  </si>
  <si>
    <t xml:space="preserve">3 músicos que garantem a unidade musical do espetáculo em todas as praças (escopo §2). Faixa 600–1.500.</t>
  </si>
  <si>
    <t xml:space="preserve">Cachê de coral/banda/grupo musical local (inclui 2–3 ensaios de integração)</t>
  </si>
  <si>
    <t xml:space="preserve">Um grupo local remunerado por apresentação (escopo §2 e §8.3). Piso da faixa de referência; total por grupo bem abaixo do teto de R$ 50 mil (IN art. 26, II).</t>
  </si>
  <si>
    <t xml:space="preserve">1 diária por apresentação: articulação com prefeitura, grupo local e público.</t>
  </si>
  <si>
    <t xml:space="preserve">Montagem, apresentação e desmontagem no mesmo dia (escopo §8.4). Contratar ao menos 2 fornecedores (limite de 20% por fornecedor).</t>
  </si>
  <si>
    <t xml:space="preserve">Locação de sonorização (pequeno porte, com microfones sem fio)</t>
  </si>
  <si>
    <t xml:space="preserve">Público médio de ~1.000 pessoas por praça.</t>
  </si>
  <si>
    <t xml:space="preserve">Locação de iluminação cênica (pequeno porte)</t>
  </si>
  <si>
    <t xml:space="preserve">Iluminação temática para sessões ao entardecer/noite.</t>
  </si>
  <si>
    <t xml:space="preserve">Locação de gerador (com combustível)</t>
  </si>
  <si>
    <t xml:space="preserve">2.500 – 3.800 – 8.000</t>
  </si>
  <si>
    <t xml:space="preserve">Premissa: necessário em 5 das 10 praças; nas demais, ligação provisória à rede confirmada em vistoria.</t>
  </si>
  <si>
    <t xml:space="preserve">Operação de som em todas as apresentações.</t>
  </si>
  <si>
    <t xml:space="preserve">Montador/cenotécnico</t>
  </si>
  <si>
    <t xml:space="preserve">Montagem e desmontagem da cenografia modular.</t>
  </si>
  <si>
    <t xml:space="preserve">Frete/caminhão para cenário e equipamentos</t>
  </si>
  <si>
    <t xml:space="preserve">Transporte da cenografia ida e volta no mesmo dia (escopo §8.4).</t>
  </si>
  <si>
    <t xml:space="preserve">Van com motorista – elenco e equipe</t>
  </si>
  <si>
    <t xml:space="preserve">Deslocamento diário BH–município (percursos curtos).</t>
  </si>
  <si>
    <t xml:space="preserve">6 atores + 3 músicos + 7 de produção/técnica por dia de apresentação.</t>
  </si>
  <si>
    <t xml:space="preserve">Hospedagem (condicional)</t>
  </si>
  <si>
    <t xml:space="preserve">Premissa: 1 pernoite em praça mais distante (ex.: Paraopeba), só se o horário impedir retorno seguro (escopo §13).</t>
  </si>
  <si>
    <t xml:space="preserve">Complementar aos sanitários do entorno; ao menos 1 PcD por praça.</t>
  </si>
  <si>
    <t xml:space="preserve">Exigência de segurança para público de ~1.000 pessoas.</t>
  </si>
  <si>
    <t xml:space="preserve">Controle de lotação e rotas de emergência (pendência 10).</t>
  </si>
  <si>
    <t xml:space="preserve">Taxas, alvarás e ART de estruturas</t>
  </si>
  <si>
    <t xml:space="preserve">1 verba por praça (Bombeiros/prefeitura/ART do palco).</t>
  </si>
  <si>
    <t xml:space="preserve">Cobertura de equipe e público durante a circulação.</t>
  </si>
  <si>
    <t xml:space="preserve">ECAD (eventos gratuitos)</t>
  </si>
  <si>
    <t xml:space="preserve">Repertório tradicional majoritariamente em domínio público + criações originais; conforme regulamento (IN art. 29).</t>
  </si>
  <si>
    <t xml:space="preserve">Evidência de execução por praça (escopo §6 e §15).</t>
  </si>
  <si>
    <t xml:space="preserve">Registro audiovisual integral acessível e clipes (secundário)</t>
  </si>
  <si>
    <t xml:space="preserve">Registro audiovisual – captação (inclui 1 sessão integral multicâmera)</t>
  </si>
  <si>
    <t xml:space="preserve">Captação integral de 1 apresentação + clipes de 2 praças (escopo §8.5).</t>
  </si>
  <si>
    <t xml:space="preserve">Edição/finalização – vídeo integral do espetáculo</t>
  </si>
  <si>
    <t xml:space="preserve">Vídeo integral a ser publicado com legendas, Libras e audiodescrição (ampliação de acesso, IN art. 42, III).</t>
  </si>
  <si>
    <t xml:space="preserve">Edição/finalização – clipes curtos</t>
  </si>
  <si>
    <t xml:space="preserve">Clipes para difusão digital gratuita.</t>
  </si>
  <si>
    <t xml:space="preserve">Produtor(a) executivo(a) – encerramento e relatórios</t>
  </si>
  <si>
    <t xml:space="preserve">Jan/2028: consolidação de comprovações de metas, público e acessibilidade.</t>
  </si>
  <si>
    <t xml:space="preserve">Ago/2027–jan/2028 (IN art. 17, §2º).</t>
  </si>
  <si>
    <t xml:space="preserve">Assessoria jurídica (contratos, direitos autorais e cessões de imagem)</t>
  </si>
  <si>
    <t xml:space="preserve">Contratos de autor, elenco, grupos locais e autorizações de imagem (pendências 9 e 15).</t>
  </si>
  <si>
    <t xml:space="preserve">Intérprete de Libras (dupla) nas apresentações</t>
  </si>
  <si>
    <t xml:space="preserve">Todas as 10 apresentações. [Acessibilidade de conteúdo lançada como item do produto, conforme exemplo do Manual do Proponente 2026, p. 47.]</t>
  </si>
  <si>
    <t xml:space="preserve">Audiodescrição ao vivo (roteiro único + narração por sessão, com receptores)</t>
  </si>
  <si>
    <t xml:space="preserve">Medida presencial para pessoas cegas/baixa visão; roteiro reaproveitado reduz custo por sessão (faixa 2–4,5 mil). [Acessibilidade de conteúdo lançada como item do produto, conforme exemplo do Manual do Proponente 2026, p. 47.]</t>
  </si>
  <si>
    <t xml:space="preserve">Programa em braille/fonte ampliada</t>
  </si>
  <si>
    <t xml:space="preserve">10 por praça. [Acessibilidade de conteúdo lançada como item do produto, conforme exemplo do Manual do Proponente 2026, p. 47.]</t>
  </si>
  <si>
    <t xml:space="preserve">Janela de Libras no vídeo integral</t>
  </si>
  <si>
    <t xml:space="preserve">Vídeo de até 90 min (gravação + edição da janela). [Acessibilidade de conteúdo lançada como item do produto, conforme exemplo do Manual do Proponente 2026, p. 47.]</t>
  </si>
  <si>
    <t xml:space="preserve">Audiodescrição gravada do vídeo integral</t>
  </si>
  <si>
    <t xml:space="preserve">Requisito da ampliação de acesso (IN art. 42, III). [Acessibilidade de conteúdo lançada como item do produto, conforme exemplo do Manual do Proponente 2026, p. 47.]</t>
  </si>
  <si>
    <t xml:space="preserve">Legendagem descritiva do vídeo integral</t>
  </si>
  <si>
    <t xml:space="preserve">Premissa (sem item no catálogo): legenda para surdos e ensurdecidos. [Acessibilidade de conteúdo lançada como item do produto, conforme exemplo do Manual do Proponente 2026, p. 47.]</t>
  </si>
  <si>
    <t xml:space="preserve">Base estimada R$ 81.600 (dramaturgia. direção artística e musical. mestres. desenho de luz. músicos do núcleo e produtores locais pagos por RPA) × 20%. Elenco e grupos locais previstos como MEI/PJ (sem INSS patronal); se forem RPA. rever esta linha.</t>
  </si>
  <si>
    <t xml:space="preserve">2% do valor total (IN art. 22, VIII).</t>
  </si>
  <si>
    <t xml:space="preserve">IN art. 22, IX.</t>
  </si>
  <si>
    <t xml:space="preserve">Set–dez/2027.</t>
  </si>
  <si>
    <t xml:space="preserve">Conta vinculada do projeto.</t>
  </si>
  <si>
    <t xml:space="preserve">Plano de acessibilidade por praça conforme Guia MDHC (IN art. 40) e pendência 5.</t>
  </si>
  <si>
    <t xml:space="preserve">Acolhimento, área reservada e rotas acessíveis.</t>
  </si>
  <si>
    <t xml:space="preserve">Designer gráfico (identidade e peças, com versões acessíveis)</t>
  </si>
  <si>
    <t xml:space="preserve">Identidade do espetáculo e serviço por município, com marcas obrigatórias (IN art. 21).</t>
  </si>
  <si>
    <t xml:space="preserve">Imprensa regional dos 9 municípios.</t>
  </si>
  <si>
    <t xml:space="preserve">Out–dez/2027.</t>
  </si>
  <si>
    <t xml:space="preserve">Uso pontual (escopo §11).</t>
  </si>
  <si>
    <t xml:space="preserve">Banner/lona impressa</t>
  </si>
  <si>
    <t xml:space="preserve">Identificação do palco e serviço com marcas.</t>
  </si>
  <si>
    <t xml:space="preserve">• Período: pré-produção ago–out/2027, circulação fim de out–dez/2027, pós-produção jan/2028 (escopo §12).</t>
  </si>
  <si>
    <t xml:space="preserve">• 10 apresentações (BH 2 + 8 municípios) com montagem, apresentação e desmontagem no mesmo dia; retorno diário a BH. Hospedagem só em 1 praça (16 pessoas).</t>
  </si>
  <si>
    <t xml:space="preserve">• Elenco de 6 atores/atrizes (incluindo narrador) e núcleo musical itinerante de 3 músicos; 2 meses de ensaio e 2 de circulação.</t>
  </si>
  <si>
    <t xml:space="preserve">• 1 grupo musical local remunerado por apresentação (10 cachês de R$ 2.500, incluindo 2–3 ensaios de integração).</t>
  </si>
  <si>
    <t xml:space="preserve">• Estrutura de pequeno porte (palco 8x6, som e luz de pequeno porte); gerador em 5 praças, com as demais ligadas à rede (confirmar em vistoria).</t>
  </si>
  <si>
    <t xml:space="preserve">• Elenco e grupos locais contratados como MEI/PJ. INSS patronal de 20% só sobre os pagamentos por RPA (R$ 81,6 mil), resultando em R$ 16.320.</t>
  </si>
  <si>
    <t xml:space="preserve">• Acessibilidade: Libras e audiodescrição ao vivo nas 10 sessões, consultor, monitores, braille e vídeo integral com Libras, AD e legendas.</t>
  </si>
  <si>
    <t xml:space="preserve">• Sem oficina de presépios e sem custos de feira (pendências 16 e 17).</t>
  </si>
  <si>
    <t xml:space="preserve">• A cenografia (R$ 28.044) absorve o arredondamento para fechar exatamente em R$ 700.000.</t>
  </si>
  <si>
    <t xml:space="preserve">• Ajuste de fechamento: R$ -8.087,87 aplicado em 'Elenco (6 atores/atrizes) – temporada de circulação' para fechar o valor total com percentuais inteiros,</t>
  </si>
  <si>
    <t xml:space="preserve">Mantém o objeto (criação + circulação gratuita) em formato enxuto: 3 apresentações (BH centro, Barreiro e 1 município) em equipamentos culturais públicos com palco, som e luz próprios, o que elimina palco, gerador e banheiros químicos. Elenco de 4 atores + 2 músicos, com 1 mês de ensaio. Cenografia simplificada (~R$ 8 mil). Grupos locais só em 3 praças. Sem vídeo integral: no lugar dele, Libras e AD presenciais nas 3 sessões e ensaio aberto (art. 42, V) como ampliação de acesso. Divulgação só digital. Custos vinculados proporcionais (adm ~8%, acessibilidade/divulgação ~16%, captação 10%).</t>
  </si>
  <si>
    <t xml:space="preserve">P10 – Natal nas Cidades Mineiras | Planilha orçamentária no padrão SALIC (IN MinC 29/2026)</t>
  </si>
  <si>
    <t xml:space="preserve">Gustavo Ribeiro / Gustavo Ribeiro (pasta '02. Natal nas Cidades Mineiras - Gustavo Ribeiro'); nos documentos o proponente é 'Arminde', com Gustavo Ribeiro como representante legal / A confirmar</t>
  </si>
  <si>
    <t xml:space="preserve">Espetáculo Auto de Natal – 5 apresentações gratuitas em praças (criação/adaptação e circulação) – Artes Cênicas / Apresentação ou Performance de Teatro → Art. 18</t>
  </si>
  <si>
    <t xml:space="preserve">≈5.000 espectadores do Auto (≈1.000 por cidade; a validar pela lotação das praças) + público da feira e da ambientação</t>
  </si>
  <si>
    <t xml:space="preserve">Belo Horizonte (bairro fora do centro), Sabará, Ouro Preto, São João del-Rei, Diamantina (MG)</t>
  </si>
  <si>
    <t xml:space="preserve">6 meses (set/2027–fev/2028)</t>
  </si>
  <si>
    <t xml:space="preserve">Espetáculo Auto de Natal – circulação em 5 municípios (principal)</t>
  </si>
  <si>
    <t xml:space="preserve">Set/2027: anuências municipais, contratos, plano de circulação (pendências 01–05).</t>
  </si>
  <si>
    <t xml:space="preserve">Out/2027: cotações, licenças de patrimônio e logística das 5 cidades.</t>
  </si>
  <si>
    <t xml:space="preserve">Dramaturgia/adaptação do Auto de Natal</t>
  </si>
  <si>
    <t xml:space="preserve">Texto criado ou adaptado para o projeto (escopo §03). Exige anuência ou contrato do autor (Anexo II 3.3).</t>
  </si>
  <si>
    <t xml:space="preserve">Direção cênica – criação e montagem</t>
  </si>
  <si>
    <t xml:space="preserve">Montagem adaptável a praças com características diversas (escopo §03).</t>
  </si>
  <si>
    <t xml:space="preserve">Direção musical e arranjos (integração com corais locais)</t>
  </si>
  <si>
    <t xml:space="preserve">Arranjos do Auto e das partes integradas às cantatas locais.</t>
  </si>
  <si>
    <t xml:space="preserve">Cenografia itinerante desmontável (criação e confecção)</t>
  </si>
  <si>
    <t xml:space="preserve">Cenário reutilizável nas 5 cidades, instalação reversível sem perfurações (escopo §03 e §10). Valor ajustado ao teto.</t>
  </si>
  <si>
    <t xml:space="preserve">Figurinos</t>
  </si>
  <si>
    <t xml:space="preserve">4 atores + 2 músicos.</t>
  </si>
  <si>
    <t xml:space="preserve">Desenho de luz cênica e da ambientação LED</t>
  </si>
  <si>
    <t xml:space="preserve">Luz do espetáculo e da ambientação temporária vinculada à cena (escopo §03).</t>
  </si>
  <si>
    <t xml:space="preserve">Elenco (4 atores/atrizes) – ensaios de montagem</t>
  </si>
  <si>
    <t xml:space="preserve">Out/2027: 1 mês de ensaios intensivos (montagem enxuta/adaptação, escopo §03 e §11). Contratação prevista via MEI.</t>
  </si>
  <si>
    <t xml:space="preserve">Premissa: sala temporária em BH (sem item no catálogo; cotação a anexar).</t>
  </si>
  <si>
    <t xml:space="preserve">Van com motorista – visitas técnicas</t>
  </si>
  <si>
    <t xml:space="preserve">MG - Circuito BH, Sabará, Ouro Preto, São João del-Rei, Diamantina</t>
  </si>
  <si>
    <t xml:space="preserve">Visitas às praças de Sabará, Ouro Preto, São João del-Rei e Diamantina (pendência 04).</t>
  </si>
  <si>
    <t xml:space="preserve">Apresentações de canto coral/cantata natalina (secundário)</t>
  </si>
  <si>
    <t xml:space="preserve">Produtor(a) local – mapeamento e contratação de corais</t>
  </si>
  <si>
    <t xml:space="preserve">2 diárias por cidade (pendência 07).</t>
  </si>
  <si>
    <t xml:space="preserve">Nov–dez/2027: 5 edições.</t>
  </si>
  <si>
    <t xml:space="preserve">Operação itinerante.</t>
  </si>
  <si>
    <t xml:space="preserve">Elenco (4 atores/atrizes) – circulação</t>
  </si>
  <si>
    <t xml:space="preserve">5 apresentações em nov–dez/2027 com viagens de vários dias. [Linha de equilíbrio: ajustada em R$ -5,325.00 para fechar o valor total com os percentuais de custos vinculados escolhidos no SALIC.]</t>
  </si>
  <si>
    <t xml:space="preserve">Músicos do núcleo (cachê por apresentação, inclui ensaio)</t>
  </si>
  <si>
    <t xml:space="preserve">2 músicos (um também narrador) garantem a música ao vivo do Auto; os corais locais completam a parte musical.</t>
  </si>
  <si>
    <t xml:space="preserve">Cachê de coral/grupo de cantata local</t>
  </si>
  <si>
    <t xml:space="preserve">1 coral por cidade (escopo §05 e §08). Abaixo do teto de R$ 50 mil (art. 26, II).</t>
  </si>
  <si>
    <t xml:space="preserve">1 apresentação por cidade (teatro + coral).</t>
  </si>
  <si>
    <t xml:space="preserve">Teatro com microfonação + coral.</t>
  </si>
  <si>
    <t xml:space="preserve">Luz do espetáculo.</t>
  </si>
  <si>
    <t xml:space="preserve">Ambientação cênica temporária de iluminação (secundário)</t>
  </si>
  <si>
    <t xml:space="preserve">Locação de iluminação LED/projetores para ambientação temporária</t>
  </si>
  <si>
    <t xml:space="preserve">1 diária por cidade (noite da edição), só durante a programação (escopo §03: sem decoração urbana extensa).</t>
  </si>
  <si>
    <t xml:space="preserve">1 diária por cidade (dia do espetáculo); centros históricos sem ponto de energia dimensionado (pendência 04).</t>
  </si>
  <si>
    <t xml:space="preserve">Técnico de luz</t>
  </si>
  <si>
    <t xml:space="preserve">Montagem e desmontagem reversível em 5 cidades.</t>
  </si>
  <si>
    <t xml:space="preserve">6 trechos: BH→Sabará→Ouro Preto→São João del-Rei→Diamantina→BH (escopo §11).</t>
  </si>
  <si>
    <t xml:space="preserve">Viagens de 2–3 dias às cidades do interior.</t>
  </si>
  <si>
    <t xml:space="preserve">Hospedagem</t>
  </si>
  <si>
    <t xml:space="preserve">12 pessoas × 4 noites (1 em Ouro Preto, 1 em São João del-Rei, 2 em Diamantina); BH e Sabará com retorno no mesmo dia.</t>
  </si>
  <si>
    <t xml:space="preserve">Dias de viagem e de edição.</t>
  </si>
  <si>
    <t xml:space="preserve">Dia do espetáculo; operação de um eventual 2º dia de feira fica com município/expositores.</t>
  </si>
  <si>
    <t xml:space="preserve">Taxas, alvarás, ART e autorizações (inclui órgãos de patrimônio)</t>
  </si>
  <si>
    <t xml:space="preserve">Ouro Preto, Diamantina, São João del-Rei e Sabará têm áreas tombadas (pendência 04).</t>
  </si>
  <si>
    <t xml:space="preserve">Repertório natalino tradicional + arranjos.</t>
  </si>
  <si>
    <t xml:space="preserve">Evidência por cidade.</t>
  </si>
  <si>
    <t xml:space="preserve">Registro audiovisual – vídeo-síntese (secundário)</t>
  </si>
  <si>
    <t xml:space="preserve">Registro audiovisual – captação</t>
  </si>
  <si>
    <t xml:space="preserve">Captação em 3 das 5 cidades para o vídeo-síntese.</t>
  </si>
  <si>
    <t xml:space="preserve">Edição/finalização do vídeo-síntese</t>
  </si>
  <si>
    <t xml:space="preserve">Vídeo-síntese de memória (escopo §08).</t>
  </si>
  <si>
    <t xml:space="preserve">Jan/2028: relatórios, metas e comprovações.</t>
  </si>
  <si>
    <t xml:space="preserve">Set/2027–fev/2028.</t>
  </si>
  <si>
    <t xml:space="preserve">Assessoria jurídica (contratos, direitos, partes relacionadas)</t>
  </si>
  <si>
    <t xml:space="preserve">Inclui parecer sobre a contratação de empresa ligada à Arminde (pendência 15).</t>
  </si>
  <si>
    <t xml:space="preserve">Auto de Natal e coral em todas as cidades. [Acessibilidade de conteúdo lançada como item do produto, conforme exemplo do Manual do Proponente 2026, p. 47.]</t>
  </si>
  <si>
    <t xml:space="preserve">Audiodescrição ao vivo do Auto (com sistema de escuta)</t>
  </si>
  <si>
    <t xml:space="preserve">Escopo §09 prevê AD com transmissão ao vivo. [Acessibilidade de conteúdo lançada como item do produto, conforme exemplo do Manual do Proponente 2026, p. 47.]</t>
  </si>
  <si>
    <t xml:space="preserve">Libras, audiodescrição e legendas no vídeo-síntese</t>
  </si>
  <si>
    <t xml:space="preserve">Acessibilidade do produto audiovisual (escopo §09). [Acessibilidade de conteúdo lançada como item do produto, conforme exemplo do Manual do Proponente 2026, p. 47.]</t>
  </si>
  <si>
    <t xml:space="preserve">Base estimada R$ 50.500 (dramaturgia. direções. desenho de luz. músicos e produtores locais por RPA) × 20%. Elenco e corais previstos como MEI/PJ.</t>
  </si>
  <si>
    <t xml:space="preserve">Consultor(a) de acessibilidade</t>
  </si>
  <si>
    <t xml:space="preserve">Visita técnica e plano por cidade conforme Guia MDHC (pendência 09).</t>
  </si>
  <si>
    <t xml:space="preserve">2 dias por cidade.</t>
  </si>
  <si>
    <t xml:space="preserve">Acesso a áreas reservadas em calçamento histórico irregular.</t>
  </si>
  <si>
    <t xml:space="preserve">Designer gráfico</t>
  </si>
  <si>
    <t xml:space="preserve">Identidade comum + serviço por cidade, com marcas obrigatórias.</t>
  </si>
  <si>
    <t xml:space="preserve">Imprensa regional.</t>
  </si>
  <si>
    <t xml:space="preserve">• Planilha da versão SALIC do escopo, com o Auto de Natal como produto principal; serve tanto para a submissão isolada quanto como base para fusão ou reposicionamento.</t>
  </si>
  <si>
    <t xml:space="preserve">• 5 edições (1 por cidade). Custos incentivados só no dia da apresentação. O 2º dia de feira, se houver, fica com município e expositores (sem tendas pagas pelo projeto).</t>
  </si>
  <si>
    <t xml:space="preserve">• Elenco de 4 atores + 2 músicos (um deles narrador); 1 mês de ensaio (montagem enxuta ou adaptação) e 2 meses de circulação; elenco e corais contratados como MEI/PJ.</t>
  </si>
  <si>
    <t xml:space="preserve">• 1 coral local por cidade (R$ 3.500).</t>
  </si>
  <si>
    <t xml:space="preserve">• Estrutura de pequeno porte (palco 8x6, som e luz pequenos, gerador) e ambientação LED 1 diária por cidade.</t>
  </si>
  <si>
    <t xml:space="preserve">• Rota BH→Sabará→Ouro Preto→São João del-Rei→Diamantina→BH; 4 pernoites (12 pessoas).</t>
  </si>
  <si>
    <t xml:space="preserve">• INSS 20% sobre RPA (base R$ 50,5 mil) = R$ 10.100.</t>
  </si>
  <si>
    <t xml:space="preserve">• A cenografia (R$ 24.750) absorve o arredondamento para fechar em R$ 500.000.</t>
  </si>
  <si>
    <t xml:space="preserve">• Ajuste de fechamento: R$ -5.325,00 aplicado em 'Elenco (4 atores/atrizes) – circulação' para fechar o valor total com percentuais inteiros,</t>
  </si>
  <si>
    <t xml:space="preserve">2 cidades sem pernoite (BH bairro + Sabará), Auto adaptado com 3 atores + 1 músico e cenografia mínima (~R$ 6 mil), 1 coral local por cidade, estrutura de pequeno porte só no dia, sem ambientação LED separada (a luz cênica cumpre esse papel), sem vídeo-síntese (só registro fotográfico), Libras e AD nas 2 sessões, e ação com escolas como ampliação de acesso. Sem feira. Custos vinculados proporcionais.</t>
  </si>
  <si>
    <t xml:space="preserve">P11 – Festa Junina 2027 – Saberes e Tradições do Forró | Planilha orçamentária no padrão SALIC (IN MinC 29/2026)</t>
  </si>
  <si>
    <t xml:space="preserve">Mobox / Pasta '02. Festa Junina 2027' (sem nome de proponente); nos documentos: Mobox Produções / PJ</t>
  </si>
  <si>
    <t xml:space="preserve">Festival/Festa: circuito Festa Junina – Saberes e Tradições do Forró (4 municípios, 8 dias). Pelo art. 46, parágrafo único, o enquadramento é dado pelo secundário de maior valor: as 16 apresentações das Matrizes Tradicionais do Forró – Patrimônio Cultural / Salvaguarda do patrimônio cultural imaterial (produto Festival, Bienal, Festa ou Feira) → Art. 18</t>
  </si>
  <si>
    <t xml:space="preserve">10.000 pessoas nas festas (≈2.500 por município) + 360 participantes de oficinas + público online dos 4 minidocumentários</t>
  </si>
  <si>
    <t xml:space="preserve">Sete Lagoas, Paraopeba, Esmeraldas, Pedro Leopoldo (MG) – preliminares; alternativa Matozinhos</t>
  </si>
  <si>
    <t xml:space="preserve">6 meses (abr–set/2027)</t>
  </si>
  <si>
    <t xml:space="preserve">Festa Junina – Saberes e Tradições do Forró (principal: Festival/Festa)</t>
  </si>
  <si>
    <t xml:space="preserve">Abr–mai/2027: vistorias, autorizações, curadoria, contratos (projeto §14).</t>
  </si>
  <si>
    <t xml:space="preserve">Fornecedores, licenças e logística de 4 municípios.</t>
  </si>
  <si>
    <t xml:space="preserve">Apresentações musicais das Matrizes Tradicionais do Forró – 16 (secundário de maior valor)</t>
  </si>
  <si>
    <t xml:space="preserve">Curadoria participativa (referência do forró, referência de quadrilhas e pesquisador de cultura popular)</t>
  </si>
  <si>
    <t xml:space="preserve">3 curadores remunerados em regime parcial (projeto §8.1): referência do forró, referência das quadrilhas e pesquisador de cultura popular. Seleção de 16 atrações e 12 quadrilhas e validação dos conteúdos.</t>
  </si>
  <si>
    <t xml:space="preserve">Mapeamento cultural e 4 minidocumentários (secundário)</t>
  </si>
  <si>
    <t xml:space="preserve">Pesquisador(a) – mapeamento cultural simplificado</t>
  </si>
  <si>
    <t xml:space="preserve">MG - Sete Lagoas, Paraopeba, Esmeraldas, Pedro Leopoldo</t>
  </si>
  <si>
    <t xml:space="preserve">Premissa (faixa de coordenação/curadoria): levantamento consentido de mestres, artistas e grupos nos 4 municípios (projeto §8.2; Anexo II 8.8.3).</t>
  </si>
  <si>
    <t xml:space="preserve">Oficinas de saberes juninos – 12 turmas (secundário)</t>
  </si>
  <si>
    <t xml:space="preserve">Coordenador(a) pedagógico(a) das oficinas</t>
  </si>
  <si>
    <t xml:space="preserve">Planos de aula, carga horária e conteúdo programático das 12 turmas (Anexo II 7.3; checklist item 10).</t>
  </si>
  <si>
    <t xml:space="preserve">Produtor(a) local – mobilização de escolas, quadrilhas e detentores</t>
  </si>
  <si>
    <t xml:space="preserve">6 diárias por município (projeto §6 e §7.2).</t>
  </si>
  <si>
    <t xml:space="preserve">Ambientação junina reutilizável e painéis educativos acessíveis (criação e confecção)</t>
  </si>
  <si>
    <t xml:space="preserve">Bandeirolas, adereços e painéis sobre o forró como patrimônio, reaproveitados nas 4 cidades (projeto §7.4 e §11). Valor ajustado ao teto.</t>
  </si>
  <si>
    <t xml:space="preserve">Van com motorista – vistorias técnicas</t>
  </si>
  <si>
    <t xml:space="preserve">Vistoria das praças e equipamentos (checklist itens 07 e 13).</t>
  </si>
  <si>
    <t xml:space="preserve">Jun–jul/2027: 4 fins de semana + semanas formativas.</t>
  </si>
  <si>
    <t xml:space="preserve">Operação de palco, camarim e oficinas.</t>
  </si>
  <si>
    <t xml:space="preserve">Cachê de grupo/trio de forró tradicional – atração de referência</t>
  </si>
  <si>
    <t xml:space="preserve">1 por município (baião, xote, xaxado, arrasta-pé). Abaixo do teto de R$ 50 mil (art. 26, II).</t>
  </si>
  <si>
    <t xml:space="preserve">Cachê de trio/grupo mineiro de forró pé de serra</t>
  </si>
  <si>
    <t xml:space="preserve">3 por município (projeto §7.1); trios de sanfona, zabumba e triângulo, com prioridade a mestres e artistas mineiros. Faixa 2,5–8 mil. [Linha de equilíbrio: ajustada em R$ -10,011.00 para fechar o valor total com os percentuais de custos vinculados escolhidos no SALIC.]</t>
  </si>
  <si>
    <t xml:space="preserve">Sábado (tarde/noite): atração de referência + 2 trios (projeto §6). Montagem na véspera sem diária adicional (a cotar).</t>
  </si>
  <si>
    <t xml:space="preserve">Locação de sonorização médio porte (sábado)</t>
  </si>
  <si>
    <t xml:space="preserve">2.700 – 4.600 – 8.000</t>
  </si>
  <si>
    <t xml:space="preserve">Público de até 2.500 pessoas.</t>
  </si>
  <si>
    <t xml:space="preserve">Mostras de quadrilhas juninas – 12 (secundário)</t>
  </si>
  <si>
    <t xml:space="preserve">Locação de sonorização pequeno porte – arena do domingo (mostra de quadrilhas e trio)</t>
  </si>
  <si>
    <t xml:space="preserve">Domingo (manhã/tarde): quadrilhas dançam no chão da praça e 1 trio se apresenta em tablado/tenda; não exige palco nem luz.</t>
  </si>
  <si>
    <t xml:space="preserve">Locação de iluminação médio porte (sábado à noite)</t>
  </si>
  <si>
    <t xml:space="preserve">Sábado à noite.</t>
  </si>
  <si>
    <t xml:space="preserve">1 por município, conforme regulamento (art. 29).</t>
  </si>
  <si>
    <t xml:space="preserve">Cachê de quadrilha de referência (profissional/tradicional)</t>
  </si>
  <si>
    <t xml:space="preserve">1 por município (projeto §7.2).</t>
  </si>
  <si>
    <t xml:space="preserve">Cachê de quadrilha escolar/comunitária (ajuda de custo ao grupo)</t>
  </si>
  <si>
    <t xml:space="preserve">2 por município; mostra não competitiva.</t>
  </si>
  <si>
    <t xml:space="preserve">Ônibus com motorista – quadrilhas de referência</t>
  </si>
  <si>
    <t xml:space="preserve">Deslocamento dos grupos de referência.</t>
  </si>
  <si>
    <t xml:space="preserve">Van com motorista – quadrilhas escolares/comunitárias</t>
  </si>
  <si>
    <t xml:space="preserve">Transporte seguro de crianças e adolescentes (checklist item 08).</t>
  </si>
  <si>
    <t xml:space="preserve">Oficineiro(a) – ornamentação, dança de forró e culinária junina</t>
  </si>
  <si>
    <t xml:space="preserve">12 turmas × 9 h (3 encontros de 3 h), 30 vagas cada (projeto §7.3).</t>
  </si>
  <si>
    <t xml:space="preserve">Mestre(a)/detentor(a) – co-condução das oficinas de dança e culinária</t>
  </si>
  <si>
    <t xml:space="preserve">Transmissão por detentores (eixo 1 do Plano de Salvaguarda; Anexo II 8.8.2).</t>
  </si>
  <si>
    <t xml:space="preserve">Material de consumo das oficinas (adereços e insumos de demonstração culinária)</t>
  </si>
  <si>
    <t xml:space="preserve">360 vagas. Insumos de culinária só para demonstração, sem venda nem distribuição de alimentos ao público.</t>
  </si>
  <si>
    <t xml:space="preserve">3 encontros por turma.</t>
  </si>
  <si>
    <t xml:space="preserve">Mestre de cerimônias com mediação cultural</t>
  </si>
  <si>
    <t xml:space="preserve">Sábado; no domingo, a mediação é feita pela curadoria (já remunerada).</t>
  </si>
  <si>
    <t xml:space="preserve">Premissa: energia do palco por ligação provisória à rede (anuência municipal); gerador só no sábado à noite como redundância.</t>
  </si>
  <si>
    <t xml:space="preserve">Locação de tenda 10x10 (camarim, acessibilidade, painéis)</t>
  </si>
  <si>
    <t xml:space="preserve">Não inclui barracas de venda; expositores usam estrutura própria ou municipal.</t>
  </si>
  <si>
    <t xml:space="preserve">Banheiro químico (inclui PcD) – sábado</t>
  </si>
  <si>
    <t xml:space="preserve">Complemento aos sanitários do parque ou praça (a pactuar); ao menos 2 PcD por dia.</t>
  </si>
  <si>
    <t xml:space="preserve">Banheiro químico (inclui PcD) – domingo</t>
  </si>
  <si>
    <t xml:space="preserve">Brigadista/socorrista (sábado)</t>
  </si>
  <si>
    <t xml:space="preserve">Brigadista/socorrista (domingo)</t>
  </si>
  <si>
    <t xml:space="preserve">Segurança/controlador de acesso (sábado)</t>
  </si>
  <si>
    <t xml:space="preserve">Controle de acesso e rotas; policiamento ostensivo é atribuição pública.</t>
  </si>
  <si>
    <t xml:space="preserve">Segurança/controlador de acesso (domingo)</t>
  </si>
  <si>
    <t xml:space="preserve">Público menor no domingo diurno (~1.000).</t>
  </si>
  <si>
    <t xml:space="preserve">Ambulância com equipe de atendimento pré-hospitalar</t>
  </si>
  <si>
    <t xml:space="preserve">Premissa (sem item no catálogo; cotação a anexar): conforme análise de risco (projeto §11).</t>
  </si>
  <si>
    <t xml:space="preserve">Gradil/isolamento</t>
  </si>
  <si>
    <t xml:space="preserve">Premissa: isolamento de palco, gerador e rotas de emergência.</t>
  </si>
  <si>
    <t xml:space="preserve">Equipe de limpeza</t>
  </si>
  <si>
    <t xml:space="preserve">Premissa (faixa de apoio operacional).</t>
  </si>
  <si>
    <t xml:space="preserve">Plano ambiental (projeto §10; checklist item 15).</t>
  </si>
  <si>
    <t xml:space="preserve">Montagem da ambientação e apoio de palco.</t>
  </si>
  <si>
    <t xml:space="preserve">Frete/caminhão para ambientação e equipamentos</t>
  </si>
  <si>
    <t xml:space="preserve">Ida e volta por município.</t>
  </si>
  <si>
    <t xml:space="preserve">Van com motorista – equipe</t>
  </si>
  <si>
    <t xml:space="preserve">Equipe de produção, técnica e artistas nos dias de festa.</t>
  </si>
  <si>
    <t xml:space="preserve">1 noite em Sete Lagoas e 1 em Paraopeba (sábado→domingo), 12 pessoas.</t>
  </si>
  <si>
    <t xml:space="preserve">Sábados; domingos e oficinas registrados pela equipe audiovisual.</t>
  </si>
  <si>
    <t xml:space="preserve">Registro audiovisual – captação (festas, oficinas e depoimentos de detentores)</t>
  </si>
  <si>
    <t xml:space="preserve">2 diárias por município (festa + depoimentos) para os minidocumentários (projeto §8.3).</t>
  </si>
  <si>
    <t xml:space="preserve">Edição/finalização de minidocumentário (~5 min)</t>
  </si>
  <si>
    <t xml:space="preserve">Pesquisador(a) – consolidação do mapeamento</t>
  </si>
  <si>
    <t xml:space="preserve">Relação consolidada de referências culturais, a ser incorporada aos bancos de dados do MinC e do Iphan (art. 41, §9º).</t>
  </si>
  <si>
    <t xml:space="preserve">Coordenador(a) geral – encerramento</t>
  </si>
  <si>
    <t xml:space="preserve">Relatórios e comprovação de metas.</t>
  </si>
  <si>
    <t xml:space="preserve">Assessoria jurídica (anuências, direitos de imagem, menores, contratos)</t>
  </si>
  <si>
    <t xml:space="preserve">Checklist itens 03, 08, 14 e 17.</t>
  </si>
  <si>
    <t xml:space="preserve">Intérprete de Libras (dupla) – shows e mostras</t>
  </si>
  <si>
    <t xml:space="preserve">Todos os dias de festa. [Acessibilidade de conteúdo lançada como item do produto, conforme exemplo do Manual do Proponente 2026, p. 47.]</t>
  </si>
  <si>
    <t xml:space="preserve">Intérprete de Libras – oficinas</t>
  </si>
  <si>
    <t xml:space="preserve">Encontros de abertura das 12 turmas. [Acessibilidade de conteúdo lançada como item do produto, conforme exemplo do Manual do Proponente 2026, p. 47.]</t>
  </si>
  <si>
    <t xml:space="preserve">Audiodescrição de conteúdos selecionados (quadrilhas e painéis)</t>
  </si>
  <si>
    <t xml:space="preserve">1 serviço por município (projeto §9). [Acessibilidade de conteúdo lançada como item do produto, conforme exemplo do Manual do Proponente 2026, p. 47.]</t>
  </si>
  <si>
    <t xml:space="preserve">Painéis e material em braille/ampliado</t>
  </si>
  <si>
    <t xml:space="preserve">Libras, legendas e audiodescrição nos 4 minidocumentários</t>
  </si>
  <si>
    <t xml:space="preserve">Difusão acessível (art. 42, III). [Acessibilidade de conteúdo lançada como item do produto, conforme exemplo do Manual do Proponente 2026, p. 47.]</t>
  </si>
  <si>
    <t xml:space="preserve">Base estimada R$ 85.640 (curadores. pesquisador. coordenação pedagógica. produtores locais. oficineiros. mestres e mestre de cerimônias por RPA) × 20%. Grupos musicais e quadrilhas contratados como PJ/MEI/associação.</t>
  </si>
  <si>
    <t xml:space="preserve">1,75% do valor total (art. 22, VIII).</t>
  </si>
  <si>
    <t xml:space="preserve">Mai–jul/2027.</t>
  </si>
  <si>
    <t xml:space="preserve">Vistoria e plano por cidade, formação atitudinal da equipe, Guia MDHC (projeto §9).</t>
  </si>
  <si>
    <t xml:space="preserve">Área reservada e acesso a tendas.</t>
  </si>
  <si>
    <t xml:space="preserve">Identidade do circuito com marcas obrigatórias.</t>
  </si>
  <si>
    <t xml:space="preserve">Impulsionamento/mídia digital e mídia local</t>
  </si>
  <si>
    <t xml:space="preserve">Escolas e comércio local.</t>
  </si>
  <si>
    <t xml:space="preserve">• Período: pré-produção abr–mai/2027, realização jun–jul/2027 (4 fins de semana + 4 semanas formativas), pós-produção ago–set/2027.</t>
  </si>
  <si>
    <t xml:space="preserve">• Por município: sábado com palco 8x6, som médio e luz (atração de referência + 2 trios + MC); domingo com arena no chão e som pequeno (3 quadrilhas + 1 trio). Total de 16 shows e 12 quadrilhas.</t>
  </si>
  <si>
    <t xml:space="preserve">• Cachês: 4 atrações de referência a R$ 7 mil e 12 trios mineiros a R$ 4 mil; 4 quadrilhas de referência a R$ 6 mil e 8 escolares ou comunitárias a R$ 2,5 mil.</t>
  </si>
  <si>
    <t xml:space="preserve">• Oficinas: 12 turmas × 9 h (3 encontros de 3 h) × 30 vagas, com oficineiro + mestre nas de dança e culinária. Espaços públicos cedidos (sem aluguel).</t>
  </si>
  <si>
    <t xml:space="preserve">• Energia elétrica da rede local com gerador só no sábado (redundância), sanitários do local complementados por banheiros químicos e policiamento público. São premissas a formalizar nas anuências municipais.</t>
  </si>
  <si>
    <t xml:space="preserve">• Barracas de venda e taxas fora do projeto incentivado.</t>
  </si>
  <si>
    <t xml:space="preserve">• Grupos e quadrilhas contratados como PJ/MEI/associação. INSS 20% sobre os pagamentos por RPA (base R$ 85,6 mil) = R$ 17.128.</t>
  </si>
  <si>
    <t xml:space="preserve">• A ambientação (R$ 21.203) absorve o arredondamento para fechar em R$ 800.000.</t>
  </si>
  <si>
    <t xml:space="preserve">• Ajuste de fechamento: R$ -10.011,00 aplicado em 'Cachê de trio/grupo mineiro de forró pé de serra' para fechar o valor total com percentuais inteiros,</t>
  </si>
  <si>
    <t xml:space="preserve">1 município (ex.: Sete Lagoas) com 1 fim de semana: 4 apresentações (1 referência + 3 trios), 3 quadrilhas e 3 oficinas (90 vagas), com 1 curador-detentor + pesquisador em regime parcial, mapeamento local e 1 minidocumentário. Estrutura de sábado e arena de domingo, Libras e AD, divulgação local. Mantém o enquadramento patrimonial: anuência dos detentores, secundário de maior valor nas apresentações e custos vinculados proporcionais.</t>
  </si>
  <si>
    <t xml:space="preserve">P12 – Bloco do Nerd / Carnaval (Bloco Nerd) | Planilha orçamentária no padrão SALIC (IN MinC 29/2026)</t>
  </si>
  <si>
    <t xml:space="preserve">Túlio Gama / Túlio Gama (pasta '01. Bloco Nerd - Tulio Gama') / PF</t>
  </si>
  <si>
    <t xml:space="preserve">Desfile festivo – cortejo carnavalesco Bloco Nerd (com ensaios abertos e lançamento) – Artes Cênicas / Desfiles festivos de caráter musical e cênico → Art. 18</t>
  </si>
  <si>
    <t xml:space="preserve">500–1.000 foliões no cortejo + ~300 nos ensaios abertos + 120 participantes de oficinas + público online do aftermovie</t>
  </si>
  <si>
    <t xml:space="preserve">Belo Horizonte (MG)</t>
  </si>
  <si>
    <t xml:space="preserve">6 meses (out/2027–mar/2028)</t>
  </si>
  <si>
    <t xml:space="preserve">Desfile festivo – cortejo carnavalesco Bloco Nerd com ensaios abertos e lançamento (principal)</t>
  </si>
  <si>
    <t xml:space="preserve">Coordenador(a) geral (proponente PF)</t>
  </si>
  <si>
    <t xml:space="preserve">Dez/2027: coordenação geral e direção criativa do cortejo (Túlio Gama, proponente PF), percurso e autorizações (PBH/Belotur/BHTrans), contratos e direitos.</t>
  </si>
  <si>
    <t xml:space="preserve">Jan–fev/2028: oficinas, ensaios, cortejo. Remuneração total do proponente PF R$ 21 mil (8,4% do captado), abaixo do limite de 30% (art. 23, §2º, II).</t>
  </si>
  <si>
    <t xml:space="preserve">Jan/2028: fornecedores (trio, corda, segurança), oficinas e cronograma.</t>
  </si>
  <si>
    <t xml:space="preserve">Mestre de bateria/arranjador – arranjos de 10–12 temas para bateria</t>
  </si>
  <si>
    <t xml:space="preserve">Arranjos em ritmos de carnaval (marchinha, samba, frevo, axé) executados ao vivo; substitui o playback (escopo §2).</t>
  </si>
  <si>
    <t xml:space="preserve">Estandarte, bandeiras e elementos cenográficos do cortejo</t>
  </si>
  <si>
    <t xml:space="preserve">Identidade visual própria do bloco (escopo §9). Valor ajustado ao teto.</t>
  </si>
  <si>
    <t xml:space="preserve">Figurinos da bateria</t>
  </si>
  <si>
    <t xml:space="preserve">10 músicos; cosplayers convidados usam figurino próprio.</t>
  </si>
  <si>
    <t xml:space="preserve">Abadás/camisetas de identificação</t>
  </si>
  <si>
    <t xml:space="preserve">Equipe, músicos e cordistas (pendência 11). Sem venda.</t>
  </si>
  <si>
    <t xml:space="preserve">Licenciamento de obras musicais para arranjo e execução (temas de games/filmes/animes)</t>
  </si>
  <si>
    <t xml:space="preserve">Premissa: autorizações de editoras para arranjos de obras protegidas (pendência 3); ≤10% (art. 27).</t>
  </si>
  <si>
    <t xml:space="preserve">Fev/2028: oficinas, ensaios e cortejo.</t>
  </si>
  <si>
    <t xml:space="preserve">Oficinas de percussão e de adereços/fantasias – 4 turmas (secundário)</t>
  </si>
  <si>
    <t xml:space="preserve">Oficineiro(a) de percussão</t>
  </si>
  <si>
    <t xml:space="preserve">2 turmas × 9 h (3 encontros de 3 h), 20–30 vagas (escopo §5).</t>
  </si>
  <si>
    <t xml:space="preserve">Oficineiro(a) de adereços e fantasias</t>
  </si>
  <si>
    <t xml:space="preserve">2 turmas × 9 h; materiais de baixo custo (EVA, papelão, crepom).</t>
  </si>
  <si>
    <t xml:space="preserve">Locação de instrumentos de percussão para oficinas</t>
  </si>
  <si>
    <t xml:space="preserve">Locação (opção do escopo §9); não há aquisição permanente.</t>
  </si>
  <si>
    <t xml:space="preserve">Material de consumo – oficinas de adereços</t>
  </si>
  <si>
    <t xml:space="preserve">2 turmas × 30.</t>
  </si>
  <si>
    <t xml:space="preserve">Músicos/percussionistas – cortejo (inclui ensaios fechados)</t>
  </si>
  <si>
    <t xml:space="preserve">Bateria de ~10 integrantes, cortejo de ~3 h (escopo §8).</t>
  </si>
  <si>
    <t xml:space="preserve">Músicos/percussionistas – lançamento/ensaio aberto e 2º ensaio aberto</t>
  </si>
  <si>
    <t xml:space="preserve">Lançamento combinado com o 1º ensaio aberto (pendência 10) + 2º ensaio aberto; ampliação de acesso (art. 42, V).</t>
  </si>
  <si>
    <t xml:space="preserve">Cosplayers profissionais convidados (cortejo)</t>
  </si>
  <si>
    <t xml:space="preserve">Interação cênica no desfile (escopo §8).</t>
  </si>
  <si>
    <t xml:space="preserve">Locação de trio elétrico de pequeno porte (com motorista, operador e combustível)</t>
  </si>
  <si>
    <t xml:space="preserve">Premissa (sem item no catálogo; 3 cotações a anexar): porte compatível com 500–1.000 foliões (pendência 5). [Linha de equilíbrio: ajustada em R$ -2,217.61 para fechar o valor total com os percentuais de custos vinculados escolhidos no SALIC.]</t>
  </si>
  <si>
    <t xml:space="preserve">Locação de sonorização pequeno porte – lançamento/ensaio aberto e 2º ensaio</t>
  </si>
  <si>
    <t xml:space="preserve">2 ensaios abertos e cortejo.</t>
  </si>
  <si>
    <t xml:space="preserve">Cordistas (equipe de corda do trio)</t>
  </si>
  <si>
    <t xml:space="preserve">Isolamento técnico do trio sem restringir o acesso público (escopo §6).</t>
  </si>
  <si>
    <t xml:space="preserve">Segurança/controlador – cortejo</t>
  </si>
  <si>
    <t xml:space="preserve">Segurança/controlador – lançamento e ensaios</t>
  </si>
  <si>
    <t xml:space="preserve">Brigadista/socorrista – cortejo</t>
  </si>
  <si>
    <t xml:space="preserve">Brigadista/socorrista – lançamento e ensaios</t>
  </si>
  <si>
    <t xml:space="preserve">Ambulância com equipe de APH</t>
  </si>
  <si>
    <t xml:space="preserve">Premissa (sem item no catálogo): exigência usual do licenciamento de blocos.</t>
  </si>
  <si>
    <t xml:space="preserve">Complemento à estrutura municipal do Carnaval, que não é presumida.</t>
  </si>
  <si>
    <t xml:space="preserve">Premissa: limpeza do percurso.</t>
  </si>
  <si>
    <t xml:space="preserve">Gestão de resíduos e coleta seletiva</t>
  </si>
  <si>
    <t xml:space="preserve">Plano simplificado de resíduos (pendência 12).</t>
  </si>
  <si>
    <t xml:space="preserve">Taxas, cadastro do bloco, alvarás e ART</t>
  </si>
  <si>
    <t xml:space="preserve">PBH/Belotur/BHTrans/Bombeiros (pendência 4).</t>
  </si>
  <si>
    <t xml:space="preserve">ECAD (evento gratuito)</t>
  </si>
  <si>
    <t xml:space="preserve">Cortejo e lançamento (art. 29).</t>
  </si>
  <si>
    <t xml:space="preserve">Jurados da seletiva cosplay</t>
  </si>
  <si>
    <t xml:space="preserve">Premissa: regulamento e minuta de chamamento (Anexo II 6.8).</t>
  </si>
  <si>
    <t xml:space="preserve">Premiação não pecuniária da seletiva cosplay (troféus/kits)</t>
  </si>
  <si>
    <t xml:space="preserve">Sem prêmio em dinheiro.</t>
  </si>
  <si>
    <t xml:space="preserve">Frete de instrumentos e materiais</t>
  </si>
  <si>
    <t xml:space="preserve">Oficinas, 2 ensaios e cortejo.</t>
  </si>
  <si>
    <t xml:space="preserve">Registro audiovisual – aftermovie acessível (secundário)</t>
  </si>
  <si>
    <t xml:space="preserve">Lançamento e cortejo.</t>
  </si>
  <si>
    <t xml:space="preserve">Edição/finalização do aftermovie</t>
  </si>
  <si>
    <t xml:space="preserve">Publicado nos canais do projeto (escopo §9).</t>
  </si>
  <si>
    <t xml:space="preserve">Nov/2027–mar/2028.</t>
  </si>
  <si>
    <t xml:space="preserve">Assessoria jurídica (nome/marca, direitos autorais e de imagem, menores)</t>
  </si>
  <si>
    <t xml:space="preserve">Pendências 1, 3 e 9.</t>
  </si>
  <si>
    <t xml:space="preserve">Lançamento/ensaio aberto, 2º ensaio e cortejo. [Acessibilidade de conteúdo lançada como item do produto, conforme exemplo do Manual do Proponente 2026, p. 47.]</t>
  </si>
  <si>
    <t xml:space="preserve">Encontros de abertura das 4 turmas. [Acessibilidade de conteúdo lançada como item do produto, conforme exemplo do Manual do Proponente 2026, p. 47.]</t>
  </si>
  <si>
    <t xml:space="preserve">Audiodescrição ao vivo (lançamento e cortejo)</t>
  </si>
  <si>
    <t xml:space="preserve">Descrição de figurinos, estandarte e cosplays. [Acessibilidade de conteúdo lançada como item do produto, conforme exemplo do Manual do Proponente 2026, p. 47.]</t>
  </si>
  <si>
    <t xml:space="preserve">Libras e legendas no aftermovie</t>
  </si>
  <si>
    <t xml:space="preserve">Premissa: acessibilidade do conteúdo audiovisual. [Acessibilidade de conteúdo lançada como item do produto, conforme exemplo do Manual do Proponente 2026, p. 47.]</t>
  </si>
  <si>
    <t xml:space="preserve">Base estimada R$ 43.580 (mestre de bateria. oficineiros. músicos. cosplayers e jurados por RPA) × 20%.</t>
  </si>
  <si>
    <t xml:space="preserve">Plano para oficinas, lançamento e cortejo em via pública (pendência 6), conforme Guia MDHC.</t>
  </si>
  <si>
    <t xml:space="preserve">Área segura de observação no percurso (escopo §7).</t>
  </si>
  <si>
    <t xml:space="preserve">Kit sensorial (abafadores de ruído) para empréstimo</t>
  </si>
  <si>
    <t xml:space="preserve">Premissa: pessoas autistas e com hipersensibilidade sonora (escopo §7).</t>
  </si>
  <si>
    <t xml:space="preserve">Identidade do bloco com marcas obrigatórias (art. 21).</t>
  </si>
  <si>
    <t xml:space="preserve">Jan–fev/2028, incluindo relacionamento com imprensa.</t>
  </si>
  <si>
    <t xml:space="preserve">Mobilização das oficinas em territórios periféricos.</t>
  </si>
  <si>
    <t xml:space="preserve">• Versão Rouanet para o Carnaval 2028 (cortejo em 26–29/02/2028 ou no pré-Carnaval); pré-produção out/2027–jan/2028, oficinas e ensaios jan–fev/2028, pós-produção mar/2028.</t>
  </si>
  <si>
    <t xml:space="preserve">• Proponente PF (Túlio Gama) como coordenador geral e diretor criativo (R$ 21 mil); sem diretor artístico separado.</t>
  </si>
  <si>
    <t xml:space="preserve">• Bateria de 10 percussionistas ao vivo (cortejo + lançamento combinado com o 1º ensaio aberto + 2º ensaio aberto); arranjos de 10–12 temas por mestre de bateria; sem playback.</t>
  </si>
  <si>
    <t xml:space="preserve">• Trio elétrico de pequeno porte em 1 diária (R$ 17 mil, sem item no catálogo, a cotar); 20 cordistas, 10 seguranças, 6 brigadistas, ambulância e 12 banheiros químicos no cortejo.</t>
  </si>
  <si>
    <t xml:space="preserve">• Oficinas: 4 turmas × 9 h × 30 vagas, com locação (não compra) de 20 instrumentos e espaços públicos cedidos.</t>
  </si>
  <si>
    <t xml:space="preserve">• 4 cosplayers convidados só no cortejo; seletiva com 3 jurados e prêmio não pecuniário.</t>
  </si>
  <si>
    <t xml:space="preserve">• INSS 20% sobre RPA (base R$ 43,6 mil) = R$ 8.716.</t>
  </si>
  <si>
    <t xml:space="preserve">• Estandarte e elementos cênicos (R$ 8.132) absorvem o arredondamento para fechar em R$ 250.000.</t>
  </si>
  <si>
    <t xml:space="preserve">• Ajuste de fechamento: R$ -2.217,61 aplicado em 'Locação de trio elétrico de pequeno porte (com motorista. operador e combustível)' para fechar o valor total com percentuais inteiros,</t>
  </si>
  <si>
    <t xml:space="preserve">Cortejo sem trio elétrico: bateria de 10 percussionistas a pé com carro de som pequeno, percurso curto em uma via. 1 oficina de percussão e 1 de adereços (60 vagas), 1 ensaio aberto (que também funciona como lançamento), sem cosplayers contratados nem seletiva premiada, estandarte simples, registro fotográfico em vez de aftermovie. Mantém Libras e monitores no cortejo, segurança, brigada e ambulância mínimas, divulgação digital e custos vinculados proporcionais.</t>
  </si>
  <si>
    <t xml:space="preserve">P13 – Skate e Arte Urbana (Circuito Skate &amp; Rua) | Planilha orçamentária no padrão SALIC (IN MinC 29/2026)</t>
  </si>
  <si>
    <t xml:space="preserve">ESIP / ESIP (citada nos documentos da pasta '04. Esportes com Cultura / 02. Skate Rua') / PJ</t>
  </si>
  <si>
    <t xml:space="preserve">Oficinas de arte urbana (grafite) com criação coletiva de 4 murais permanentes em pistas públicas de skate da RMBH – Artes Visuais / Empreend Ações Educ-Cult/Capacitação/Treinamento → Art. 18</t>
  </si>
  <si>
    <t xml:space="preserve">160 vagas de formação (80 grafite + 80 breaking) e cerca de 1.400 pessoas nos 4 dias abertos (~350 por município), mais o público on-line do vídeo-memória</t>
  </si>
  <si>
    <t xml:space="preserve">Belo Horizonte, Contagem, Ibirité e Santa Luzia (MG)</t>
  </si>
  <si>
    <t xml:space="preserve">7 meses (mai–nov/2027): 1 de pré-produção, 4 de etapas (jun–set), 2 de pós-produção e fechamento (vídeo, relatório)</t>
  </si>
  <si>
    <t xml:space="preserve">Transversal (custo comum – vincular ao produto principal no SALIC)</t>
  </si>
  <si>
    <t xml:space="preserve">Coordenador(a) geral – pré-produção</t>
  </si>
  <si>
    <t xml:space="preserve">MG - Belo Horizonte, Contagem, Ibirité e Santa Luzia</t>
  </si>
  <si>
    <t xml:space="preserve">Pactuação com prefeituras/gestores das 4 pistas, vistorias, contratações, plano pedagógico e cronograma (mês 1).</t>
  </si>
  <si>
    <t xml:space="preserve">Diretor(a) artístico(a)/curador(a) de cultura urbana – pré-produção</t>
  </si>
  <si>
    <t xml:space="preserve">Curadoria e seleção pública de muralistas, arte-educadores e grupo de breaking; definição de temas e superfícies dos murais com as comunidades. Abaixo do valor de referência (dedicação parcial).</t>
  </si>
  <si>
    <t xml:space="preserve">Locação de van com motorista – vistorias técnicas nas 4 pistas</t>
  </si>
  <si>
    <t xml:space="preserve">2 diárias para vistoria de superfícies, acessibilidade e energia nos 4 municípios.</t>
  </si>
  <si>
    <t xml:space="preserve">Coordenador(a) geral – produção</t>
  </si>
  <si>
    <t xml:space="preserve">4 meses de execução das etapas (jun–set/2027).</t>
  </si>
  <si>
    <t xml:space="preserve">3 diárias por município (montagem, dia aberto, desmontagem) x 4 municípios; contratação por RPA.</t>
  </si>
  <si>
    <t xml:space="preserve">Oficinas de arte urbana e murais coletivos nas pistas (principal)</t>
  </si>
  <si>
    <t xml:space="preserve">Cachê de artista muralista (mural coletivo ~50 m² por pista, criado com os participantes da oficina)</t>
  </si>
  <si>
    <t xml:space="preserve">1 muralista por município (4 murais). Inclui projeto/croqui, condução da pintura coletiva com os 20 participantes e cessão de direitos de reprodução. Valor no piso da faixa de referência por o mural ter ~50 m². [Linha de equilíbrio: ajustada em R$ -3,582.22 para fechar o valor total com os percentuais de custos vinculados escolhidos no SALIC.]</t>
  </si>
  <si>
    <t xml:space="preserve">Tintas e materiais para pintura mural (acrílica base água e spray)</t>
  </si>
  <si>
    <t xml:space="preserve">4 murais x 50 m².</t>
  </si>
  <si>
    <t xml:space="preserve">Material de preparação de superfície e proteção (selador, lixas, lonas, fitas, verniz anti-pichação) – 4 murais</t>
  </si>
  <si>
    <t xml:space="preserve">Preparação das superfícies autorizadas pelos gestores e proteção do entorno; valor de ajuste final da planilha.</t>
  </si>
  <si>
    <t xml:space="preserve">Locação de andaime tubular/plataforma</t>
  </si>
  <si>
    <t xml:space="preserve">2 diárias por mural (paredes de até ~3,5 m de altura). Piso da faixa por ser andaime tubular simples.</t>
  </si>
  <si>
    <t xml:space="preserve">Arte-educador(a) de grafite – oficinas de formação</t>
  </si>
  <si>
    <t xml:space="preserve">4 turmas (1 por município) x 20 h (5 encontros de 4 h) = 80 h; 20 vagas por turma.</t>
  </si>
  <si>
    <t xml:space="preserve">Kit de material para oficina de grafite (sprays, bicos, máscara semifacial PFF2/filtro, luvas, sketchbook)</t>
  </si>
  <si>
    <t xml:space="preserve">80 participantes (20 por município). Inclui EPI respiratório obrigatório para uso de spray.</t>
  </si>
  <si>
    <t xml:space="preserve">Breaking/hip-hop: oficinas, batalhas e apresentações (secundário)</t>
  </si>
  <si>
    <t xml:space="preserve">Arte-educador(a) de breaking (dança urbana) – oficinas</t>
  </si>
  <si>
    <t xml:space="preserve">4 turmas x 12 h (6 encontros de 2 h) = 48 h; 20 vagas por turma.</t>
  </si>
  <si>
    <t xml:space="preserve">Cachê de jurado(a) de batalha de breaking</t>
  </si>
  <si>
    <t xml:space="preserve">3 jurados x 4 batalhas abertas. Abaixo da faixa de apresentação (atuação de ~4 h como jurado, valor de mercado da cena local).</t>
  </si>
  <si>
    <t xml:space="preserve">Cachê de DJ (ambientação e batalha)</t>
  </si>
  <si>
    <t xml:space="preserve">1 DJ por dia aberto x 4 municípios.</t>
  </si>
  <si>
    <t xml:space="preserve">Cachê de MC/apresentador(a)</t>
  </si>
  <si>
    <t xml:space="preserve">1 MC por dia aberto x 4 municípios (condução da batalha e da programação).</t>
  </si>
  <si>
    <t xml:space="preserve">Cachê de grupo de breaking/dança urbana (apresentação)</t>
  </si>
  <si>
    <t xml:space="preserve">1 apresentação por dia aberto x 4 municípios; grupo mineiro selecionado pela curadoria.</t>
  </si>
  <si>
    <t xml:space="preserve">Locação de piso de dança portátil (linóleo/tablado) para batalhas</t>
  </si>
  <si>
    <t xml:space="preserve">Superfície segura para breaking sobre o piso das pistas; cotação de mercado (sem item no catálogo).</t>
  </si>
  <si>
    <t xml:space="preserve">1 diária por dia aberto (DJ, MC e batalha). Abaixo do valor de referência por ser estrutura mínima em espaço aberto.</t>
  </si>
  <si>
    <t xml:space="preserve">1 por dia aberto.</t>
  </si>
  <si>
    <t xml:space="preserve">Área de apoio/credenciamento e sombra para público e participantes.</t>
  </si>
  <si>
    <t xml:space="preserve">2 unidades (1 PcD) por dia aberto quando a pista não tiver sanitários adequados.</t>
  </si>
  <si>
    <t xml:space="preserve">2 por dia aberto.</t>
  </si>
  <si>
    <t xml:space="preserve">Montador(a)/roadie</t>
  </si>
  <si>
    <t xml:space="preserve">1 por dia aberto (estrutura mínima).</t>
  </si>
  <si>
    <t xml:space="preserve">Montagens/desmontagens e transporte de tintas, andaimes e piso.</t>
  </si>
  <si>
    <t xml:space="preserve">10 profissionais x 4 dias abertos.</t>
  </si>
  <si>
    <t xml:space="preserve">Por município: 20 x 5 encontros (grafite) + 20 x 6 (breaking) = 220 lanches x 4 municípios. Abaixo do valor de referência.</t>
  </si>
  <si>
    <t xml:space="preserve">Cobertura de participantes (inclusive menores) e trabalho em altura nos murais.</t>
  </si>
  <si>
    <t xml:space="preserve">Taxas, alvarás e licenças municipais</t>
  </si>
  <si>
    <t xml:space="preserve">Licenças de uso de espaço público/eventos nos 4 municípios.</t>
  </si>
  <si>
    <t xml:space="preserve">Execução pública de música pelos DJs nos 4 dias abertos, conforme regulamento.</t>
  </si>
  <si>
    <t xml:space="preserve">Camiseta de identificação (participantes e equipe)</t>
  </si>
  <si>
    <t xml:space="preserve">160 participantes das oficinas (equipe usa crachá).</t>
  </si>
  <si>
    <t xml:space="preserve">2 diárias (dias abertos de BH e de um município da RMBH); demais registros fotográficos feitos pela equipe de audiovisual e pelos educadores.</t>
  </si>
  <si>
    <t xml:space="preserve">1 diária por dia aberto (murais, batalhas, depoimentos).</t>
  </si>
  <si>
    <t xml:space="preserve">Edição/finalização de vídeo-memória (10–15 min) e 4 pílulas por município</t>
  </si>
  <si>
    <t xml:space="preserve">Vídeo de registro para difusão gratuita na internet com Libras, legendas e audiodescrição (ampliação de acesso, art. 42).</t>
  </si>
  <si>
    <t xml:space="preserve">20% x R$ 83.640 (soma das linhas de cachês/oficineiros/serviços pagos a pessoas físicas via RPA)</t>
  </si>
  <si>
    <t xml:space="preserve">7 meses de execução (piso da faixa).</t>
  </si>
  <si>
    <t xml:space="preserve">Assessoria jurídica (termos de cessão de direitos dos murais, autorizações de imagem de menores, anuências)</t>
  </si>
  <si>
    <t xml:space="preserve">Pontual.</t>
  </si>
  <si>
    <t xml:space="preserve">Intérprete de Libras (dupla) – dias abertos</t>
  </si>
  <si>
    <t xml:space="preserve">Batalhas, apresentações e falas públicas. [Acessibilidade de conteúdo lançada como item do produto, conforme exemplo do Manual do Proponente 2026, p. 47.]</t>
  </si>
  <si>
    <t xml:space="preserve">Intérprete de Libras – oficinas sob demanda</t>
  </si>
  <si>
    <t xml:space="preserve">Reserva para participantes surdos inscritos. [Acessibilidade de conteúdo lançada como item do produto, conforme exemplo do Manual do Proponente 2026, p. 47.]</t>
  </si>
  <si>
    <t xml:space="preserve">Audiodescrição dos murais (roteiro + narração gravada com QR code)</t>
  </si>
  <si>
    <t xml:space="preserve">1 por mural; acesso permanente via QR code na pista. [Acessibilidade de conteúdo lançada como item do produto, conforme exemplo do Manual do Proponente 2026, p. 47.]</t>
  </si>
  <si>
    <t xml:space="preserve">~2,6% do valor total; pago após aprovação.</t>
  </si>
  <si>
    <t xml:space="preserve">Conta captação + movimento.</t>
  </si>
  <si>
    <t xml:space="preserve">Plano de acessibilidade por pista (Guia MDHC), vistoria de rotas/sanitários e orientação das equipes.</t>
  </si>
  <si>
    <t xml:space="preserve">2 monitores por dia aberto.</t>
  </si>
  <si>
    <t xml:space="preserve">Acesso à área de público/batalha quando a pista não tiver rota acessível.</t>
  </si>
  <si>
    <t xml:space="preserve">Designer gráfico (identidade e peças acessíveis)</t>
  </si>
  <si>
    <t xml:space="preserve">Identidade, peças digitais com descrição de imagem e aplicação das marcas do Pronac/MinC.</t>
  </si>
  <si>
    <t xml:space="preserve">Mobilização das inscrições e cobertura das 4 etapas.</t>
  </si>
  <si>
    <t xml:space="preserve">Impressão de cartazes A3 (escolas, CRAS, pistas)</t>
  </si>
  <si>
    <t xml:space="preserve">Abertura de inscrições nas oficinas.</t>
  </si>
  <si>
    <t xml:space="preserve">• Planilha da VERSÃO REFORMULADA (cultural). Nenhum item esportivo do documento LIE foi incluído (competição, arbitragem, instrutores de skate, skates, EPIs esportivos, premiação, apoio a atletas, ambulância).</t>
  </si>
  <si>
    <t xml:space="preserve">• 4 municípios (BH, Contagem, Ibirité, Santa Luzia), 1 etapa por mês de jun a set/2027. Pré-produção em mai e fechamento em nov. A 'final' esportiva foi suprimida: a etapa de BH funciona como encerramento.</t>
  </si>
  <si>
    <t xml:space="preserve">• Por município: oficina de grafite (20 vagas, 5 encontros de 4 h), oficina de breaking (20 vagas, 6 encontros de 2 h), mural coletivo de ~50 m² e 1 dia aberto (batalha com 3 jurados, DJ, MC, grupo de breaking).</t>
  </si>
  <si>
    <t xml:space="preserve">• Espaços públicos cedidos pelas prefeituras (sem locação). Energia do local; gerador não previsto.</t>
  </si>
  <si>
    <t xml:space="preserve">• Coordenação, curadoria e técnicos contratados como PJ/MEI. Muralistas, arte-educadores, jurados, DJ, MC e produtores locais pagos por RPA: base do INSS patronal de 20% (R$ 83.640). ISS considerado embutido nos valores de PJ.</t>
  </si>
  <si>
    <t xml:space="preserve">• Custos transversais (coordenação, infraestrutura, comunicação) devem ser vinculados ao produto principal no SALIC.</t>
  </si>
  <si>
    <t xml:space="preserve">• A linha 'Material de preparação de superfície…' é o ajuste de arredondamento para fechar R$ 350.000,00.</t>
  </si>
  <si>
    <t xml:space="preserve">• Valores unitários do precos_base.csv. Desvios justificados na linha: jurado R$ 800, som R$ 2.000, curadoria R$ 5.000/mês, muralista no piso da faixa porque o mural tem ~50 m².</t>
  </si>
  <si>
    <t xml:space="preserve">• Ajuste de fechamento: R$ -3.582,22 aplicado em 'Cachê de artista muralista (mural coletivo ~50 m² por pista. criado com os participantes da oficina)' para fechar o valor total com percentuais inteiros,</t>
  </si>
  <si>
    <t xml:space="preserve">Ficar em 1 município (BH, numa pista com anuência): 1 oficina de grafite (20 vagas, 20 h), 1 mural coletivo (~50 m²), 1 oficina de breaking (20 vagas, 12 h) e 1 dia aberto (batalha, DJ/MC, 1 grupo). Coordenação cai para ~2 meses, sai a curadoria separada (a coordenação assume), o vídeo-memória vira 1 diária de registro com edição simples, e a acessibilidade fica em Libras no dia aberto + AD gravada do mural + rampa. Divulgação só digital. Saem os 3 municípios, o ônibus/van extra e o seguro ampliado. Os percentuais se mantêm (adm ~6%, acessibilidade/divulgação ~15%, captação 10%). Objeto viável e ainda Art. 18 (oficina + mural).</t>
  </si>
  <si>
    <t xml:space="preserve">P14 – Capoeira: Roda de Minas | Planilha orçamentária no padrão SALIC (IN MinC 29/2026)</t>
  </si>
  <si>
    <t xml:space="preserve">ESIP / ESIP (documentos da pasta '04. Esportes com Cultura / 01. Capoeira Roda de Minas') / PJ</t>
  </si>
  <si>
    <t xml:space="preserve">Núcleos de formação em capoeira: 4 núcleos, 100 participantes, 16 encontros de 2 h com mestres (fundamentos, musicalidade, história, oralidade) – Artes Cênicas / Apresentação de Dança ou Ação Educativa: Capoeira → Art. 18</t>
  </si>
  <si>
    <t xml:space="preserve">100 participantes diretos (32 h cada), mais o público das 8 rodas (~50 a 80 cada) e do Encontro Estadual (~300 a 400), e público on-line do vídeo e da publicação</t>
  </si>
  <si>
    <t xml:space="preserve">Belo Horizonte, Contagem e 2 municípios/territórios da RMBH a definir (MG)</t>
  </si>
  <si>
    <t xml:space="preserve">6 meses em 2027</t>
  </si>
  <si>
    <t xml:space="preserve">MG - Belo Horizonte, Contagem e 2 municípios da RMBH a definir</t>
  </si>
  <si>
    <t xml:space="preserve">Mês 1: confirmação de territórios, anuências dos espaços, articulação quilombola, contratações e inscrições.</t>
  </si>
  <si>
    <t xml:space="preserve">Núcleos de formação em capoeira – Ação Educativa: Capoeira (principal)</t>
  </si>
  <si>
    <t xml:space="preserve">Coordenação pedagógica (mestre de referência) – plano pedagógico dos 16 encontros</t>
  </si>
  <si>
    <t xml:space="preserve">Elaboração do projeto pedagógico (conteúdo, carga horária, avaliação) exigido pelo Anexo II, item 7. Abaixo da faixa por ser complemento ao cachê de mestre (dedicação parcial).</t>
  </si>
  <si>
    <t xml:space="preserve">Meses 2 a 6 (formação, rodas e Encontro Estadual).</t>
  </si>
  <si>
    <t xml:space="preserve">Coordenação pedagógica (mestre de referência) – acompanhamento dos núcleos</t>
  </si>
  <si>
    <t xml:space="preserve">Visitas aos 4 núcleos, alinhamento entre linhagens, avaliação de aprendizagem. Dedicação parcial.</t>
  </si>
  <si>
    <t xml:space="preserve">Mestre(a)/professor(a) de capoeira responsável por núcleo (aulas, musicalidade e fundamentos)</t>
  </si>
  <si>
    <t xml:space="preserve">4 núcleos x 4 meses; 16 encontros de 2 h por núcleo (32 h/participante) + preparação e condução das rodas. Abaixo do valor de referência (carga de ~3 h semanais). [Linha de equilíbrio: ajustada em R$ -2,491.00 para fechar o valor total com os percentuais de custos vinculados escolhidos no SALIC.]</t>
  </si>
  <si>
    <t xml:space="preserve">Kit de instrumentos da bateria de capoeira (3 berimbaus, 1 atabaque, 2 pandeiros, 1 agogô, 1 reco-reco)</t>
  </si>
  <si>
    <t xml:space="preserve">1 kit por núcleo, indispensável às aulas de musicalidade; aquisição mais econômica que locação por 4 meses (art. 30 IN 29) e destinação cultural declarada ao grupo/espaço do núcleo com termo de guarda.</t>
  </si>
  <si>
    <t xml:space="preserve">Lanche para participantes dos núcleos</t>
  </si>
  <si>
    <t xml:space="preserve">100 participantes x 16 encontros; piso da faixa.</t>
  </si>
  <si>
    <t xml:space="preserve">Rodas comunitárias e Encontro Estadual Roda de Minas (secundário)</t>
  </si>
  <si>
    <t xml:space="preserve">Cachê de mestre(a) convidado(a) local para roda comunitária</t>
  </si>
  <si>
    <t xml:space="preserve">1 referência local por roda x 8 rodas (2 por núcleo).</t>
  </si>
  <si>
    <t xml:space="preserve">Produtor(a) local (rodas e Encontro)</t>
  </si>
  <si>
    <t xml:space="preserve">8 rodas (1 diária) – produção do Encontro coberta pela coordenação.</t>
  </si>
  <si>
    <t xml:space="preserve">Cachê de mestre(a) convidado(a) – Encontro Estadual (2 dias: rodas, vivências e troca de saberes)</t>
  </si>
  <si>
    <t xml:space="preserve">4 mestres/mestras (mínimo previsto no doc., 4 a 6), sendo 3 de outras regiões de MG; cachê único pelos 2 dias.</t>
  </si>
  <si>
    <t xml:space="preserve">Cachê de grupo de maculelê (apresentação/vivência no Encontro)</t>
  </si>
  <si>
    <t xml:space="preserve">1 apresentação-vivência.</t>
  </si>
  <si>
    <t xml:space="preserve">Cachê de mestre(a) artesão(ã) – oficina de construção de berimbau</t>
  </si>
  <si>
    <t xml:space="preserve">Oficina de 4 h no Encontro, 20 vagas.</t>
  </si>
  <si>
    <t xml:space="preserve">Materiais para construção de berimbau (verga de biriba, cabaça, arame, caxixi)</t>
  </si>
  <si>
    <t xml:space="preserve">20 vagas.</t>
  </si>
  <si>
    <t xml:space="preserve">2 dias do Encontro (falas, cantos amplificados para público).</t>
  </si>
  <si>
    <t xml:space="preserve">1 tenda x 2 dias (apoio e sombra).</t>
  </si>
  <si>
    <t xml:space="preserve">Caso o espaço cedido não tenha sanitários suficientes.</t>
  </si>
  <si>
    <t xml:space="preserve">2 x 2 dias.</t>
  </si>
  <si>
    <t xml:space="preserve">1 x 2 dias (estrutura leve).</t>
  </si>
  <si>
    <t xml:space="preserve">Locação de ônibus com motorista – participantes dos núcleos de fora de BH ao Encontro</t>
  </si>
  <si>
    <t xml:space="preserve">3 núcleos fora de BH x 1 dia (sábado, dia principal); ônibus acessível.</t>
  </si>
  <si>
    <t xml:space="preserve">Passagem rodoviária intermunicipal – mestres de outras regiões de MG</t>
  </si>
  <si>
    <t xml:space="preserve">3 mestres do interior x ida e volta; trechos longos.</t>
  </si>
  <si>
    <t xml:space="preserve">Hospedagem – mestres de outras regiões</t>
  </si>
  <si>
    <t xml:space="preserve">3 mestres do interior x 2 noites.</t>
  </si>
  <si>
    <t xml:space="preserve">Alimentação de mestres convidados e equipe no Encontro</t>
  </si>
  <si>
    <t xml:space="preserve">15 pessoas (mestres, equipe técnica e de acessibilidade) x 2 dias.</t>
  </si>
  <si>
    <t xml:space="preserve">Lanche para participantes no Encontro</t>
  </si>
  <si>
    <t xml:space="preserve">100 participantes + 20 convidados x 2 dias.</t>
  </si>
  <si>
    <t xml:space="preserve">Seguro de acidentes pessoais</t>
  </si>
  <si>
    <t xml:space="preserve">Participantes (inclusive menores) em prática corporal.</t>
  </si>
  <si>
    <t xml:space="preserve">Memória: vídeo de registro e publicação digital (secundário)</t>
  </si>
  <si>
    <t xml:space="preserve">Registro audiovisual (captação de aulas, rodas, Encontro e depoimentos de mestres)</t>
  </si>
  <si>
    <t xml:space="preserve">1 diária de depoimentos + 1 em roda/núcleo + 2 no Encontro.</t>
  </si>
  <si>
    <t xml:space="preserve">Encontro (2) + 1 roda.</t>
  </si>
  <si>
    <t xml:space="preserve">Edição/finalização de vídeo de memória (15–20 min) e depoimentos curtos</t>
  </si>
  <si>
    <t xml:space="preserve">Difusão gratuita na internet com Libras, legendas e audiodescrição.</t>
  </si>
  <si>
    <t xml:space="preserve">Pesquisa, entrevistas e redação da publicação digital de memória (~60 p.)</t>
  </si>
  <si>
    <t xml:space="preserve">Sistematização dos saberes transmitidos; cotação de mercado (sem item no catálogo). Valor de ajuste final da planilha.</t>
  </si>
  <si>
    <t xml:space="preserve">Diagramação acessível (PDF acessível + EPUB) e revisão da publicação digital</t>
  </si>
  <si>
    <t xml:space="preserve">Leitura por leitores de tela; cotação de mercado.</t>
  </si>
  <si>
    <t xml:space="preserve">20% x R$ 78.800 (soma das linhas de cachês/oficineiros/serviços pagos a pessoas físicas via RPA)</t>
  </si>
  <si>
    <t xml:space="preserve">6 meses (piso da faixa).</t>
  </si>
  <si>
    <t xml:space="preserve">Assessoria jurídica (termos de anuência, cessão de imagem/voz e autorizações de menores)</t>
  </si>
  <si>
    <t xml:space="preserve">Intérprete de Libras (dupla) – Encontro Estadual</t>
  </si>
  <si>
    <t xml:space="preserve">2 dias. [Acessibilidade de conteúdo lançada como item do produto, conforme exemplo do Manual do Proponente 2026, p. 47.]</t>
  </si>
  <si>
    <t xml:space="preserve">Intérprete de Libras – rodas comunitárias e aulas sob demanda</t>
  </si>
  <si>
    <t xml:space="preserve">8 rodas x ~2 h + 14 h de reserva para participantes surdos. [Acessibilidade de conteúdo lançada como item do produto, conforme exemplo do Manual do Proponente 2026, p. 47.]</t>
  </si>
  <si>
    <t xml:space="preserve">Audiodescrição ao vivo – Encontro Estadual</t>
  </si>
  <si>
    <t xml:space="preserve">Audiodescrição do vídeo de memória</t>
  </si>
  <si>
    <t xml:space="preserve">~2,3% do valor total; pago após aprovação.</t>
  </si>
  <si>
    <t xml:space="preserve">Material de escritório/expediente (listas de presença, diários de classe)</t>
  </si>
  <si>
    <t xml:space="preserve">Plano de acessibilidade por espaço (Guia MDHC), adaptações razoáveis para participantes PcD.</t>
  </si>
  <si>
    <t xml:space="preserve">Encontro.</t>
  </si>
  <si>
    <t xml:space="preserve">Marcas do Pronac/MinC conforme manual.</t>
  </si>
  <si>
    <t xml:space="preserve">Inscrições, rodas e Encontro.</t>
  </si>
  <si>
    <t xml:space="preserve">Impressão de cartazes A3 (escolas, CRAS, associações)</t>
  </si>
  <si>
    <t xml:space="preserve">Banner/lona impressa (núcleos e Encontro)</t>
  </si>
  <si>
    <t xml:space="preserve">• 6 meses em 2027: M1 pré-produção; M2–M5 formação (16 semanas); M6 Encontro e fechamento. Publicação e vídeo na pós-produção.</t>
  </si>
  <si>
    <t xml:space="preserve">• 1 mestre/professor responsável por núcleo (MESTREM R$ 2.800/mês, abaixo da referência por ser ~3 h semanais) + 1 coordenação pedagógica de referência em dedicação parcial. O 2º educador por núcleo foi cortado para caber no teto e pode voltar se houver folga.</t>
  </si>
  <si>
    <t xml:space="preserve">• Rodas com 1 mestre convidado local por roda; Encontro com 4 mestres convidados (mínimo do documento), 3 deles do interior, com passagem, hospedagem de 2 noites e alimentação.</t>
  </si>
  <si>
    <t xml:space="preserve">• Espaços dos núcleos e do Encontro cedidos (escolas, centros culturais, sedes de grupos); sem locação.</t>
  </si>
  <si>
    <t xml:space="preserve">• Transporte ao Encontro: 3 ônibus (núcleos fora de BH), 1 dia.</t>
  </si>
  <si>
    <t xml:space="preserve">• 4 kits de instrumentos adquiridos (art. 30), destinados aos núcleos.</t>
  </si>
  <si>
    <t xml:space="preserve">• Mestres, coordenação pedagógica e produtor local pagos por RPA: base do INSS de R$ 78.800. Demais como PJ/MEI.</t>
  </si>
  <si>
    <t xml:space="preserve">• Custos transversais (coordenação geral, seguro, assessoria) vinculados ao produto principal no SALIC.</t>
  </si>
  <si>
    <t xml:space="preserve">• A linha 'Pesquisa, entrevistas e redação da publicação digital' é o ajuste de arredondamento para fechar R$ 300.000,00.</t>
  </si>
  <si>
    <t xml:space="preserve">• Ajuste de fechamento: R$ -2.491,00 aplicado em 'Mestre(a)/professor(a) de capoeira responsável por núcleo (aulas. musicalidade e fundamentos)' para fechar o valor total com percentuais inteiros,</t>
  </si>
  <si>
    <t xml:space="preserve">Ficar com 1 ou 2 núcleos (BH e Contagem) em vez de 4: 25 a 50 participantes, 16 encontros, 1 mestre por núcleo. Rodas caem de 8 para 2 a 4. O Encontro Estadual vira 1 roda de encerramento de 1 dia com 2 mestres convidados de BH, sem hospedagem, ônibus nem estrutura de som/tendas. Sem publicação digital: só registro e vídeo curto com Libras e legenda. 1 ou 2 kits de instrumentos. Coordenação geral em 3 a 4 meses de dedicação parcial. Mantém-se o segmento 'Ação Educativa: Capoeira' (Art. 18).</t>
  </si>
  <si>
    <t xml:space="preserve">P15 – Riso que Cura | Planilha orçamentária no padrão SALIC (IN MinC 29/2026)</t>
  </si>
  <si>
    <t xml:space="preserve">Circulação de performances/intervenções de palhaçaria em hospitais (144 visitas em duplas, 6 hospitais) – Artes Cênicas / Performance de Circo, Clown e Ilusionismo → Art. 18</t>
  </si>
  <si>
    <t xml:space="preserve">~2.160 fruições em hospitais (144 visitas × ~15 pessoas, incl. acompanhantes) + ~600 pessoas nas 4 apresentações + 10 artistas formados + leitores do guia digital</t>
  </si>
  <si>
    <t xml:space="preserve">Belo Horizonte (2 hospitais), 1 município da RMBH, Esmeraldas, Sete Lagoas e Paraopeba (indicativos)</t>
  </si>
  <si>
    <t xml:space="preserve">8 meses (1 pré-produção, 6 circulação, 1 pós-produção)</t>
  </si>
  <si>
    <t xml:space="preserve">Administração do projeto</t>
  </si>
  <si>
    <t xml:space="preserve">Coordenação geral e produção executiva (funções acumuladas) – M1</t>
  </si>
  <si>
    <t xml:space="preserve">Acumula coordenação geral, produção executiva e articulação com os 6 hospitais (pactuação, anuências, escalas). Valor entre PRODEX (7.000) e COORD (9.000), reduzido por dedicação parcial; M1 = preparação.</t>
  </si>
  <si>
    <t xml:space="preserve">Performances de palhaçaria em hospitais (principal)</t>
  </si>
  <si>
    <t xml:space="preserve">Coordenação artística e pedagógica – M1</t>
  </si>
  <si>
    <t xml:space="preserve">Direção de linguagem, seleção dos 10 artistas, desenho das duplas e do repertório. Dedicação parcial (~60% de DIRARTM 6.500).</t>
  </si>
  <si>
    <t xml:space="preserve">Formação artística da equipe (secundário)</t>
  </si>
  <si>
    <t xml:space="preserve">Formador(a) em palhaçaria hospitalar – 4 módulos preparatórios</t>
  </si>
  <si>
    <t xml:space="preserve">4 módulos de 3 h (12 h) no M1: ética e escuta, improvisação, jogos em dupla, protocolos operacionais. Teto da faixa OFIC por exigir especialista.</t>
  </si>
  <si>
    <t xml:space="preserve">Cachê de formação/ensaio dos artistas – módulos preparatórios</t>
  </si>
  <si>
    <t xml:space="preserve">10 artistas × 4 encontros de 3 h; remuneração da preparação artística e criação de repertório (~25% do cachê por turno).</t>
  </si>
  <si>
    <t xml:space="preserve">Figurinos de palhaçaria higienizáveis (2 conjuntos por artista)</t>
  </si>
  <si>
    <t xml:space="preserve">10 artistas × 2 conjuntos laváveis, sob a identidade visual Riso que Cura; troca obrigatória entre visitas por protocolo hospitalar.</t>
  </si>
  <si>
    <t xml:space="preserve">Adereços, objetos cênicos e instrumentos acústicos leves higienizáveis</t>
  </si>
  <si>
    <t xml:space="preserve">Narizes, chapéus, objetos de cena laváveis, ukulele/pandeiro/escaleta e estojos para 5 duplas (material de consumo/bens de pequeno valor; destinação cultural declarada); linha usada para arredondamento do total.</t>
  </si>
  <si>
    <t xml:space="preserve">Coordenação artística e pedagógica – circulação (M2–M7)</t>
  </si>
  <si>
    <t xml:space="preserve">Supervisão das duplas, ajustes de repertório e reuniões de acompanhamento artístico durante os 6 meses de circulação.</t>
  </si>
  <si>
    <t xml:space="preserve">Coordenação geral e produção executiva – circulação (M2–M7)</t>
  </si>
  <si>
    <t xml:space="preserve">Gestão de cronograma, escalas, rotas, fichas de visita e atestados institucionais nos 6 hospitais.</t>
  </si>
  <si>
    <t xml:space="preserve">Cachê artista palhaço(a) por visita hospitalar (duplas)</t>
  </si>
  <si>
    <t xml:space="preserve">MG - BH, RMBH, Esmeraldas, Sete Lagoas e Paraopeba</t>
  </si>
  <si>
    <t xml:space="preserve">144 visitas (6 hospitais × 24 semanas) em duplas = 288 cachês. ATORINT 450 (faixa 350–650) ajustado para 400 por turno de até 3 h, pois ensaios/formação são remunerados à parte; ajuste necessário para caber 144 visitas em R$ 450 mil. [Linha de equilíbrio: ajustada em R$ -5,500.00 para fechar o valor total com os percentuais de custos vinculados escolhidos no SALIC.]</t>
  </si>
  <si>
    <t xml:space="preserve">Formador(a) – 8 encontros de supervisão e aperfeiçoamento</t>
  </si>
  <si>
    <t xml:space="preserve">8 encontros de 3 h ao longo da circulação (percurso total: 12 encontros/36 h, conforme escopo).</t>
  </si>
  <si>
    <t xml:space="preserve">Cachê de formação/ensaio dos artistas – encontros de aperfeiçoamento</t>
  </si>
  <si>
    <t xml:space="preserve">10 artistas × 8 encontros de supervisão de 3 h.</t>
  </si>
  <si>
    <t xml:space="preserve">Passagens rodoviárias intermunicipais (Esmeraldas, Sete Lagoas, Paraopeba)</t>
  </si>
  <si>
    <t xml:space="preserve">72 visitas no interior × 2 artistas × 2 trechos; faixa mínima de PASSROD (trajetos de 50–100 km a partir de BH).</t>
  </si>
  <si>
    <t xml:space="preserve">Transporte metropolitano/urbano das duplas (BH e RMBH)</t>
  </si>
  <si>
    <t xml:space="preserve">MG - Belo Horizonte e RMBH</t>
  </si>
  <si>
    <t xml:space="preserve">72 visitas em BH/RMBH × 2 artistas × 2 trechos; tarifa média de ônibus/metrô.</t>
  </si>
  <si>
    <t xml:space="preserve">Alimentação dos artistas em visitas no interior (1 refeição)</t>
  </si>
  <si>
    <t xml:space="preserve">72 visitas no interior × 2 artistas; metade de ALIM (90) por ser 1 refeição.</t>
  </si>
  <si>
    <t xml:space="preserve">Lavanderia e higienização de figurinos e adereços</t>
  </si>
  <si>
    <t xml:space="preserve">Higienização semanal de figurinos/objetos exigida pelos protocolos dos hospitais; manutenção do material artístico (não é insumo hospitalar).</t>
  </si>
  <si>
    <t xml:space="preserve">Seguro de acidentes pessoais dos artistas e equipe</t>
  </si>
  <si>
    <t xml:space="preserve">Cobertura de 10 artistas e equipe durante 6 meses de deslocamentos e atuação.</t>
  </si>
  <si>
    <t xml:space="preserve">Apresentações públicas gratuitas (secundário)</t>
  </si>
  <si>
    <t xml:space="preserve">Cachê de grupo – apresentação pública de palhaçaria (escolas/centros culturais)</t>
  </si>
  <si>
    <t xml:space="preserve">MG - BH/RMBH e interior (a definir)</t>
  </si>
  <si>
    <t xml:space="preserve">4 apresentações abertas com elenco de 4–6 palhaços; GRUPO na faixa mínima (4.000).</t>
  </si>
  <si>
    <t xml:space="preserve">Som leve para as 4 apresentações em escolas/centros culturais (faixa mínima).</t>
  </si>
  <si>
    <t xml:space="preserve">1 técnico por apresentação.</t>
  </si>
  <si>
    <t xml:space="preserve">Locação de van com motorista (elenco e equipamentos)</t>
  </si>
  <si>
    <t xml:space="preserve">Transporte do elenco e do material cênico às 4 apresentações.</t>
  </si>
  <si>
    <t xml:space="preserve">Direitos autorais / ECAD (trilhas e canções nas apresentações abertas)</t>
  </si>
  <si>
    <t xml:space="preserve">Repertório prioritariamente autoral/domínio público; verba para execução pública eventual.</t>
  </si>
  <si>
    <t xml:space="preserve">Registro fotográfico autorizado (sem identificação de pacientes)</t>
  </si>
  <si>
    <t xml:space="preserve">5 diárias em visitas selecionadas e apresentações; somente artistas, figurinos e ambientes autorizados (LGPD/ECA).</t>
  </si>
  <si>
    <t xml:space="preserve">Guia digital de práticas de palhaçaria hospitalar (secundário)</t>
  </si>
  <si>
    <t xml:space="preserve">Redação e organização editorial do guia digital</t>
  </si>
  <si>
    <t xml:space="preserve">Sistematização dos princípios artísticos e aprendizados de produção (sem dados de pacientes); texto técnico de ~40 páginas.</t>
  </si>
  <si>
    <t xml:space="preserve">Diagramação do guia em PDF acessível (tags, texto alternativo, contraste)</t>
  </si>
  <si>
    <t xml:space="preserve">Produto digital gratuito; diagramação acessível compatível com leitores de tela (faixa mínima de DESIGN).</t>
  </si>
  <si>
    <t xml:space="preserve">Coordenação geral – encerramento e relatórios (M8)</t>
  </si>
  <si>
    <t xml:space="preserve">Consolidação de fichas, atestados e relatório de cumprimento do objeto.</t>
  </si>
  <si>
    <t xml:space="preserve">Base: cachês por visita (288 × 400 = 115.200) + cachês de formação (120 × 100 = 12.000) + apresentações (4 × 4.000 = 16.000) + formador(a) (36 h × 180 = 6.480) = R$ 149.680 × 20%. Coordenações contratadas como PJ/MEI (sem INSS patronal).</t>
  </si>
  <si>
    <t xml:space="preserve">8 meses de execução; faixa mínima por porte do projeto.</t>
  </si>
  <si>
    <t xml:space="preserve">Assessoria jurídica (contratos, LGPD, direito de imagem, termos com hospitais)</t>
  </si>
  <si>
    <t xml:space="preserve">Minutas de anuência hospitalar, política de imagem/LGPD com crianças e contratos dos artistas; dentro da URH OAB-MG.</t>
  </si>
  <si>
    <t xml:space="preserve">Intérprete de Libras (dupla) nas apresentações públicas</t>
  </si>
  <si>
    <t xml:space="preserve">4 apresentações abertas. [Acessibilidade de conteúdo lançada como item do produto, conforme exemplo do Manual do Proponente 2026, p. 47.]</t>
  </si>
  <si>
    <t xml:space="preserve">Audiodescrição nas apresentações públicas</t>
  </si>
  <si>
    <t xml:space="preserve">Roteiro + narração ao vivo; faixa mínima (apresentações curtas). [Acessibilidade de conteúdo lançada como item do produto, conforme exemplo do Manual do Proponente 2026, p. 47.]</t>
  </si>
  <si>
    <t xml:space="preserve">Material em braille/fonte ampliada (programa e informações de acesso)</t>
  </si>
  <si>
    <t xml:space="preserve">10 por apresentação pública. [Acessibilidade de conteúdo lançada como item do produto, conforme exemplo do Manual do Proponente 2026, p. 47.]</t>
  </si>
  <si>
    <t xml:space="preserve">3% do valor total; pago após aprovação da execução (art. 22, VIII).</t>
  </si>
  <si>
    <t xml:space="preserve">Relatório de execução físico-financeira no Salic.</t>
  </si>
  <si>
    <t xml:space="preserve">Contas de captação/movimentação.</t>
  </si>
  <si>
    <t xml:space="preserve">Impressão de fichas de visita, termos e relatórios.</t>
  </si>
  <si>
    <t xml:space="preserve">Custos vinculados</t>
  </si>
  <si>
    <t xml:space="preserve">Plano de acessibilidade (Guia MDHC) para visitas, apresentações e guia digital; orientação das duplas para comunicação não verbal e sensorial.</t>
  </si>
  <si>
    <t xml:space="preserve">Equipe de apoio a PcD (monitores) nas apresentações</t>
  </si>
  <si>
    <t xml:space="preserve">2 monitores × 4 apresentações.</t>
  </si>
  <si>
    <t xml:space="preserve">Designer gráfico (identidade visual e peças acessíveis)</t>
  </si>
  <si>
    <t xml:space="preserve">Identidade visual, peças digitais com texto alternativo e aplicação das marcas Pronac.</t>
  </si>
  <si>
    <t xml:space="preserve">Impressão de cartazes A3 (apresentações e hospitais)</t>
  </si>
  <si>
    <t xml:space="preserve">Divulgação das 4 apresentações e comunicados internos dos hospitais.</t>
  </si>
  <si>
    <t xml:space="preserve">Informativos com recursos de acessibilidade das apresentações.</t>
  </si>
  <si>
    <t xml:space="preserve">Lançamento do circuito e do guia digital.</t>
  </si>
  <si>
    <t xml:space="preserve">2 meses-equivalentes distribuídos na circulação (sem imagem de pacientes).</t>
  </si>
  <si>
    <t xml:space="preserve">Divulgação das apresentações abertas e do guia.</t>
  </si>
  <si>
    <t xml:space="preserve">• 144 visitas (6 hospitais × 1 visita/semana × 24 semanas), em duplas = 288 cachês de R$ 400 por turno de até 3 h.</t>
  </si>
  <si>
    <t xml:space="preserve">• Interior (Esmeraldas, Sete Lagoas, Paraopeba) = 72 visitas com passagem rodoviária e 1 refeição; BH/RMBH = 72 visitas com transporte urbano.</t>
  </si>
  <si>
    <t xml:space="preserve">• Formação: 12 encontros de 3 h (4 no M1 + 8 na circulação), com formador(a) a R$ 180/h e cachê de formação de R$ 100 por artista/encontro.</t>
  </si>
  <si>
    <t xml:space="preserve">• Coordenação geral e produção executiva acumuladas (8 meses × R$ 6.500); coordenação artística-pedagógica parcial (7 meses × R$ 4.000).</t>
  </si>
  <si>
    <t xml:space="preserve">• 4 apresentações públicas com cachê de grupo R$ 4.000, som pequeno, Libras e audiodescrição.</t>
  </si>
  <si>
    <t xml:space="preserve">• INSS 20% sobre pagamentos a PF via RPA (artistas e formador); coordenações via PJ/MEI.</t>
  </si>
  <si>
    <t xml:space="preserve">• Custos vinculados: adm 6,0%, acessibilidade/divulgação 13,1%, captação 9,0% (reduzida de 10% para manter as 144 visitas).</t>
  </si>
  <si>
    <t xml:space="preserve">• Nenhum custo clínico/hospitalar incluído (IN art. 18).</t>
  </si>
  <si>
    <t xml:space="preserve">• Ajuste de fechamento: R$ -5.500,00 aplicado em 'Cachê artista palhaço(a) por visita hospitalar (duplas)' para fechar o valor total com percentuais inteiros,</t>
  </si>
  <si>
    <t xml:space="preserve">Reduzir para 2 hospitais em Belo Horizonte, 2 duplas (4 artistas) e 48 visitas (2/semana × 24 semanas; 96 cachês de R$ 400 ≈ R$ 38 mil + INSS); formação de 4 encontros (12 h); 1 apresentação pública; guia digital substituído por relatório-síntese online; sem viagens ao interior; coordenação geral acumulada com a artística em dedicação parcial (~R$ 4.000/mês × 8). Mantém objeto (palhaçaria em hospitais), segmento clown e Art. 18; acessibilidade mínima (consultoria + Libras/AD na apresentação) e captação ≤ 10%.</t>
  </si>
  <si>
    <t xml:space="preserve">P16 – Música nos Hospitais | Planilha orçamentária no padrão SALIC (IN MinC 29/2026)</t>
  </si>
  <si>
    <t xml:space="preserve">Ado Viana / Ado Viana / PF</t>
  </si>
  <si>
    <t xml:space="preserve">Apresentações de música instrumental/regional mineira (trio acústico) em instituições de saúde – 30 apresentações – Música / Apresentação/Gravação de Música Instrumental (alternativa: Música Regional) → Risco</t>
  </si>
  <si>
    <t xml:space="preserve">~750 fruições nas 30 apresentações (≈25 por apresentação) + ~150 participações nas 12 oficinas</t>
  </si>
  <si>
    <t xml:space="preserve">Belo Horizonte e municípios da RMBH (6 instituições a definir)</t>
  </si>
  <si>
    <t xml:space="preserve">7 meses (abr–out/2027)</t>
  </si>
  <si>
    <t xml:space="preserve">Coordenação geral (proponente PF) – pré-produção (abr–mai)</t>
  </si>
  <si>
    <t xml:space="preserve">Pactuação com 6 instituições, contratações e conformidade. Dedicação parcial (COORD 9.000 integral); remuneração do proponente ≤ 30% do captado (art. 23 §2º II).</t>
  </si>
  <si>
    <t xml:space="preserve">Apresentações de música instrumental/regional em instituições de saúde (principal)</t>
  </si>
  <si>
    <t xml:space="preserve">Direção musical, curadoria de repertório e arranjos instrumentais</t>
  </si>
  <si>
    <t xml:space="preserve">Nota curatorial (repertório instrumental/regional mineiro: choro, modas e toadas de viola, valsas, congado instrumental), arranjos para trio acústico e diretrizes de adaptação a ambientes assistenciais. Faixa mínima de DIRMUS.</t>
  </si>
  <si>
    <t xml:space="preserve">Produção executiva e articulação institucional – pré-produção</t>
  </si>
  <si>
    <t xml:space="preserve">Seleção e anuência das 6 instituições, protocolos de biossegurança, agenda. Valor na faixa de ASSPROD por dedicação parcial.</t>
  </si>
  <si>
    <t xml:space="preserve">Ensaios de montagem do repertório (trio)</t>
  </si>
  <si>
    <t xml:space="preserve">3 músicos × 6 ensaios de 3 h antes da circulação.</t>
  </si>
  <si>
    <t xml:space="preserve">Coordenação geral (proponente PF) – execução (jun–set)</t>
  </si>
  <si>
    <t xml:space="preserve">Supervisão do circuito e relação com instituições/patrocinadores.</t>
  </si>
  <si>
    <t xml:space="preserve">Produção executiva e articulação institucional – execução</t>
  </si>
  <si>
    <t xml:space="preserve">Agenda das 30 apresentações e 12 oficinas, fichas de realização, atestados.</t>
  </si>
  <si>
    <t xml:space="preserve">Cachê músico – apresentação de 40–60 min em instituição de saúde (trio)</t>
  </si>
  <si>
    <t xml:space="preserve">MG - Belo Horizonte e RMBH (6 instituições)</t>
  </si>
  <si>
    <t xml:space="preserve">30 apresentações (5 por instituição) × 3 músicos. Entre ATORINT (450/turno) e MUSICO (900/concerto c/ ensaio): intervenção sem palco, ensaios pagos à parte. [Linha de equilíbrio: ajustada em R$ -993.85 para fechar o valor total com os percentuais de custos vinculados escolhidos no SALIC.]</t>
  </si>
  <si>
    <t xml:space="preserve">Oficinas de musicalização (secundário)</t>
  </si>
  <si>
    <t xml:space="preserve">Educador(a) musical – oficinas de musicalização</t>
  </si>
  <si>
    <t xml:space="preserve">12 oficinas × 2 h-aula (1 h de oficina + 1 h de preparação/adaptação ao perfil do grupo).</t>
  </si>
  <si>
    <t xml:space="preserve">Músico(a) assistente nas oficinas</t>
  </si>
  <si>
    <t xml:space="preserve">Apoio instrumental/rítmico nas 12 oficinas (abaixo de ATORINT por duração de até 1 h).</t>
  </si>
  <si>
    <t xml:space="preserve">Kits de percussão leve e materiais das oficinas (pandeiros, chocalhos, caxixis, ganzás)</t>
  </si>
  <si>
    <t xml:space="preserve">Material de uso nas 12 oficinas, higienizável; permanece com o proponente para uso cultural (art. 30 §ú) – não doar a hospitais. Linha usada para arredondamento.</t>
  </si>
  <si>
    <t xml:space="preserve">Material de higienização de instrumentos</t>
  </si>
  <si>
    <t xml:space="preserve">Protocolo de controle de infecção exigido pelas instituições para instrumentos e estojos.</t>
  </si>
  <si>
    <t xml:space="preserve">Locação de sistema de som portátil (caixa amplificada + 2 microfones)</t>
  </si>
  <si>
    <t xml:space="preserve">Apenas para 6 apresentações em auditórios/áreas de convivência, mediante autorização; equipamento compacto, abaixo da faixa de SOMP.</t>
  </si>
  <si>
    <t xml:space="preserve">Transporte de músicos e instrumentos (BH/RMBH)</t>
  </si>
  <si>
    <t xml:space="preserve">atividade</t>
  </si>
  <si>
    <t xml:space="preserve">30 apresentações + 12 oficinas; deslocamento por veículo de aplicativo/frete leve durante a execução.</t>
  </si>
  <si>
    <t xml:space="preserve">Seguro de acidentes pessoais (músicos e equipe)</t>
  </si>
  <si>
    <t xml:space="preserve">Cobertura durante a circulação.</t>
  </si>
  <si>
    <t xml:space="preserve">Direitos autorais / ECAD</t>
  </si>
  <si>
    <t xml:space="preserve">Execução pública de repertório protegido (eventos gratuitos), conforme regulamento ECAD.</t>
  </si>
  <si>
    <t xml:space="preserve">Registro fotográfico sem identificação de pacientes</t>
  </si>
  <si>
    <t xml:space="preserve">3 diárias de registro de artistas, instrumentos e espaços neutros (LGPD).</t>
  </si>
  <si>
    <t xml:space="preserve">Coordenação geral – encerramento, relatório curatorial e de execução (out)</t>
  </si>
  <si>
    <t xml:space="preserve">Setlists, indicadores agregados e relatório final.</t>
  </si>
  <si>
    <t xml:space="preserve">Base: cachês (90 × 600 = 54.000) + ensaios (18 × 200 = 3.600) + assistente (12 × 300 = 3.600) + educador (24 × 130 = 3.120) + direção musical (8.000) = R$ 72.320 × 20%. Proponente PF: contador deve validar a incidência; se não devida, a verba não pode ser remanejada sem autorização.</t>
  </si>
  <si>
    <t xml:space="preserve">Abr–out/2027.</t>
  </si>
  <si>
    <t xml:space="preserve">Assessoria jurídica (termos com instituições, LGPD, direitos autorais)</t>
  </si>
  <si>
    <t xml:space="preserve">Minutas de anuência, autorização de imagem e análise de repertório/ECAD.</t>
  </si>
  <si>
    <t xml:space="preserve">Intérprete de Libras em apresentações coletivas</t>
  </si>
  <si>
    <t xml:space="preserve">12 apresentações em espaços coletivos (auditórios/convivência) × 2 h. [Acessibilidade de conteúdo lançada como item do produto, conforme exemplo do Manual do Proponente 2026, p. 47.]</t>
  </si>
  <si>
    <t xml:space="preserve">Programa de repertório em fonte ampliada/braille</t>
  </si>
  <si>
    <t xml:space="preserve">10 por instituição. [Acessibilidade de conteúdo lançada como item do produto, conforme exemplo do Manual do Proponente 2026, p. 47.]</t>
  </si>
  <si>
    <t xml:space="preserve">3% do valor total; pago após aprovação da execução.</t>
  </si>
  <si>
    <t xml:space="preserve">Faixa mínima por porte.</t>
  </si>
  <si>
    <t xml:space="preserve">Fichas de realização e termos.</t>
  </si>
  <si>
    <t xml:space="preserve">Diagnóstico por instituição e plano de acessibilidade (Guia MDHC); faixa mínima.</t>
  </si>
  <si>
    <t xml:space="preserve">Faixa mínima; inclui aplicação das marcas Pronac.</t>
  </si>
  <si>
    <t xml:space="preserve">2 meses-equivalentes na circulação (sem imagens de pacientes).</t>
  </si>
  <si>
    <t xml:space="preserve">Impressão de cartazes A3 (comunicação interna das instituições)</t>
  </si>
  <si>
    <t xml:space="preserve">• Formação fixa: trio instrumental acústico (recomendação de enquadramento).</t>
  </si>
  <si>
    <t xml:space="preserve">• 30 apresentações × 3 músicos × R$ 600 + 6 ensaios prévios.</t>
  </si>
  <si>
    <t xml:space="preserve">• 12 oficinas de 1 h com educador(a) musical (2 h-aula por oficina) e músico assistente.</t>
  </si>
  <si>
    <t xml:space="preserve">• Coordenação pelo proponente PF em dedicação parcial (R$ 2.500/mês × 7) e produção executiva 5 meses × R$ 3.000.</t>
  </si>
  <si>
    <t xml:space="preserve">• Som portátil só em 6 apresentações coletivas; deslocamentos por atividade (R$ 120).</t>
  </si>
  <si>
    <t xml:space="preserve">• Libras em 12 apresentações coletivas (2 h cada); consultoria de acessibilidade 2 meses.</t>
  </si>
  <si>
    <t xml:space="preserve">• INSS 20% sobre pagamentos a PF (provisão; validar para proponente PF).</t>
  </si>
  <si>
    <t xml:space="preserve">• Kits de percussão como material de consumo das oficinas (linha de arredondamento).</t>
  </si>
  <si>
    <t xml:space="preserve">• Ajuste de fechamento: R$ -993,85 aplicado em 'Cachê músico – apresentação de 40–60 min em instituição de saúde (trio)' para fechar o valor total com percentuais inteiros,</t>
  </si>
  <si>
    <t xml:space="preserve">Reduzir para 2 instituições em BH, duo instrumental (2 músicos), 10 apresentações e 4 oficinas; eliminar som portátil, kits (usar instrumentos dos músicos) e consultoria de acessibilidade mensal (manter Libras em 4 apresentações coletivas e programa ampliado); coordenação acumulada com produção (4 meses × R$ 2.000); captação ≤ 10%.</t>
  </si>
  <si>
    <t xml:space="preserve">P17 – Corpo em Cena | Planilha orçamentária no padrão SALIC (IN MinC 29/2026)</t>
  </si>
  <si>
    <t xml:space="preserve">Amanda Lourenço / Amanda Lourenço / A confirmar</t>
  </si>
  <si>
    <t xml:space="preserve">Oficinas de dança, expressão corporal e artes visuais com criação coletiva (3 núcleos, 48 encontros, 96 h) – Artes Cênicas / Empreendimento de Ações Educativo-Culturais/Capacitação/Treinamento (dança) → Art. 18</t>
  </si>
  <si>
    <t xml:space="preserve">90 participantes diretas + ~300 presenças nas 3 apresentações e mostras + público online do minidocumentário</t>
  </si>
  <si>
    <t xml:space="preserve">Belo Horizonte, Contagem e Betim/Ribeirão das Neves/Ibirité (a definir)</t>
  </si>
  <si>
    <t xml:space="preserve">8 meses (2 pré + 4 execução + 2 pós)</t>
  </si>
  <si>
    <t xml:space="preserve">Coordenação geral (Amanda Lourenço) – pré-produção (M1–M2)</t>
  </si>
  <si>
    <t xml:space="preserve">Estruturação, parceiros, seleção de espaços e equipe. Dedicação parcial (COORD integral 9.000); se proponente PF, ≤ 30% do captado.</t>
  </si>
  <si>
    <t xml:space="preserve">Produção executiva – mobilização, inscrições e seleção (M2)</t>
  </si>
  <si>
    <t xml:space="preserve">Chamamento público, articulação com CRAS/associações (até 10 vagas por núcleo), lista de espera.</t>
  </si>
  <si>
    <t xml:space="preserve">Oficinas de dança, expressão corporal e artes visuais com criação coletiva (principal)</t>
  </si>
  <si>
    <t xml:space="preserve">Direção artística e pedagógica – plano pedagógico (M2)</t>
  </si>
  <si>
    <t xml:space="preserve">Plano pedagógico de 16 encontros/núcleo com carga horária e conteúdo (exigência do Anexo II para oficinas). Dedicação parcial.</t>
  </si>
  <si>
    <t xml:space="preserve">Coordenação geral – execução (M3–M6)</t>
  </si>
  <si>
    <t xml:space="preserve">Produção executiva – execução (M3–M6)</t>
  </si>
  <si>
    <t xml:space="preserve">MG - Belo Horizonte, Contagem e 3º município da RMBH</t>
  </si>
  <si>
    <t xml:space="preserve">Logística dos 3 núcleos, técnica e transporte das apresentações.</t>
  </si>
  <si>
    <t xml:space="preserve">Direção artística e pedagógica – laboratórios, criação coletiva e ensaios (M3–M6)</t>
  </si>
  <si>
    <t xml:space="preserve">Integra os materiais dos 3 núcleos na obra coletiva e supervisiona oficineiras.</t>
  </si>
  <si>
    <t xml:space="preserve">Oficineira de dança (contemporânea, urbanas, dança livre, expressão corporal)</t>
  </si>
  <si>
    <t xml:space="preserve">48 encontros × 2 h (16 por núcleo). [Linha de equilíbrio: ajustada em R$ -1,909.69 para fechar o valor total com os percentuais de custos vinculados escolhidos no SALIC.]</t>
  </si>
  <si>
    <t xml:space="preserve">Arte-educadora de artes visuais e figurino</t>
  </si>
  <si>
    <t xml:space="preserve">1 h de artes visuais em cada um dos 48 encontros (pintura, colagem, figurino leve).</t>
  </si>
  <si>
    <t xml:space="preserve">Mediadora/assistente local por encontro</t>
  </si>
  <si>
    <t xml:space="preserve">encontro</t>
  </si>
  <si>
    <t xml:space="preserve">Recepção, presença e apoio inclusivo; turno de 3 h (≈ 1/4 de diária PRODLOC).</t>
  </si>
  <si>
    <t xml:space="preserve">Ateliê artístico infantil durante os encontros (arte-educadora)</t>
  </si>
  <si>
    <t xml:space="preserve">Atividades artísticas para filhos(as) das participantes, sob demanda (premissa: 2/3 dos encontros); ação cultural para crianças (art. 42, VI), não serviço de creche.</t>
  </si>
  <si>
    <t xml:space="preserve">90 participantes × 16 encontros × 75% de frequência; faixa mínima (permanência em oficinas de 2 h).</t>
  </si>
  <si>
    <t xml:space="preserve">Material de consumo de artes visuais</t>
  </si>
  <si>
    <t xml:space="preserve">Tintas, papéis, colagem.</t>
  </si>
  <si>
    <t xml:space="preserve">Espetáculo de dança – 3 apresentações gratuitas (secundário)</t>
  </si>
  <si>
    <t xml:space="preserve">Materiais para figurino leve (customização coletiva)</t>
  </si>
  <si>
    <t xml:space="preserve">Peças básicas customizadas pelas participantes; abaixo de FIGUR por não haver criação/confecção profissional por peça.</t>
  </si>
  <si>
    <t xml:space="preserve">Apoio de montagem no BH (elenco ampliado).</t>
  </si>
  <si>
    <t xml:space="preserve">Locação de ônibus com motorista (participantes de Contagem e do 3º município para BH)</t>
  </si>
  <si>
    <t xml:space="preserve">Transporte acessível para a apresentação principal (faixa mínima).</t>
  </si>
  <si>
    <t xml:space="preserve">Mostra de artes visuais – 3 montagens (secundário)</t>
  </si>
  <si>
    <t xml:space="preserve">Frete de obras e figurinos entre os 3 espaços (utilitário)</t>
  </si>
  <si>
    <t xml:space="preserve">Utilitário leve, abaixo de CAMINHAO.</t>
  </si>
  <si>
    <t xml:space="preserve">Suportes expositivos leves e montagem da mostra</t>
  </si>
  <si>
    <t xml:space="preserve">Painéis, cavaletes, fixações reaproveitáveis para 3 montagens de 1 conjunto de obras; linha de arredondamento.</t>
  </si>
  <si>
    <t xml:space="preserve">Seguro de acidentes pessoais (participantes nas apresentações e transporte)</t>
  </si>
  <si>
    <t xml:space="preserve">Direitos autorais / ECAD (trilha das apresentações)</t>
  </si>
  <si>
    <t xml:space="preserve">Prioridade a trilha original ou licenciada.</t>
  </si>
  <si>
    <t xml:space="preserve">Minidocumentário e registros audiovisuais (secundário)</t>
  </si>
  <si>
    <t xml:space="preserve">Registro audiovisual (processo + 3 apresentações)</t>
  </si>
  <si>
    <t xml:space="preserve">1 diária de processo + 3 apresentações; faixa mínima.</t>
  </si>
  <si>
    <t xml:space="preserve">Coordenação geral – pós-produção e prestação de informações (M7–M8)</t>
  </si>
  <si>
    <t xml:space="preserve">Edição/finalização do minidocumentário (5–8 min) e dos registros</t>
  </si>
  <si>
    <t xml:space="preserve">Faixa mínima.</t>
  </si>
  <si>
    <t xml:space="preserve">Base: oficineira de dança (96 h × 130 = 12.480) + artes visuais (48 h × 130 = 6.240) + mediadoras (48 × 120 = 5.760) + ateliê infantil (32 × 120 = 3.840) = R$ 28.320 × 20%. Direção/coordenação via MEI/PJ.</t>
  </si>
  <si>
    <t xml:space="preserve">8 meses.</t>
  </si>
  <si>
    <t xml:space="preserve">Assessoria jurídica (termos de imagem/voz, autorização de adolescentes, LGPD)</t>
  </si>
  <si>
    <t xml:space="preserve">Intérprete de Libras nas oficinas (aula inaugural/sob demanda)</t>
  </si>
  <si>
    <t xml:space="preserve">Audiodescrição das apresentações e da mostra</t>
  </si>
  <si>
    <t xml:space="preserve">Faixa mínima. [Acessibilidade de conteúdo lançada como item do produto, conforme exemplo do Manual do Proponente 2026, p. 47.]</t>
  </si>
  <si>
    <t xml:space="preserve">Legendagem descritiva e janela de Libras do minidocumentário</t>
  </si>
  <si>
    <t xml:space="preserve">Exigido para difusão online acessível. [Acessibilidade de conteúdo lançada como item do produto, conforme exemplo do Manual do Proponente 2026, p. 47.]</t>
  </si>
  <si>
    <t xml:space="preserve">Material em braille/fonte ampliada</t>
  </si>
  <si>
    <t xml:space="preserve">3% do valor total.</t>
  </si>
  <si>
    <t xml:space="preserve">Listas de presença, termos.</t>
  </si>
  <si>
    <t xml:space="preserve">Vistoria dos espaços, plano (Guia MDHC), adaptações para mulheres com deficiência/idosas.</t>
  </si>
  <si>
    <t xml:space="preserve">2 por apresentação.</t>
  </si>
  <si>
    <t xml:space="preserve">Mobilização (inscrições) e divulgação das apresentações.</t>
  </si>
  <si>
    <t xml:space="preserve">Mobilização comunitária nos 3 territórios.</t>
  </si>
  <si>
    <t xml:space="preserve">• 3 núcleos × 16 encontros × 2 h = 96 h de dança; artes visuais 1 h por encontro (48 h).</t>
  </si>
  <si>
    <t xml:space="preserve">• Lanche para 75% de frequência (1.080 unidades × R$ 8).</t>
  </si>
  <si>
    <t xml:space="preserve">• Ateliê infantil em 32 dos 48 encontros (sob demanda).</t>
  </si>
  <si>
    <t xml:space="preserve">• 3 apresentações com som/luz pequeno porte; 2 ônibus para levar participantes de Contagem e 3º município à apresentação principal em BH.</t>
  </si>
  <si>
    <t xml:space="preserve">• Coordenação (8 × 2.200), produção (4 × 3.000) e direção artístico-pedagógica (5 × 3.000) em dedicação parcial.</t>
  </si>
  <si>
    <t xml:space="preserve">• INSS 20% sobre oficineiras, mediadoras e ateliê (RPA).</t>
  </si>
  <si>
    <t xml:space="preserve">• Espaços de oficina e apresentação cedidos gratuitamente por equipamentos públicos (a documentar).</t>
  </si>
  <si>
    <t xml:space="preserve">• Ajuste de fechamento: R$ -1.909,69 aplicado em 'Oficineira de dança (contemporânea. urbanas. dança livre. expressão corporal)' para fechar o valor total com percentuais inteiros,</t>
  </si>
  <si>
    <t xml:space="preserve">1 núcleo (BH) com 30 mulheres e 16 encontros; 1 apresentação final com mostra no mesmo dia; sem ônibus e sem minidocumentário (só registro fotográfico); ateliê infantil e lanche mantidos em escala reduzida; coordenação e direção acumuladas em dedicação parcial; Libras e AD na apresentação final; captação ≤ 10%.</t>
  </si>
  <si>
    <t xml:space="preserve">P18 – Arte e Envelhecimento Ativo | Planilha orçamentária no padrão SALIC (IN MinC 29/2026)</t>
  </si>
  <si>
    <t xml:space="preserve">Oficinas continuadas de dança adaptada para pessoas idosas (72 encontros) com direção artístico-pedagógica – Artes Cênicas / Empreendimento de Ações Educativo-Culturais/Capacitação/Treinamento (dança) → Art. 18</t>
  </si>
  <si>
    <t xml:space="preserve">~120 pessoas idosas (até 180) + 30 multiplicadores + ~450 espectadores nas 7 apresentações + público online dos vídeos</t>
  </si>
  <si>
    <t xml:space="preserve">10 meses (2 pré + 7 execução + 1 pós)</t>
  </si>
  <si>
    <t xml:space="preserve">Coordenação geral – pré-produção (M1–M2)</t>
  </si>
  <si>
    <t xml:space="preserve">Seleção das 6 instituições, anuências, equipe. Dedicação parcial.</t>
  </si>
  <si>
    <t xml:space="preserve">Produção executiva – pré-produção (M1–M2)</t>
  </si>
  <si>
    <t xml:space="preserve">Pactuação de espaços, calendário de 24 semanas, inscrições.</t>
  </si>
  <si>
    <t xml:space="preserve">Oficinas continuadas de dança adaptada para pessoas idosas (principal)</t>
  </si>
  <si>
    <t xml:space="preserve">Direção artístico-pedagógica – projeto pedagógico (M2)</t>
  </si>
  <si>
    <t xml:space="preserve">Sequenciamento dos 12 encontros de cada linguagem, adaptações de mobilidade/audição/visão; dedicação parcial.</t>
  </si>
  <si>
    <t xml:space="preserve">Coordenação geral – execução (M3–M9)</t>
  </si>
  <si>
    <t xml:space="preserve">Produção executiva – implantação e apresentações (M3 e M8–M9)</t>
  </si>
  <si>
    <t xml:space="preserve">Direção artístico-pedagógica – supervisão, composição coreográfica e direção das mostras (M3–M9)</t>
  </si>
  <si>
    <t xml:space="preserve">Integra canto e dança e dirige as 7 apresentações.</t>
  </si>
  <si>
    <t xml:space="preserve">Arte-educador(a) de dança adaptada</t>
  </si>
  <si>
    <t xml:space="preserve">72 encontros de 1 h × 2 h-aula (aula + ensaio/preparação e adaptação); 12 por instituição. [Linha de equilíbrio: ajustada em R$ -2,991.55 para fechar o valor total com os percentuais de custos vinculados escolhidos no SALIC.]</t>
  </si>
  <si>
    <t xml:space="preserve">Oficinas continuadas de canto coral (secundário)</t>
  </si>
  <si>
    <t xml:space="preserve">Regente/educador(a) de canto coral</t>
  </si>
  <si>
    <t xml:space="preserve">72 encontros de 1 h × 2 h-aula; 12 por instituição; o(a) regente acompanha ao violão.</t>
  </si>
  <si>
    <t xml:space="preserve">Materiais cênicos e didáticos (lenços, fitas, bastões leves, instrumentos de percussão leve)</t>
  </si>
  <si>
    <t xml:space="preserve">Material de consumo das oficinas; linha de arredondamento do total.</t>
  </si>
  <si>
    <t xml:space="preserve">Deslocamento dos arte-educadores entre instituições</t>
  </si>
  <si>
    <t xml:space="preserve">144 encontros; ônibus metropolitano/aplicativo em execução.</t>
  </si>
  <si>
    <t xml:space="preserve">Formação de multiplicadores culturais (secundário)</t>
  </si>
  <si>
    <t xml:space="preserve">Formador(a) de multiplicadores – didática de coral e dança inclusivos</t>
  </si>
  <si>
    <t xml:space="preserve">2 turmas × 4 encontros × 2 h.</t>
  </si>
  <si>
    <t xml:space="preserve">Co-formador(a) (dança)</t>
  </si>
  <si>
    <t xml:space="preserve">Material didático da formação</t>
  </si>
  <si>
    <t xml:space="preserve">Apresentações locais e mostra final de coral e dança (secundário)</t>
  </si>
  <si>
    <t xml:space="preserve">Locação de sistema de som portátil (apresentações locais)</t>
  </si>
  <si>
    <t xml:space="preserve">Caixa amplificada + microfones para apresentações em salas das instituições.</t>
  </si>
  <si>
    <t xml:space="preserve">Camisetas-figurino dos participantes</t>
  </si>
  <si>
    <t xml:space="preserve">Figurino coletivo simples para as 7 apresentações.</t>
  </si>
  <si>
    <t xml:space="preserve">Pauta/taxa de uso de equipamento cultural para a mostra final em BH</t>
  </si>
  <si>
    <t xml:space="preserve">Teatro/centro cultural público acessível (palco sem degraus ou com rampa).</t>
  </si>
  <si>
    <t xml:space="preserve">Locação de sonorização pequeno porte (mostra final)</t>
  </si>
  <si>
    <t xml:space="preserve">Locação de iluminação pequeno porte (mostra final)</t>
  </si>
  <si>
    <t xml:space="preserve">Técnico de som (mostra final)</t>
  </si>
  <si>
    <t xml:space="preserve">Técnico de luz (mostra final)</t>
  </si>
  <si>
    <t xml:space="preserve">Montador/apoio de palco (mostra final)</t>
  </si>
  <si>
    <t xml:space="preserve">Locação de ônibus acessível com motorista (participantes para a mostra final)</t>
  </si>
  <si>
    <t xml:space="preserve">~100 participantes + acompanhantes de 4–5 instituições (residentes de ILPI participam conforme liberação).</t>
  </si>
  <si>
    <t xml:space="preserve">Lanche dos participantes no dia da mostra final</t>
  </si>
  <si>
    <t xml:space="preserve">Participantes e acompanhantes em deslocamento de meio período; não é alimentação assistencial.</t>
  </si>
  <si>
    <t xml:space="preserve">Seguro de acidentes pessoais (participantes no transporte e na mostra)</t>
  </si>
  <si>
    <t xml:space="preserve">Direitos autorais / ECAD (repertório das apresentações)</t>
  </si>
  <si>
    <t xml:space="preserve">Cantigas populares e música mineira; parte em domínio público.</t>
  </si>
  <si>
    <t xml:space="preserve">Registros audiovisuais do processo (secundário)</t>
  </si>
  <si>
    <t xml:space="preserve">Registro audiovisual do processo (1 por instituição) e da mostra</t>
  </si>
  <si>
    <t xml:space="preserve">Faixa mínima; somente participantes com autorização.</t>
  </si>
  <si>
    <t xml:space="preserve">Coordenação geral – encerramento e relatório (M10)</t>
  </si>
  <si>
    <t xml:space="preserve">Edição de 6 vídeos curtos e 1 vídeo-síntese</t>
  </si>
  <si>
    <t xml:space="preserve">Base: dança (144 h × 150 = 21.600) + coral (144 h × 150 = 21.600) + formadores (16 h × 180 + 16 h × 130 = 4.960) = R$ 48.160 × 20%. Coordenação/direção/produção via PJ/MEI.</t>
  </si>
  <si>
    <t xml:space="preserve">10 meses.</t>
  </si>
  <si>
    <t xml:space="preserve">Assessoria jurídica (termos com ILPIs, imagem de pessoas idosas/curatelados, ECAD)</t>
  </si>
  <si>
    <t xml:space="preserve">Intérprete de Libras (dupla) nas 7 apresentações</t>
  </si>
  <si>
    <t xml:space="preserve">Audiodescrição da mostra final</t>
  </si>
  <si>
    <t xml:space="preserve">Nas 6 apresentações locais: descrição oral pela equipe artística, com justificativa (art. 38 §2º). [Acessibilidade de conteúdo lançada como item do produto, conforme exemplo do Manual do Proponente 2026, p. 47.]</t>
  </si>
  <si>
    <t xml:space="preserve">Legendagem dos vídeos</t>
  </si>
  <si>
    <t xml:space="preserve">Difusão online acessível dos 7 vídeos. [Acessibilidade de conteúdo lançada como item do produto, conforme exemplo do Manual do Proponente 2026, p. 47.]</t>
  </si>
  <si>
    <t xml:space="preserve">Listas de presença acessíveis, termos.</t>
  </si>
  <si>
    <t xml:space="preserve">Coordenação de acessibilidade</t>
  </si>
  <si>
    <t xml:space="preserve">Visitas técnicas às 6 instituições e plano de acessibilidade (Guia MDHC); faixa mínima.</t>
  </si>
  <si>
    <t xml:space="preserve">Equipe de apoio a PcD/mobilidade reduzida (monitores)</t>
  </si>
  <si>
    <t xml:space="preserve">1 por apresentação local + 3 na mostra final.</t>
  </si>
  <si>
    <t xml:space="preserve">Material didático em fonte ampliada (letras de canções, roteiros)</t>
  </si>
  <si>
    <t xml:space="preserve">Faixa intermediária (impressão ampliada).</t>
  </si>
  <si>
    <t xml:space="preserve">Designer gráfico (peças legíveis e de alto contraste)</t>
  </si>
  <si>
    <t xml:space="preserve">Divulgação das apresentações abertas.</t>
  </si>
  <si>
    <t xml:space="preserve">Divulgação comunitária nas instituições e bairros.</t>
  </si>
  <si>
    <t xml:space="preserve">• 6 instituições × 24 semanas × 1 encontro de 1 h alternando coral/dança = 144 oficinas; cada encontro remunerado como 2 h-aula (aula + preparação/ensaio) a R$ 150.</t>
  </si>
  <si>
    <t xml:space="preserve">• Regente acompanha ao violão (sem músico acompanhador).</t>
  </si>
  <si>
    <t xml:space="preserve">• Formação: 2 turmas × 4 encontros × 2 h (16 h) com formador(a) R$ 180/h e co-formador(a) R$ 130/h.</t>
  </si>
  <si>
    <t xml:space="preserve">• 6 apresentações locais com som portátil; mostra final em equipamento cultural público com som/luz pequeno porte e 3 ônibus acessíveis.</t>
  </si>
  <si>
    <t xml:space="preserve">• Coordenação (10 × 2.200), produção (5 × 3.000) e direção artístico-pedagógica (8 × 2.200) em dedicação parcial.</t>
  </si>
  <si>
    <t xml:space="preserve">• INSS 20% sobre educadores e formadores (RPA).</t>
  </si>
  <si>
    <t xml:space="preserve">• AD profissional na mostra final; nas locais, descrição oral com justificativa (art. 38 §2º).</t>
  </si>
  <si>
    <t xml:space="preserve">• Ajuste de fechamento: R$ -2.991,55 aplicado em 'Arte-educador(a) de dança adaptada' para fechar o valor total com percentuais inteiros,</t>
  </si>
  <si>
    <t xml:space="preserve">Reduzir para 2 instituições em BH (≈40 pessoas), 48 oficinas (24 coral + 24 dança), 1 turma de multiplicadores de 4 encontros, 2 apresentações locais (sem mostra central, ônibus e iluminação), 1 vídeo-síntese editado a partir de registro único; coordenação e produção acumuladas; Libras nas 2 apresentações e material ampliado; captação ≤ 10%.</t>
  </si>
  <si>
    <t xml:space="preserve">P19 – Acelera Minas – formação de kart | Planilha orçamentária no padrão SALIC (IN MinC 29/2026)</t>
  </si>
  <si>
    <t xml:space="preserve">Rafael Tose / Não identificado no documento ('[Nome da OSC]', sede em Juatuba/MG; '[Produtora parceira]' na gestão) / A confirmar</t>
  </si>
  <si>
    <t xml:space="preserve">[REFORMULAÇÃO – referência] Laboratório de formação audiovisual para 80 adolescentes (4 turmas de 20, 80 h cada) de Juatuba e Santa Luzia – Audiovisual / Ações de capacitação e treinamento de pessoal → Risco</t>
  </si>
  <si>
    <t xml:space="preserve">Reformulação: 80 participantes diretos (80 h cada), cerca de 600 espectadores nas 4 sessões da mostra, mais o público on-line da websérie. Projeto original: 80 alunos de kart.</t>
  </si>
  <si>
    <t xml:space="preserve">Juatuba e Santa Luzia (MG)</t>
  </si>
  <si>
    <t xml:space="preserve">Reformulação: 10 meses (1 de pré, 8 de formação/produção, 1 de pós). Original: 12 meses + 60 dias.</t>
  </si>
  <si>
    <t xml:space="preserve">MG - Juatuba e Santa Luzia</t>
  </si>
  <si>
    <t xml:space="preserve">Mês 1: parcerias com escolas públicas/CRAS, cessão de salas, seleção de educadores, inscrições.</t>
  </si>
  <si>
    <t xml:space="preserve">Laboratório de formação audiovisual para adolescentes – Audiovisual: Ações de capacitação e treinamento (principal)</t>
  </si>
  <si>
    <t xml:space="preserve">Coordenador(a) pedagógico(a) – projeto pedagógico do laboratório</t>
  </si>
  <si>
    <t xml:space="preserve">Projeto pedagógico (conteúdo, carga horária, avaliação) – Anexo II, item 7.</t>
  </si>
  <si>
    <t xml:space="preserve">Meses 2 a 9 (formação, filmagens e mostra). [Linha de equilíbrio: ajustada em R$ -5,551.77 para fechar o valor total com os percentuais de custos vinculados escolhidos no SALIC.]</t>
  </si>
  <si>
    <t xml:space="preserve">Coordenador(a) pedagógico(a) – acompanhamento (dedicação parcial)</t>
  </si>
  <si>
    <t xml:space="preserve">Abaixo da faixa por dedicação parcial (~50%).</t>
  </si>
  <si>
    <t xml:space="preserve">Meses de filmagem e mostra.</t>
  </si>
  <si>
    <t xml:space="preserve">Arte-educador(a) audiovisual – oficinas regulares (roteiro, câmera, fotografia, som, edição)</t>
  </si>
  <si>
    <t xml:space="preserve">4 turmas de 20 (2 em Juatuba, 2 em Santa Luzia) x 32 encontros de 2,5 h = 80 h por turma.</t>
  </si>
  <si>
    <t xml:space="preserve">Oficineiro(a) convidado(a) – módulos especiais (narração/locução esportiva, fotografia de movimento, documentário)</t>
  </si>
  <si>
    <t xml:space="preserve">4 módulos de 3 h por turma; valor dentro da faixa (especialistas).</t>
  </si>
  <si>
    <t xml:space="preserve">Aquisição de kit audiovisual didático (câmera/celular com estabilizador, microfone, tripé, cartões)</t>
  </si>
  <si>
    <t xml:space="preserve">1 kit por turma; aquisição mais econômica que locação por 8 meses (art. 30 IN 29); destinação cultural declarada (continuidade de oficinas na escola/parceiro). Cotação de mercado.</t>
  </si>
  <si>
    <t xml:space="preserve">Locação de notebooks para edição</t>
  </si>
  <si>
    <t xml:space="preserve">unidade/mês</t>
  </si>
  <si>
    <t xml:space="preserve">8 notebooks compartilhados pelas turmas x 8 meses; cotação de mercado.</t>
  </si>
  <si>
    <t xml:space="preserve">Material de consumo das oficinas (cartões de memória, HDs, impressões de roteiro)</t>
  </si>
  <si>
    <t xml:space="preserve">80 participantes.</t>
  </si>
  <si>
    <t xml:space="preserve">80 x 32 encontros; piso da faixa.</t>
  </si>
  <si>
    <t xml:space="preserve">Locação de ônibus – saídas de filmagem dos alunos de Juatuba</t>
  </si>
  <si>
    <t xml:space="preserve">3 saídas de campo (kartódromo e locações da websérie).</t>
  </si>
  <si>
    <t xml:space="preserve">Participantes menores de idade em saídas de campo.</t>
  </si>
  <si>
    <t xml:space="preserve">Websérie documental 'Acelera Minas' (5 episódios) – Audiovisual: Produção de websérie (secundário)</t>
  </si>
  <si>
    <t xml:space="preserve">Direção da websérie documental (orientação dos alunos e direção final)</t>
  </si>
  <si>
    <t xml:space="preserve">Profissional de audiovisual; cotação de mercado.</t>
  </si>
  <si>
    <t xml:space="preserve">Roteiro/argumento da websérie (5 episódios)</t>
  </si>
  <si>
    <t xml:space="preserve">Argumento e roteiro documental construídos com os alunos.</t>
  </si>
  <si>
    <t xml:space="preserve">Registro audiovisual profissional (captação complementar)</t>
  </si>
  <si>
    <t xml:space="preserve">6 diárias de captação.</t>
  </si>
  <si>
    <t xml:space="preserve">Técnico(a) de som direto</t>
  </si>
  <si>
    <t xml:space="preserve">Registro fotográfico (still/making of)</t>
  </si>
  <si>
    <t xml:space="preserve">Mostra de exibição gratuita da websérie (secundário)</t>
  </si>
  <si>
    <t xml:space="preserve">Locação de equipamento de projeção e som para mostra</t>
  </si>
  <si>
    <t xml:space="preserve">4 sessões gratuitas (2 por município) em escolas/praças; cotação de mercado.</t>
  </si>
  <si>
    <t xml:space="preserve">Técnico(a) de projeção/som</t>
  </si>
  <si>
    <t xml:space="preserve">Edição/finalização por episódio (8–10 min)</t>
  </si>
  <si>
    <t xml:space="preserve">5 episódios; piso da faixa (edição feita com os alunos).</t>
  </si>
  <si>
    <t xml:space="preserve">Trilha sonora original</t>
  </si>
  <si>
    <t xml:space="preserve">Abaixo da faixa (trilha curta, 5 episódios).</t>
  </si>
  <si>
    <t xml:space="preserve">Finalização de cor e mixagem de som (5 episódios) + matriz para depósito legal na Cinemateca</t>
  </si>
  <si>
    <t xml:space="preserve">Cotação de mercado; valor de ajuste final.</t>
  </si>
  <si>
    <t xml:space="preserve">Coordenador(a) geral – pós-produção e relatório de cumprimento do objeto</t>
  </si>
  <si>
    <t xml:space="preserve">Mês 10.</t>
  </si>
  <si>
    <t xml:space="preserve">20% x R$ 76.800 (soma das linhas de cachês/oficineiros/serviços pagos a pessoas físicas via RPA)</t>
  </si>
  <si>
    <t xml:space="preserve">Assessoria jurídica (cessão de direitos, imagem de menores, autorizações de locação)</t>
  </si>
  <si>
    <t xml:space="preserve">Intérprete de Libras (dupla) – sessões da mostra</t>
  </si>
  <si>
    <t xml:space="preserve">Janela de Libras nos episódios da websérie</t>
  </si>
  <si>
    <t xml:space="preserve">Cotação de mercado. [Acessibilidade de conteúdo lançada como item do produto, conforme exemplo do Manual do Proponente 2026, p. 47.]</t>
  </si>
  <si>
    <t xml:space="preserve">Audiodescrição dos episódios (roteiro + narração)</t>
  </si>
  <si>
    <t xml:space="preserve">Legendagem descritiva (LSE) dos episódios</t>
  </si>
  <si>
    <t xml:space="preserve">~2,2% do valor total.</t>
  </si>
  <si>
    <t xml:space="preserve">Sessões da mostra.</t>
  </si>
  <si>
    <t xml:space="preserve">Lançamento dos episódios.</t>
  </si>
  <si>
    <t xml:space="preserve">• PLANILHA DE REFERÊNCIA DA REFORMULAÇÃO MÍNIMA DO OBJETO (Rouanet Art. 18, Audiovisual). NÃO é a planilha do projeto de kart, que não é aceitável na Rouanet. Valor alvo = valor da planilha do cliente (R$ 450 mil).</t>
  </si>
  <si>
    <t xml:space="preserve">• Excluídos por serem esportivos (IN art. 18): locação de pista, karts, simulador, combustível/pneus, EPIs de pilotagem, uniformes, instrutores de pilotagem, mecânicos, preparação física, ambulância, cronometragem, corrida de exibição, assistente social/pedagogo de acompanhamento escolar.</t>
  </si>
  <si>
    <t xml:space="preserve">• 80 adolescentes (12 a 17 anos) em 4 turmas de 20 (2 em Juatuba, 2 em Santa Luzia); 32 encontros de 2,5 h (80 h por turma) em 8 meses, em salas cedidas por escolas públicas ou CRAS.</t>
  </si>
  <si>
    <t xml:space="preserve">• Websérie documental de 5 episódios (8 a 10 min), dentro do limite de R$ 60 mil por episódio (IN art. 31, X). Filmagens no kartódromo dependem de cessão gratuita da locação (não orçada).</t>
  </si>
  <si>
    <t xml:space="preserve">• Kits audiovisuais adquiridos (art. 30: mais econômico que locação por 8 meses), com destinação cultural declarada.</t>
  </si>
  <si>
    <t xml:space="preserve">• Arte-educadores, direção, roteiro e trilha pagos por RPA: base do INSS de R$ 76.800. Demais como PJ/MEI.</t>
  </si>
  <si>
    <t xml:space="preserve">• A linha 'Finalização de cor e mixagem…' é o ajuste de arredondamento para fechar R$ 450.000,00.</t>
  </si>
  <si>
    <t xml:space="preserve">• Ajuste de fechamento: R$ -5.551,77 aplicado em 'Coordenador(a) geral – produção' para fechar o valor total com percentuais inteiros,</t>
  </si>
  <si>
    <t xml:space="preserve">(Referência da reformulação.) 1 turma de 20 adolescentes em Juatuba, 80 h, com 1 arte-educador. Websérie reduzida a 1 curta documental de 10 a 15 min feito pelos alunos (direção e edição no piso). 1 sessão de mostra com Libras e AD. 1 kit audiovisual. Coordenação em dedicação parcial (4 a 5 meses). Saem Santa Luzia, os ônibus, os notebooks (usar o laboratório da escola parceira) e os módulos com convidados. A recomendação de não submeter o P19 à Rouanet continua valendo.</t>
  </si>
  <si>
    <t xml:space="preserve">P20 – Jovens do Fut – formação em Juatuba | Planilha orçamentária no padrão SALIC (IN MinC 29/2026)</t>
  </si>
  <si>
    <t xml:space="preserve">A definir / Não identificado ('[Nome da OSC]', sede em Juatuba/MG; '[Produtora parceira]' na gestão) / A confirmar</t>
  </si>
  <si>
    <t xml:space="preserve">[REFORMULAÇÃO] Escola de Audiovisual e Narração do Futebol: 6 turmas de 20 jovens (audiovisual/fotografia e narração/podcast), 60 h cada – Audiovisual / Ações de capacitação e treinamento de pessoal → Art. 18</t>
  </si>
  <si>
    <t xml:space="preserve">Reformulação: 200 participantes diretos (60 h cada) e cerca de 800 a 1.000 pessoas no Festival, na mostra e na exposição, mais o público on-line. Original: 200 alunos de futebol.</t>
  </si>
  <si>
    <t xml:space="preserve">Juatuba (MG)</t>
  </si>
  <si>
    <t xml:space="preserve">Reformulação: 9 meses. Original: 12 meses + 60 dias de prestação de contas.</t>
  </si>
  <si>
    <t xml:space="preserve">MG - Juatuba</t>
  </si>
  <si>
    <t xml:space="preserve">Mês 1: parcerias com escolas públicas/CRAS/prefeitura, cessão de salas e campos, seleção pública de educadores, inscrições.</t>
  </si>
  <si>
    <t xml:space="preserve">Coordenador(a) pedagógico(a) – projeto pedagógico das 10 turmas</t>
  </si>
  <si>
    <t xml:space="preserve">Projeto pedagógico com carga horária e conteúdo (Anexo II, item 7).</t>
  </si>
  <si>
    <t xml:space="preserve">Meses 2 a 8 (formação e Festival). [Linha de equilíbrio: ajustada em R$ -5,947.60 para fechar o valor total com os percentuais de custos vinculados escolhidos no SALIC.]</t>
  </si>
  <si>
    <t xml:space="preserve">Meses 2 a 7; abaixo da faixa por dedicação parcial.</t>
  </si>
  <si>
    <t xml:space="preserve">Escola de Audiovisual e Narração do Futebol – Audiovisual: Ações de capacitação e treinamento (principal)</t>
  </si>
  <si>
    <t xml:space="preserve">Arte-educador(a) audiovisual e fotografia esportiva</t>
  </si>
  <si>
    <t xml:space="preserve">4 turmas x 24 encontros de 2,5 h = 60 h/turma; 20 vagas por turma.</t>
  </si>
  <si>
    <t xml:space="preserve">Arte-educador(a) de narração/locução esportiva e podcast</t>
  </si>
  <si>
    <t xml:space="preserve">2 turmas x 60 h; produção de episódios de podcast/narração pelos alunos.</t>
  </si>
  <si>
    <t xml:space="preserve">Aquisição de kit audiovisual didático (câmera/celular com estabilizador, lente, microfone, tripé)</t>
  </si>
  <si>
    <t xml:space="preserve">1 kit por turma de audiovisual; mais econômico que locação por 6 meses (art. 30); destinação cultural declarada. Cotação de mercado.</t>
  </si>
  <si>
    <t xml:space="preserve">Aquisição de kit de áudio para podcast/narração (2 microfones, interface, fones)</t>
  </si>
  <si>
    <t xml:space="preserve">1 por turma de narração; art. 30. Cotação de mercado.</t>
  </si>
  <si>
    <t xml:space="preserve">8 notebooks x 6 meses; cotação de mercado.</t>
  </si>
  <si>
    <t xml:space="preserve">Material de consumo audiovisual (cartões, HDs, impressões)</t>
  </si>
  <si>
    <t xml:space="preserve">120 participantes das turmas de audiovisual e narração.</t>
  </si>
  <si>
    <t xml:space="preserve">Oficinas de percussão/batucada de arquibancada – Música: Ações educativo-culturais (secundário)</t>
  </si>
  <si>
    <t xml:space="preserve">Arte-educador(a) de percussão (batucada/bateria de arquibancada)</t>
  </si>
  <si>
    <t xml:space="preserve">2 turmas x 60 h; repertório de cantos e ritmos de torcida e tradições percussivas mineiras.</t>
  </si>
  <si>
    <t xml:space="preserve">Instrumentos de percussão para oficinas (surdos, caixas, repiques, tamborins, agogôs, chocalhos)</t>
  </si>
  <si>
    <t xml:space="preserve">26 instrumentos (uso compartilhado por 40 alunos); aquisição justificada (art. 30) e destinação cultural ao parceiro.</t>
  </si>
  <si>
    <t xml:space="preserve">Oficinas de arte urbana e 2 murais nos campos – Artes Visuais: Ações educativo-culturais (secundário)</t>
  </si>
  <si>
    <t xml:space="preserve">Arte-educador(a) de grafite/arte urbana</t>
  </si>
  <si>
    <t xml:space="preserve">2 turmas x 60 h.</t>
  </si>
  <si>
    <t xml:space="preserve">Cachê de artista muralista (mural coletivo ~60 m² com os alunos)</t>
  </si>
  <si>
    <t xml:space="preserve">2 murais em campos/quadras municipais com tema da memória do futebol local; piso da faixa.</t>
  </si>
  <si>
    <t xml:space="preserve">Tintas e materiais para pintura mural</t>
  </si>
  <si>
    <t xml:space="preserve">2 x 60 m².</t>
  </si>
  <si>
    <t xml:space="preserve">Locação de andaime/plataforma</t>
  </si>
  <si>
    <t xml:space="preserve">2 diárias por mural.</t>
  </si>
  <si>
    <t xml:space="preserve">Kit de material para oficina de grafite (sprays, máscara PFF2, luvas, sketchbook)</t>
  </si>
  <si>
    <t xml:space="preserve">40 participantes.</t>
  </si>
  <si>
    <t xml:space="preserve">200 participantes x 24 encontros; piso da faixa.</t>
  </si>
  <si>
    <t xml:space="preserve">Festival Jovens do Fut – mostra, exposição e apresentações (secundário)</t>
  </si>
  <si>
    <t xml:space="preserve">Cachê de grupo de percussão convidado (abertura do Festival)</t>
  </si>
  <si>
    <t xml:space="preserve">Grupo de percussão/bloco mineiro; piso da faixa.</t>
  </si>
  <si>
    <t xml:space="preserve">Locação de equipamento de projeção (mostra dos curtas)</t>
  </si>
  <si>
    <t xml:space="preserve">Cotação de mercado.</t>
  </si>
  <si>
    <t xml:space="preserve">Exposição, mostra e apoio.</t>
  </si>
  <si>
    <t xml:space="preserve">Exposição fotográfica 'Olhares do Fut' – impressão, suportes e montagem</t>
  </si>
  <si>
    <t xml:space="preserve">30 fotografias dos alunos; cotação de mercado; valor de ajuste final da planilha.</t>
  </si>
  <si>
    <t xml:space="preserve">Coordenador(a) geral – pós-produção</t>
  </si>
  <si>
    <t xml:space="preserve">Mês 9: relatório de cumprimento do objeto.</t>
  </si>
  <si>
    <t xml:space="preserve">Edição de vídeo-memória (10–15 min)</t>
  </si>
  <si>
    <t xml:space="preserve">20% x R$ 98.000 (soma das linhas de cachês/oficineiros/serviços pagos a pessoas físicas via RPA)</t>
  </si>
  <si>
    <t xml:space="preserve">Assessoria jurídica (autorizações de imagem de menores, cessão de direitos, termos de uso dos campos)</t>
  </si>
  <si>
    <t xml:space="preserve">Intérprete de Libras (dupla) – Festival</t>
  </si>
  <si>
    <t xml:space="preserve">Audiodescrição ao vivo (Festival e exposição)</t>
  </si>
  <si>
    <t xml:space="preserve">Audiodescrição do vídeo-memória e dos curtas</t>
  </si>
  <si>
    <t xml:space="preserve">2% do valor total.</t>
  </si>
  <si>
    <t xml:space="preserve">Assessoria de imprensa (lançamento e Festival)</t>
  </si>
  <si>
    <t xml:space="preserve">Piso da faixa.</t>
  </si>
  <si>
    <t xml:space="preserve">• PLANILHA DA PROPOSTA DE REFORMULAÇÃO DO OBJETO (Rouanet Art. 18). Não é a planilha da escola de futebol, que não é aceitável na Rouanet. Valor alvo = valor da planilha do cliente (R$ 500 mil).</t>
  </si>
  <si>
    <t xml:space="preserve">• Excluídos por serem esportivos ou sociais (IN art. 18): professores de educação física, monitores esportivos, coordenador técnico, material esportivo, uniformes, chuteiras, locação de campos, arbitragem, troféus, ambulância, transporte para amistosos, Copa Juatuba de Base, assistente social/psicólogo.</t>
  </si>
  <si>
    <t xml:space="preserve">• 200 jovens (10 a 17 anos) em 10 turmas de 20, com 24 encontros de 2,5 h (60 h por turma) em 6 meses: 4 turmas de audiovisual/fotografia, 2 de narração/podcast, 2 de percussão e 2 de arte urbana.</t>
  </si>
  <si>
    <t xml:space="preserve">• Salas cedidas por escolas públicas, CRAS ou prefeitura; murais em muros de campos/quadras municipais com autorização.</t>
  </si>
  <si>
    <t xml:space="preserve">• Kits audiovisuais, de podcast e 26 instrumentos de percussão adquiridos (art. 30), com destinação cultural ao parceiro local.</t>
  </si>
  <si>
    <t xml:space="preserve">• Execução em 9 meses: M1 pré, M2–M7 oficinas, M8 Festival, M9 pós.</t>
  </si>
  <si>
    <t xml:space="preserve">• Arte-educadores e muralistas pagos por RPA: base do INSS de R$ 98.000. Coordenação e técnicos como PJ/MEI.</t>
  </si>
  <si>
    <t xml:space="preserve">• A linha 'Exposição fotográfica Olhares do Fut' é o ajuste de arredondamento para fechar R$ 500.000,00.</t>
  </si>
  <si>
    <t xml:space="preserve">• Ajuste de fechamento: R$ -5.947,60 aplicado em 'Coordenador(a) geral – produção' para fechar o valor total com percentuais inteiros,</t>
  </si>
  <si>
    <t xml:space="preserve">(Reformulação.) Só o produto principal: 2 turmas de audiovisual/fotografia + 1 de narração/podcast (60 jovens, 60 h), com 2 kits audiovisuais e 1 de áudio. Mostra e exposição de encerramento em 1 dia, em espaço cedido, com Libras e AD. Saem a percussão, a arte urbana e os murais, o grupo convidado e a estrutura de tendas, banheiros e segurança. Notebooks só do laboratório da escola parceira. Coordenação em dedicação parcial (5 meses). Continua Art. 18 (Audiovisual – capacitação).</t>
  </si>
  <si>
    <t xml:space="preserve">P21 – Caravana Cultura &amp; Saúde | Planilha orçamentária no padrão SALIC (IN MinC 29/2026)</t>
  </si>
  <si>
    <t xml:space="preserve">Rafael Tose (aba Propostas; ausente da aba Projetos) / Rafael Tose / A confirmar</t>
  </si>
  <si>
    <t xml:space="preserve">Mostra itinerante de cinema brasileiro – 36 blocos de exibição gratuitos em 6 municípios – Audiovisual / Difusão de acervo e conteúdo audiovisual em diversos meios e suportes → Art. 18</t>
  </si>
  <si>
    <t xml:space="preserve">~3.600 presenças acumuladas (36 blocos × ~100; faixa 1.800–5.400) + participantes das 6 rodas</t>
  </si>
  <si>
    <t xml:space="preserve">6 municípios da RMBH e interior próximo (a definir)</t>
  </si>
  <si>
    <t xml:space="preserve">5 meses (2 pré + 2 circulação + 1 pós)</t>
  </si>
  <si>
    <t xml:space="preserve">Seleção de municípios, parceiros, contratos; faixa mínima de COORD.</t>
  </si>
  <si>
    <t xml:space="preserve">Contratos de licença, fornecedores, autorizações; faixa mínima.</t>
  </si>
  <si>
    <t xml:space="preserve">Mostra itinerante de cinema brasileiro – 36 blocos de exibição em 6 municípios (principal)</t>
  </si>
  <si>
    <t xml:space="preserve">Curadoria cinematográfica (grade, classificação, licenças, versões acessíveis, metadados)</t>
  </si>
  <si>
    <t xml:space="preserve">~1,5 mês de trabalho de curador(a); inclui levantamento de metadados exigidos para comprovação (art. 66 §3º) e depósito/registro.</t>
  </si>
  <si>
    <t xml:space="preserve">Visitas técnicas aos 6 municípios (técnico + van)</t>
  </si>
  <si>
    <t xml:space="preserve">MG - 6 municípios (RMBH e interior próximo, a definir)</t>
  </si>
  <si>
    <t xml:space="preserve">3 diárias de rota cobrindo 12 espaços (6 principais + 6 alternativos cobertos): técnico (700) + van (1.000).</t>
  </si>
  <si>
    <t xml:space="preserve">Licenciamento de direitos de exibição pública – longas-metragens brasileiros</t>
  </si>
  <si>
    <t xml:space="preserve">título</t>
  </si>
  <si>
    <t xml:space="preserve">10 longas para 6 exibições gratuitas cada (licença não comercial por título para toda a mostra); estimativa de mercado de distribuidoras independentes, a confirmar com 3 cotações. Total de direitos ≤ 20% do valor aprovado (art. 28).</t>
  </si>
  <si>
    <t xml:space="preserve">Licenciamento de direitos de exibição pública – curtas-metragens brasileiros</t>
  </si>
  <si>
    <t xml:space="preserve">24 curtas (blocos de curtas e aberturas).</t>
  </si>
  <si>
    <t xml:space="preserve">Coordenação geral – circulação (M3–M4)</t>
  </si>
  <si>
    <t xml:space="preserve">Produção executiva – circulação (M3–M4)</t>
  </si>
  <si>
    <t xml:space="preserve">Produtor(a) local por município</t>
  </si>
  <si>
    <t xml:space="preserve">3 diárias por município (véspera + sábado + domingo).</t>
  </si>
  <si>
    <t xml:space="preserve">Locação de sistema de projeção (projetor laser ≥ 10.000 lm, tela 8×4,5 m com estrutura, player)</t>
  </si>
  <si>
    <t xml:space="preserve">12 dias de exibição; preço de mercado de cinema itinerante (sem código no catálogo), a cotar com ≥ 3 fornecedores; fornecedor distinto do som para respeitar o limite de 20% (art. 24). [Linha de equilíbrio: ajustada em R$ -6,187.50 para fechar o valor total com os percentuais de custos vinculados escolhidos no SALIC.]</t>
  </si>
  <si>
    <t xml:space="preserve">Locação de sonorização pequeno porte (plateia até 300 pessoas)</t>
  </si>
  <si>
    <t xml:space="preserve">Iluminação de circulação e segurança (refletores LED)</t>
  </si>
  <si>
    <t xml:space="preserve">Apenas luz de circulação, não cênica.</t>
  </si>
  <si>
    <t xml:space="preserve">Locação de gerador com combustível</t>
  </si>
  <si>
    <t xml:space="preserve">Premissa: 2 dos 6 municípios sem ponto de energia adequado.</t>
  </si>
  <si>
    <t xml:space="preserve">Locação de tenda 10×10 (área técnica e acolhimento/acessibilidade)</t>
  </si>
  <si>
    <t xml:space="preserve">Locação de cadeiras e mobiliário de plateia</t>
  </si>
  <si>
    <t xml:space="preserve">~100 cadeiras + mesas de apoio por dia (12 dias); linha de arredondamento do total.</t>
  </si>
  <si>
    <t xml:space="preserve">Projecionista/operador de vídeo</t>
  </si>
  <si>
    <t xml:space="preserve">2 por dia, faixa mínima.</t>
  </si>
  <si>
    <t xml:space="preserve">Frete de equipamentos entre municípios (utilitário/caminhão leve)</t>
  </si>
  <si>
    <t xml:space="preserve">viagem</t>
  </si>
  <si>
    <t xml:space="preserve">1 deslocamento por fim de semana em rota sequencial; faixa mínima.</t>
  </si>
  <si>
    <t xml:space="preserve">Locação de van com motorista (equipe)</t>
  </si>
  <si>
    <t xml:space="preserve">1 diária por município (ida no sábado, retorno domingo à noite em municípios com pernoite).</t>
  </si>
  <si>
    <t xml:space="preserve">Hospedagem da equipe (municípios com pernoite)</t>
  </si>
  <si>
    <t xml:space="preserve">Premissa: 3 municípios × 8 pessoas × 2 noites.</t>
  </si>
  <si>
    <t xml:space="preserve">8 pessoas × 2 dias × 6 municípios; faixa mínima.</t>
  </si>
  <si>
    <t xml:space="preserve">2 por dia × 12 dias.</t>
  </si>
  <si>
    <t xml:space="preserve">1 por dia (exigência de evento público, não é serviço de saúde do projeto).</t>
  </si>
  <si>
    <t xml:space="preserve">2 por dia (1 PcD) quando o espaço não tiver sanitário acessível.</t>
  </si>
  <si>
    <t xml:space="preserve">Limpeza e recomposição dos espaços</t>
  </si>
  <si>
    <t xml:space="preserve">1 auxiliar por dia.</t>
  </si>
  <si>
    <t xml:space="preserve">1 por município; faixa mínima.</t>
  </si>
  <si>
    <t xml:space="preserve">Seguro de responsabilidade civil e acidentes pessoais</t>
  </si>
  <si>
    <t xml:space="preserve">ECAD (exibição pública gratuita, conforme regulamento)</t>
  </si>
  <si>
    <t xml:space="preserve">Rodas de conversa mediadas (secundário)</t>
  </si>
  <si>
    <t xml:space="preserve">Mediador(a) cultural itinerante</t>
  </si>
  <si>
    <t xml:space="preserve">6 rodas de 30–40 min + preparação; ≤ R$ 5 mil (art. 26 IV).</t>
  </si>
  <si>
    <t xml:space="preserve">Cachê de convidado(a) (realizador/curador/pesquisador ou profissional de saúde pública) por roda</t>
  </si>
  <si>
    <t xml:space="preserve">Interlocução sobre temas dos filmes; não é atendimento nem orientação clínica.</t>
  </si>
  <si>
    <t xml:space="preserve">Registro audiovisual</t>
  </si>
  <si>
    <t xml:space="preserve">1 diária por município; faixa mínima.</t>
  </si>
  <si>
    <t xml:space="preserve">Coordenação geral – encerramento (M5)</t>
  </si>
  <si>
    <t xml:space="preserve">Edição dos registros (6 vídeos curtos de memória)</t>
  </si>
  <si>
    <t xml:space="preserve">Catálogo digital acessível (secundário)</t>
  </si>
  <si>
    <t xml:space="preserve">Diagramação e publicação do catálogo digital acessível</t>
  </si>
  <si>
    <t xml:space="preserve">PDF/HTML acessível com fichas técnicas, sinopses, classificação e links legais.</t>
  </si>
  <si>
    <t xml:space="preserve">Base: mediador (9.000) + convidados (9.000) + produtores locais (8.100) + projecionista e técnico de som (12.000) + montadores (6.000) = R$ 44.100 × 20%. Demais serviços via PJ.</t>
  </si>
  <si>
    <t xml:space="preserve">5 meses; faixa mínima.</t>
  </si>
  <si>
    <t xml:space="preserve">Assessoria jurídica (contratos de licenciamento, autorizações, LGPD)</t>
  </si>
  <si>
    <t xml:space="preserve">Produção de audiodescrição e legendas descritivas (LSE) para títulos sem versão acessível</t>
  </si>
  <si>
    <t xml:space="preserve">Prioridade a títulos com AD/LSE existentes; verba para 2 títulos (curtas/média) sem versão acessível; sem código específico no catálogo. [Acessibilidade de conteúdo lançada como item do produto, conforme exemplo do Manual do Proponente 2026, p. 47.]</t>
  </si>
  <si>
    <t xml:space="preserve">Locação de sistema de transmissão individual de audiodescrição (receptores e fones)</t>
  </si>
  <si>
    <t xml:space="preserve">Permite AD sem prejudicar o áudio geral. [Acessibilidade de conteúdo lançada como item do produto, conforme exemplo do Manual do Proponente 2026, p. 47.]</t>
  </si>
  <si>
    <t xml:space="preserve">Intérprete de Libras (dupla) nas rodas de conversa</t>
  </si>
  <si>
    <t xml:space="preserve">Elaboração de prestação de contas (incl. planilha de metadados dos filmes)</t>
  </si>
  <si>
    <t xml:space="preserve">Plano (Guia MDHC), vistoria de rotas e áreas reservadas.</t>
  </si>
  <si>
    <t xml:space="preserve">Municípios sem rota acessível natural (premissa: 3 × 2 dias).</t>
  </si>
  <si>
    <t xml:space="preserve">Imprensa regional dos 6 municípios.</t>
  </si>
  <si>
    <t xml:space="preserve">Banner/lona de sinalização</t>
  </si>
  <si>
    <t xml:space="preserve">• 6 municípios × 2 dias = 12 dias; 3 blocos/dia = 36 blocos; 1 roda/município.</t>
  </si>
  <si>
    <t xml:space="preserve">• Licenças: 10 longas × R$ 2.500 + 24 curtas × R$ 300 para toda a mostra (a cotar).</t>
  </si>
  <si>
    <t xml:space="preserve">• Estrutura por dia: projeção R$ 2.800, som pequeno porte R$ 1.800, luz de circulação, tenda, cadeiras; gerador em 4 dias; operação com projecionista, técnico de som e 2 montadores.</t>
  </si>
  <si>
    <t xml:space="preserve">• Pernoite em 3 dos 6 municípios (8 pessoas × 2 noites); van e frete 1 viagem por fim de semana.</t>
  </si>
  <si>
    <t xml:space="preserve">• Segurança 2/dia, brigadista 1/dia, 2 banheiros químicos/dia quando necessário.</t>
  </si>
  <si>
    <t xml:space="preserve">• Equipe central: coordenação (5 × 7.000), produção executiva (4 × 5.500), curadoria (R$ 10 mil), produtores locais.</t>
  </si>
  <si>
    <t xml:space="preserve">• INSS 20% sobre mediador, convidados, produtores locais, técnicos e montadores (RPA).</t>
  </si>
  <si>
    <t xml:space="preserve">• Acessibilidade: AD/LSE produzida para 2 títulos; demais com versões existentes; receptores de AD todos os dias.</t>
  </si>
  <si>
    <t xml:space="preserve">• Ajuste de fechamento: R$ -6.187,50 aplicado em 'Locação de sistema de projeção (projetor laser ≥ 10,000 lm. tela 8×4.5 m com estrutura. player)' para fechar o valor total com percentuais inteiros,</t>
  </si>
  <si>
    <t xml:space="preserve">Mínimo não consta da planilha do cliente; sugere-se R$ 90 mil (20%, padrão do portfólio): 2 municípios × 2 dias (12 blocos), 2 rodas de conversa, licenças de ~4 longas e 8 curtas, estrutura locada de um pacote compacto (tela inflável + som), sem gerador/hospedagem (municípios da RMBH com energia), equipe central reduzida (coordenação acumulando produção), Libras nas rodas e AD por receptores; catálogo digital simplificado.</t>
  </si>
</sst>
</file>

<file path=xl/styles.xml><?xml version="1.0" encoding="utf-8"?>
<styleSheet xmlns="http://schemas.openxmlformats.org/spreadsheetml/2006/main">
  <numFmts count="6">
    <numFmt numFmtId="164" formatCode="General"/>
    <numFmt numFmtId="165" formatCode="&quot;R$ &quot;#,##0.00;[RED]&quot;-R$ &quot;#,##0.00;\-"/>
    <numFmt numFmtId="166" formatCode="0%"/>
    <numFmt numFmtId="167" formatCode="General"/>
    <numFmt numFmtId="168" formatCode="0.0%;\-0.0%;\-"/>
    <numFmt numFmtId="169" formatCode="#,##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name val="Arial"/>
      <family val="0"/>
      <charset val="1"/>
    </font>
    <font>
      <i val="true"/>
      <sz val="9"/>
      <color rgb="FF595959"/>
      <name val="Arial"/>
      <family val="0"/>
      <charset val="1"/>
    </font>
    <font>
      <sz val="8"/>
      <name val="Arial"/>
      <family val="0"/>
      <charset val="1"/>
    </font>
    <font>
      <sz val="9"/>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EDEDED"/>
        <bgColor rgb="FFD9E1F2"/>
      </patternFill>
    </fill>
    <fill>
      <patternFill patternType="solid">
        <fgColor rgb="FFD9E1F2"/>
        <bgColor rgb="FFEDEDED"/>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C6EFCE"/>
        </patternFill>
      </fill>
    </dxf>
    <dxf>
      <fill>
        <patternFill>
          <bgColor rgb="FFFFEB9C"/>
        </patternFill>
      </fill>
    </dxf>
    <dxf>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6.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8.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9.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0.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1.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2.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3.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4.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5.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6.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17.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3"/>
    <col collapsed="false" customWidth="true" hidden="false" outlineLevel="0" max="4" min="4" style="0" width="15"/>
    <col collapsed="false" customWidth="true" hidden="false" outlineLevel="0" max="5" min="5" style="0" width="10"/>
    <col collapsed="false" customWidth="true" hidden="false" outlineLevel="0" max="6" min="6" style="0" width="15"/>
    <col collapsed="false" customWidth="true" hidden="false" outlineLevel="0" max="7" min="7" style="0" width="14"/>
    <col collapsed="false" customWidth="true" hidden="false" outlineLevel="0" max="8" min="8" style="0" width="15"/>
    <col collapsed="false" customWidth="true" hidden="false" outlineLevel="0" max="9" min="9" style="0" width="11"/>
    <col collapsed="false" customWidth="true" hidden="false" outlineLevel="0" max="10" min="10" style="0" width="15"/>
    <col collapsed="false" customWidth="true" hidden="false" outlineLevel="0" max="11" min="11" style="0" width="7"/>
    <col collapsed="false" customWidth="true" hidden="false" outlineLevel="0" max="13" min="12" style="0" width="8"/>
    <col collapsed="false" customWidth="true" hidden="false" outlineLevel="0" max="14" min="14" style="0" width="10"/>
    <col collapsed="false" customWidth="true" hidden="false" outlineLevel="0" max="15" min="15" style="0" width="42"/>
    <col collapsed="false" customWidth="true" hidden="false" outlineLevel="0" max="16" min="16" style="0" width="9"/>
    <col collapsed="false" customWidth="true" hidden="false" outlineLevel="0" max="19" min="17" style="0" width="8"/>
    <col collapsed="false" customWidth="true" hidden="false" outlineLevel="0" max="20" min="20" style="0" width="7"/>
    <col collapsed="false" customWidth="true" hidden="false" outlineLevel="0" max="21" min="21" style="0" width="18"/>
    <col collapsed="false" customWidth="true" hidden="false" outlineLevel="0" max="22" min="22"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35.0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row>
    <row r="5" customFormat="false" ht="120" hidden="false" customHeight="true" outlineLevel="0" collapsed="false">
      <c r="A5" s="4" t="s">
        <v>24</v>
      </c>
      <c r="B5" s="4" t="s">
        <v>25</v>
      </c>
      <c r="C5" s="4" t="s">
        <v>26</v>
      </c>
      <c r="D5" s="4" t="s">
        <v>27</v>
      </c>
      <c r="E5" s="4" t="s">
        <v>28</v>
      </c>
      <c r="F5" s="5" t="n">
        <v>500000</v>
      </c>
      <c r="G5" s="5" t="n">
        <v>100000</v>
      </c>
      <c r="H5" s="6" t="n">
        <f aca="false">'P01 Escola de Ofícios do Espetá'!B20</f>
        <v>499745</v>
      </c>
      <c r="I5" s="7" t="n">
        <f aca="false">H5-F5</f>
        <v>-255</v>
      </c>
      <c r="J5" s="6" t="n">
        <f aca="false">'P01 Escola de Ofícios do Espetá'!B16</f>
        <v>393500</v>
      </c>
      <c r="K5" s="8" t="n">
        <f aca="false">'P01 Escola de Ofícios do Espetá'!C17</f>
        <v>0.08</v>
      </c>
      <c r="L5" s="8" t="n">
        <f aca="false">'P01 Escola de Ofícios do Espetá'!C18</f>
        <v>0.09</v>
      </c>
      <c r="M5" s="8" t="n">
        <f aca="false">'P01 Escola de Ofícios do Espetá'!C19</f>
        <v>0.1</v>
      </c>
      <c r="N5" s="9" t="str">
        <f aca="false">IF(AND('P01 Escola de Ofícios do Espetá'!E17="OK",'P01 Escola de Ofícios do Espetá'!E18="OK",'P01 Escola de Ofícios do Espetá'!E19="OK",'P01 Escola de Ofícios do Espetá'!E22="OK"),"OK","EXCEDE")</f>
        <v>OK</v>
      </c>
      <c r="O5" s="4" t="s">
        <v>29</v>
      </c>
      <c r="P5" s="4" t="s">
        <v>30</v>
      </c>
      <c r="Q5" s="4" t="n">
        <v>5</v>
      </c>
      <c r="R5" s="4" t="n">
        <v>13</v>
      </c>
      <c r="S5" s="4" t="n">
        <v>3</v>
      </c>
      <c r="T5" s="4" t="n">
        <v>5</v>
      </c>
      <c r="U5" s="4" t="s">
        <v>31</v>
      </c>
      <c r="V5" s="4" t="s">
        <v>32</v>
      </c>
    </row>
    <row r="6" customFormat="false" ht="120" hidden="false" customHeight="true" outlineLevel="0" collapsed="false">
      <c r="A6" s="4" t="s">
        <v>33</v>
      </c>
      <c r="B6" s="4" t="s">
        <v>34</v>
      </c>
      <c r="C6" s="4" t="s">
        <v>26</v>
      </c>
      <c r="D6" s="4" t="s">
        <v>35</v>
      </c>
      <c r="E6" s="4" t="s">
        <v>28</v>
      </c>
      <c r="F6" s="5" t="n">
        <v>400000</v>
      </c>
      <c r="G6" s="5" t="n">
        <v>80000</v>
      </c>
      <c r="H6" s="6" t="n">
        <f aca="false">'P02 Mestres e Aprendizes'!B20</f>
        <v>399996.75</v>
      </c>
      <c r="I6" s="7" t="n">
        <f aca="false">H6-F6</f>
        <v>-3.25</v>
      </c>
      <c r="J6" s="6" t="n">
        <f aca="false">'P02 Mestres e Aprendizes'!B16</f>
        <v>310075</v>
      </c>
      <c r="K6" s="8" t="n">
        <f aca="false">'P02 Mestres e Aprendizes'!C17</f>
        <v>0.08</v>
      </c>
      <c r="L6" s="8" t="n">
        <f aca="false">'P02 Mestres e Aprendizes'!C18</f>
        <v>0.11</v>
      </c>
      <c r="M6" s="8" t="n">
        <f aca="false">'P02 Mestres e Aprendizes'!C19</f>
        <v>0.1</v>
      </c>
      <c r="N6" s="9" t="str">
        <f aca="false">IF(AND('P02 Mestres e Aprendizes'!E17="OK",'P02 Mestres e Aprendizes'!E18="OK",'P02 Mestres e Aprendizes'!E19="OK",'P02 Mestres e Aprendizes'!E22="OK"),"OK","EXCEDE")</f>
        <v>OK</v>
      </c>
      <c r="O6" s="4" t="s">
        <v>36</v>
      </c>
      <c r="P6" s="4" t="s">
        <v>30</v>
      </c>
      <c r="Q6" s="4" t="n">
        <v>7</v>
      </c>
      <c r="R6" s="4" t="n">
        <v>11</v>
      </c>
      <c r="S6" s="4" t="n">
        <v>3</v>
      </c>
      <c r="T6" s="4" t="n">
        <v>4</v>
      </c>
      <c r="U6" s="4" t="s">
        <v>31</v>
      </c>
      <c r="V6" s="4" t="s">
        <v>37</v>
      </c>
    </row>
    <row r="7" customFormat="false" ht="120" hidden="false" customHeight="true" outlineLevel="0" collapsed="false">
      <c r="A7" s="4" t="s">
        <v>38</v>
      </c>
      <c r="B7" s="4" t="s">
        <v>39</v>
      </c>
      <c r="C7" s="4" t="s">
        <v>26</v>
      </c>
      <c r="D7" s="4" t="s">
        <v>40</v>
      </c>
      <c r="E7" s="4" t="s">
        <v>28</v>
      </c>
      <c r="F7" s="5" t="n">
        <v>200000</v>
      </c>
      <c r="G7" s="5" t="n">
        <v>40000</v>
      </c>
      <c r="H7" s="6" t="n">
        <f aca="false">'P03 Cultura Viva nas Vilas'!B20</f>
        <v>199953.87</v>
      </c>
      <c r="I7" s="7" t="n">
        <f aca="false">H7-F7</f>
        <v>-46.1300000000047</v>
      </c>
      <c r="J7" s="6" t="n">
        <f aca="false">'P03 Cultura Viva nas Vilas'!B16</f>
        <v>155003</v>
      </c>
      <c r="K7" s="8" t="n">
        <f aca="false">'P03 Cultura Viva nas Vilas'!C17</f>
        <v>0.07</v>
      </c>
      <c r="L7" s="8" t="n">
        <f aca="false">'P03 Cultura Viva nas Vilas'!C18</f>
        <v>0.12</v>
      </c>
      <c r="M7" s="8" t="n">
        <f aca="false">'P03 Cultura Viva nas Vilas'!C19</f>
        <v>0.1</v>
      </c>
      <c r="N7" s="9" t="str">
        <f aca="false">IF(AND('P03 Cultura Viva nas Vilas'!E17="OK",'P03 Cultura Viva nas Vilas'!E18="OK",'P03 Cultura Viva nas Vilas'!E19="OK",'P03 Cultura Viva nas Vilas'!E22="OK"),"OK","EXCEDE")</f>
        <v>OK</v>
      </c>
      <c r="O7" s="4" t="s">
        <v>41</v>
      </c>
      <c r="P7" s="4" t="s">
        <v>30</v>
      </c>
      <c r="Q7" s="4" t="n">
        <v>7</v>
      </c>
      <c r="R7" s="4" t="n">
        <v>10</v>
      </c>
      <c r="S7" s="4" t="n">
        <v>4</v>
      </c>
      <c r="T7" s="4" t="n">
        <v>4</v>
      </c>
      <c r="U7" s="4" t="s">
        <v>31</v>
      </c>
      <c r="V7" s="4" t="s">
        <v>42</v>
      </c>
    </row>
    <row r="8" customFormat="false" ht="120" hidden="false" customHeight="true" outlineLevel="0" collapsed="false">
      <c r="A8" s="4" t="s">
        <v>43</v>
      </c>
      <c r="B8" s="4" t="s">
        <v>44</v>
      </c>
      <c r="C8" s="4" t="s">
        <v>26</v>
      </c>
      <c r="D8" s="4" t="s">
        <v>45</v>
      </c>
      <c r="E8" s="4" t="s">
        <v>28</v>
      </c>
      <c r="F8" s="5" t="n">
        <v>900000</v>
      </c>
      <c r="G8" s="5" t="n">
        <v>180000</v>
      </c>
      <c r="H8" s="6" t="n">
        <f aca="false">'P04 Cena Mineira em Movimento'!B20</f>
        <v>899987.85</v>
      </c>
      <c r="I8" s="7" t="n">
        <f aca="false">H8-F8</f>
        <v>-12.1500000000233</v>
      </c>
      <c r="J8" s="6" t="n">
        <f aca="false">'P04 Cena Mineira em Movimento'!B16</f>
        <v>697665</v>
      </c>
      <c r="K8" s="8" t="n">
        <f aca="false">'P04 Cena Mineira em Movimento'!C17</f>
        <v>0.09</v>
      </c>
      <c r="L8" s="8" t="n">
        <f aca="false">'P04 Cena Mineira em Movimento'!C18</f>
        <v>0.1</v>
      </c>
      <c r="M8" s="8" t="n">
        <f aca="false">'P04 Cena Mineira em Movimento'!C19</f>
        <v>0.1</v>
      </c>
      <c r="N8" s="9" t="str">
        <f aca="false">IF(AND('P04 Cena Mineira em Movimento'!E17="OK",'P04 Cena Mineira em Movimento'!E18="OK",'P04 Cena Mineira em Movimento'!E19="OK",'P04 Cena Mineira em Movimento'!E22="OK"),"OK","EXCEDE")</f>
        <v>OK</v>
      </c>
      <c r="O8" s="4" t="s">
        <v>46</v>
      </c>
      <c r="P8" s="4" t="s">
        <v>30</v>
      </c>
      <c r="Q8" s="4" t="n">
        <v>5</v>
      </c>
      <c r="R8" s="4" t="n">
        <v>12</v>
      </c>
      <c r="S8" s="4" t="n">
        <v>4</v>
      </c>
      <c r="T8" s="4" t="n">
        <v>5</v>
      </c>
      <c r="U8" s="4" t="s">
        <v>31</v>
      </c>
      <c r="V8" s="4" t="s">
        <v>47</v>
      </c>
    </row>
    <row r="9" customFormat="false" ht="120" hidden="false" customHeight="true" outlineLevel="0" collapsed="false">
      <c r="A9" s="4" t="s">
        <v>48</v>
      </c>
      <c r="B9" s="4" t="s">
        <v>49</v>
      </c>
      <c r="C9" s="4" t="s">
        <v>26</v>
      </c>
      <c r="D9" s="4" t="s">
        <v>50</v>
      </c>
      <c r="E9" s="4" t="s">
        <v>51</v>
      </c>
      <c r="F9" s="5" t="n">
        <v>300000</v>
      </c>
      <c r="G9" s="5" t="n">
        <v>60000</v>
      </c>
      <c r="H9" s="6" t="n">
        <f aca="false">'P05 Sons do Congado'!B20</f>
        <v>299998.13</v>
      </c>
      <c r="I9" s="7" t="n">
        <f aca="false">H9-F9</f>
        <v>-1.86999999993714</v>
      </c>
      <c r="J9" s="6" t="n">
        <f aca="false">'P05 Sons do Congado'!B16</f>
        <v>236219</v>
      </c>
      <c r="K9" s="8" t="n">
        <f aca="false">'P05 Sons do Congado'!C17</f>
        <v>0.07</v>
      </c>
      <c r="L9" s="8" t="n">
        <f aca="false">'P05 Sons do Congado'!C18</f>
        <v>0.1</v>
      </c>
      <c r="M9" s="8" t="n">
        <f aca="false">'P05 Sons do Congado'!C19</f>
        <v>0.1</v>
      </c>
      <c r="N9" s="9" t="str">
        <f aca="false">IF(AND('P05 Sons do Congado'!E17="OK",'P05 Sons do Congado'!E18="OK",'P05 Sons do Congado'!E19="OK",'P05 Sons do Congado'!E22="OK"),"OK","EXCEDE")</f>
        <v>OK</v>
      </c>
      <c r="O9" s="4" t="s">
        <v>52</v>
      </c>
      <c r="P9" s="4" t="s">
        <v>30</v>
      </c>
      <c r="Q9" s="4" t="n">
        <v>3</v>
      </c>
      <c r="R9" s="4" t="n">
        <v>12</v>
      </c>
      <c r="S9" s="4" t="n">
        <v>6</v>
      </c>
      <c r="T9" s="4" t="n">
        <v>4</v>
      </c>
      <c r="U9" s="4" t="s">
        <v>31</v>
      </c>
      <c r="V9" s="4" t="s">
        <v>53</v>
      </c>
    </row>
    <row r="10" customFormat="false" ht="120" hidden="false" customHeight="true" outlineLevel="0" collapsed="false">
      <c r="A10" s="4" t="s">
        <v>54</v>
      </c>
      <c r="B10" s="4" t="s">
        <v>55</v>
      </c>
      <c r="C10" s="4" t="s">
        <v>26</v>
      </c>
      <c r="D10" s="4" t="s">
        <v>56</v>
      </c>
      <c r="E10" s="4" t="s">
        <v>28</v>
      </c>
      <c r="F10" s="5" t="n">
        <v>750000</v>
      </c>
      <c r="G10" s="5" t="n">
        <v>150000</v>
      </c>
      <c r="H10" s="6" t="n">
        <f aca="false">'P06 Mural Minas'!B20</f>
        <v>749993.42</v>
      </c>
      <c r="I10" s="7" t="n">
        <f aca="false">H10-F10</f>
        <v>-6.57999999995809</v>
      </c>
      <c r="J10" s="6" t="n">
        <f aca="false">'P06 Mural Minas'!B16</f>
        <v>590546</v>
      </c>
      <c r="K10" s="8" t="n">
        <f aca="false">'P06 Mural Minas'!C17</f>
        <v>0.08</v>
      </c>
      <c r="L10" s="8" t="n">
        <f aca="false">'P06 Mural Minas'!C18</f>
        <v>0.09</v>
      </c>
      <c r="M10" s="8" t="n">
        <f aca="false">'P06 Mural Minas'!C19</f>
        <v>0.1</v>
      </c>
      <c r="N10" s="9" t="str">
        <f aca="false">IF(AND('P06 Mural Minas'!E17="OK",'P06 Mural Minas'!E18="OK",'P06 Mural Minas'!E19="OK",'P06 Mural Minas'!E22="OK"),"OK","EXCEDE")</f>
        <v>OK</v>
      </c>
      <c r="O10" s="4" t="s">
        <v>57</v>
      </c>
      <c r="P10" s="4" t="s">
        <v>30</v>
      </c>
      <c r="Q10" s="4" t="n">
        <v>8</v>
      </c>
      <c r="R10" s="4" t="n">
        <v>10</v>
      </c>
      <c r="S10" s="4" t="n">
        <v>3</v>
      </c>
      <c r="T10" s="4" t="n">
        <v>5</v>
      </c>
      <c r="U10" s="4" t="s">
        <v>31</v>
      </c>
      <c r="V10" s="4" t="s">
        <v>58</v>
      </c>
    </row>
    <row r="11" customFormat="false" ht="120" hidden="false" customHeight="true" outlineLevel="0" collapsed="false">
      <c r="A11" s="4" t="s">
        <v>59</v>
      </c>
      <c r="B11" s="4" t="s">
        <v>60</v>
      </c>
      <c r="C11" s="4" t="s">
        <v>26</v>
      </c>
      <c r="D11" s="4" t="s">
        <v>61</v>
      </c>
      <c r="E11" s="4" t="s">
        <v>51</v>
      </c>
      <c r="F11" s="5" t="n">
        <v>500000</v>
      </c>
      <c r="G11" s="5" t="n">
        <v>100000</v>
      </c>
      <c r="H11" s="6" t="n">
        <f aca="false">'P07 Concertos nas Praças do Int'!B20</f>
        <v>499955.82</v>
      </c>
      <c r="I11" s="7" t="n">
        <f aca="false">H11-F11</f>
        <v>-44.1800000000512</v>
      </c>
      <c r="J11" s="6" t="n">
        <f aca="false">'P07 Concertos nas Praças do Int'!B16</f>
        <v>393666</v>
      </c>
      <c r="K11" s="8" t="n">
        <f aca="false">'P07 Concertos nas Praças do Int'!C17</f>
        <v>0.07</v>
      </c>
      <c r="L11" s="8" t="n">
        <f aca="false">'P07 Concertos nas Praças do Int'!C18</f>
        <v>0.1</v>
      </c>
      <c r="M11" s="8" t="n">
        <f aca="false">'P07 Concertos nas Praças do Int'!C19</f>
        <v>0.1</v>
      </c>
      <c r="N11" s="9" t="str">
        <f aca="false">IF(AND('P07 Concertos nas Praças do Int'!E17="OK",'P07 Concertos nas Praças do Int'!E18="OK",'P07 Concertos nas Praças do Int'!E19="OK",'P07 Concertos nas Praças do Int'!E22="OK"),"OK","EXCEDE")</f>
        <v>OK</v>
      </c>
      <c r="O11" s="4" t="s">
        <v>62</v>
      </c>
      <c r="P11" s="4" t="s">
        <v>30</v>
      </c>
      <c r="Q11" s="4" t="n">
        <v>7</v>
      </c>
      <c r="R11" s="4" t="n">
        <v>11</v>
      </c>
      <c r="S11" s="4" t="n">
        <v>3</v>
      </c>
      <c r="T11" s="4" t="n">
        <v>5</v>
      </c>
      <c r="U11" s="4" t="s">
        <v>31</v>
      </c>
      <c r="V11" s="4" t="s">
        <v>63</v>
      </c>
    </row>
    <row r="12" customFormat="false" ht="120" hidden="false" customHeight="true" outlineLevel="0" collapsed="false">
      <c r="A12" s="4" t="s">
        <v>64</v>
      </c>
      <c r="B12" s="4" t="s">
        <v>65</v>
      </c>
      <c r="C12" s="4" t="s">
        <v>26</v>
      </c>
      <c r="D12" s="4" t="s">
        <v>66</v>
      </c>
      <c r="E12" s="4" t="s">
        <v>28</v>
      </c>
      <c r="F12" s="5" t="n">
        <v>600000</v>
      </c>
      <c r="G12" s="5" t="n">
        <v>120000</v>
      </c>
      <c r="H12" s="6" t="n">
        <f aca="false">'P08 Sabores de Minas – Circuito'!B20</f>
        <v>599985.45</v>
      </c>
      <c r="I12" s="7" t="n">
        <f aca="false">H12-F12</f>
        <v>-14.5499999999302</v>
      </c>
      <c r="J12" s="6" t="n">
        <f aca="false">'P08 Sabores de Minas – Circuito'!B16</f>
        <v>465105</v>
      </c>
      <c r="K12" s="8" t="n">
        <f aca="false">'P08 Sabores de Minas – Circuito'!C17</f>
        <v>0.08</v>
      </c>
      <c r="L12" s="8" t="n">
        <f aca="false">'P08 Sabores de Minas – Circuito'!C18</f>
        <v>0.11</v>
      </c>
      <c r="M12" s="8" t="n">
        <f aca="false">'P08 Sabores de Minas – Circuito'!C19</f>
        <v>0.1</v>
      </c>
      <c r="N12" s="9" t="str">
        <f aca="false">IF(AND('P08 Sabores de Minas – Circuito'!E17="OK",'P08 Sabores de Minas – Circuito'!E18="OK",'P08 Sabores de Minas – Circuito'!E19="OK",'P08 Sabores de Minas – Circuito'!E22="OK"),"OK","EXCEDE")</f>
        <v>OK</v>
      </c>
      <c r="O12" s="4" t="s">
        <v>67</v>
      </c>
      <c r="P12" s="4" t="s">
        <v>68</v>
      </c>
      <c r="Q12" s="4" t="n">
        <v>4</v>
      </c>
      <c r="R12" s="4" t="n">
        <v>15</v>
      </c>
      <c r="S12" s="4" t="n">
        <v>2</v>
      </c>
      <c r="T12" s="4" t="n">
        <v>3</v>
      </c>
      <c r="U12" s="4" t="s">
        <v>69</v>
      </c>
      <c r="V12" s="4" t="s">
        <v>70</v>
      </c>
    </row>
    <row r="13" customFormat="false" ht="120" hidden="false" customHeight="true" outlineLevel="0" collapsed="false">
      <c r="A13" s="4" t="s">
        <v>71</v>
      </c>
      <c r="B13" s="4" t="s">
        <v>72</v>
      </c>
      <c r="C13" s="4" t="s">
        <v>73</v>
      </c>
      <c r="D13" s="4" t="s">
        <v>74</v>
      </c>
      <c r="E13" s="4" t="s">
        <v>75</v>
      </c>
      <c r="F13" s="5" t="n">
        <v>700000</v>
      </c>
      <c r="G13" s="5" t="n">
        <v>140000</v>
      </c>
      <c r="H13" s="6" t="n">
        <f aca="false">'P09 Auto de Natal Mineiro'!B20</f>
        <v>699999.84</v>
      </c>
      <c r="I13" s="7" t="n">
        <f aca="false">H13-F13</f>
        <v>-0.160000000032596</v>
      </c>
      <c r="J13" s="6" t="n">
        <f aca="false">'P09 Auto de Natal Mineiro'!B16</f>
        <v>564516</v>
      </c>
      <c r="K13" s="8" t="n">
        <f aca="false">'P09 Auto de Natal Mineiro'!C17</f>
        <v>0.07</v>
      </c>
      <c r="L13" s="8" t="n">
        <f aca="false">'P09 Auto de Natal Mineiro'!C18</f>
        <v>0.07</v>
      </c>
      <c r="M13" s="8" t="n">
        <f aca="false">'P09 Auto de Natal Mineiro'!C19</f>
        <v>0.1</v>
      </c>
      <c r="N13" s="9" t="str">
        <f aca="false">IF(AND('P09 Auto de Natal Mineiro'!E17="OK",'P09 Auto de Natal Mineiro'!E18="OK",'P09 Auto de Natal Mineiro'!E19="OK",'P09 Auto de Natal Mineiro'!E22="OK"),"OK","EXCEDE")</f>
        <v>EXCEDE</v>
      </c>
      <c r="O13" s="4" t="s">
        <v>76</v>
      </c>
      <c r="P13" s="4" t="s">
        <v>30</v>
      </c>
      <c r="Q13" s="4" t="n">
        <v>7</v>
      </c>
      <c r="R13" s="4" t="n">
        <v>11</v>
      </c>
      <c r="S13" s="4" t="n">
        <v>3</v>
      </c>
      <c r="T13" s="4" t="n">
        <v>5</v>
      </c>
      <c r="U13" s="4" t="s">
        <v>31</v>
      </c>
      <c r="V13" s="4" t="s">
        <v>77</v>
      </c>
    </row>
    <row r="14" customFormat="false" ht="120" hidden="false" customHeight="true" outlineLevel="0" collapsed="false">
      <c r="A14" s="4" t="s">
        <v>78</v>
      </c>
      <c r="B14" s="4" t="s">
        <v>79</v>
      </c>
      <c r="C14" s="4" t="s">
        <v>73</v>
      </c>
      <c r="D14" s="4" t="s">
        <v>80</v>
      </c>
      <c r="E14" s="4" t="s">
        <v>75</v>
      </c>
      <c r="F14" s="5" t="n">
        <v>500000</v>
      </c>
      <c r="G14" s="5" t="n">
        <v>100000</v>
      </c>
      <c r="H14" s="6" t="n">
        <f aca="false">'P10 Natal nas Cidades Mineiras'!B20</f>
        <v>499996.16</v>
      </c>
      <c r="I14" s="7" t="n">
        <f aca="false">H14-F14</f>
        <v>-3.8399999999674</v>
      </c>
      <c r="J14" s="6" t="n">
        <f aca="false">'P10 Natal nas Cidades Mineiras'!B16</f>
        <v>390622</v>
      </c>
      <c r="K14" s="8" t="n">
        <f aca="false">'P10 Natal nas Cidades Mineiras'!C17</f>
        <v>0.08</v>
      </c>
      <c r="L14" s="8" t="n">
        <f aca="false">'P10 Natal nas Cidades Mineiras'!C18</f>
        <v>0.1</v>
      </c>
      <c r="M14" s="8" t="n">
        <f aca="false">'P10 Natal nas Cidades Mineiras'!C19</f>
        <v>0.1</v>
      </c>
      <c r="N14" s="9" t="str">
        <f aca="false">IF(AND('P10 Natal nas Cidades Mineiras'!E17="OK",'P10 Natal nas Cidades Mineiras'!E18="OK",'P10 Natal nas Cidades Mineiras'!E19="OK",'P10 Natal nas Cidades Mineiras'!E22="OK"),"OK","EXCEDE")</f>
        <v>OK</v>
      </c>
      <c r="O14" s="4" t="s">
        <v>81</v>
      </c>
      <c r="P14" s="4" t="s">
        <v>30</v>
      </c>
      <c r="Q14" s="4" t="n">
        <v>7</v>
      </c>
      <c r="R14" s="4" t="n">
        <v>11</v>
      </c>
      <c r="S14" s="4" t="n">
        <v>3</v>
      </c>
      <c r="T14" s="4" t="n">
        <v>3</v>
      </c>
      <c r="U14" s="4" t="s">
        <v>69</v>
      </c>
      <c r="V14" s="4" t="s">
        <v>82</v>
      </c>
    </row>
    <row r="15" customFormat="false" ht="120" hidden="false" customHeight="true" outlineLevel="0" collapsed="false">
      <c r="A15" s="4" t="s">
        <v>83</v>
      </c>
      <c r="B15" s="4" t="s">
        <v>84</v>
      </c>
      <c r="C15" s="4" t="s">
        <v>85</v>
      </c>
      <c r="D15" s="4" t="s">
        <v>45</v>
      </c>
      <c r="E15" s="4" t="s">
        <v>28</v>
      </c>
      <c r="F15" s="5" t="n">
        <v>800000</v>
      </c>
      <c r="G15" s="5" t="n">
        <v>160000</v>
      </c>
      <c r="H15" s="6" t="n">
        <f aca="false">'P11 Festa Junina 2027 – Saberes'!B20</f>
        <v>799988.75</v>
      </c>
      <c r="I15" s="7" t="n">
        <f aca="false">H15-F15</f>
        <v>-11.2500000001164</v>
      </c>
      <c r="J15" s="6" t="n">
        <f aca="false">'P11 Festa Junina 2027 – Saberes'!B16</f>
        <v>639991</v>
      </c>
      <c r="K15" s="8" t="n">
        <f aca="false">'P11 Festa Junina 2027 – Saberes'!C17</f>
        <v>0.06</v>
      </c>
      <c r="L15" s="8" t="n">
        <f aca="false">'P11 Festa Junina 2027 – Saberes'!C18</f>
        <v>0.09</v>
      </c>
      <c r="M15" s="8" t="n">
        <f aca="false">'P11 Festa Junina 2027 – Saberes'!C19</f>
        <v>0.1</v>
      </c>
      <c r="N15" s="9" t="str">
        <f aca="false">IF(AND('P11 Festa Junina 2027 – Saberes'!E17="OK",'P11 Festa Junina 2027 – Saberes'!E18="OK",'P11 Festa Junina 2027 – Saberes'!E19="OK",'P11 Festa Junina 2027 – Saberes'!E22="OK"),"OK","EXCEDE")</f>
        <v>OK</v>
      </c>
      <c r="O15" s="4" t="s">
        <v>86</v>
      </c>
      <c r="P15" s="4" t="s">
        <v>30</v>
      </c>
      <c r="Q15" s="4" t="n">
        <v>8</v>
      </c>
      <c r="R15" s="4" t="n">
        <v>11</v>
      </c>
      <c r="S15" s="4" t="n">
        <v>2</v>
      </c>
      <c r="T15" s="4" t="n">
        <v>6</v>
      </c>
      <c r="U15" s="4" t="s">
        <v>31</v>
      </c>
      <c r="V15" s="4" t="s">
        <v>87</v>
      </c>
    </row>
    <row r="16" customFormat="false" ht="120" hidden="false" customHeight="true" outlineLevel="0" collapsed="false">
      <c r="A16" s="4" t="s">
        <v>88</v>
      </c>
      <c r="B16" s="4" t="s">
        <v>89</v>
      </c>
      <c r="C16" s="4" t="s">
        <v>85</v>
      </c>
      <c r="D16" s="4" t="s">
        <v>61</v>
      </c>
      <c r="E16" s="4" t="s">
        <v>51</v>
      </c>
      <c r="F16" s="5" t="n">
        <v>250000</v>
      </c>
      <c r="G16" s="5" t="n">
        <v>50000</v>
      </c>
      <c r="H16" s="6" t="n">
        <f aca="false">'P12 Bloco do Nerd  Carnaval (Bl'!B20</f>
        <v>249999.5</v>
      </c>
      <c r="I16" s="7" t="n">
        <f aca="false">H16-F16</f>
        <v>-0.5</v>
      </c>
      <c r="J16" s="6" t="n">
        <f aca="false">'P12 Bloco do Nerd  Carnaval (Bl'!B16</f>
        <v>196850</v>
      </c>
      <c r="K16" s="8" t="n">
        <f aca="false">'P12 Bloco do Nerd  Carnaval (Bl'!C17</f>
        <v>0.06</v>
      </c>
      <c r="L16" s="8" t="n">
        <f aca="false">'P12 Bloco do Nerd  Carnaval (Bl'!C18</f>
        <v>0.11</v>
      </c>
      <c r="M16" s="8" t="n">
        <f aca="false">'P12 Bloco do Nerd  Carnaval (Bl'!C19</f>
        <v>0.1</v>
      </c>
      <c r="N16" s="9" t="str">
        <f aca="false">IF(AND('P12 Bloco do Nerd  Carnaval (Bl'!E17="OK",'P12 Bloco do Nerd  Carnaval (Bl'!E18="OK",'P12 Bloco do Nerd  Carnaval (Bl'!E19="OK",'P12 Bloco do Nerd  Carnaval (Bl'!E22="OK"),"OK","EXCEDE")</f>
        <v>OK</v>
      </c>
      <c r="O16" s="4" t="s">
        <v>90</v>
      </c>
      <c r="P16" s="4" t="s">
        <v>30</v>
      </c>
      <c r="Q16" s="4" t="n">
        <v>7</v>
      </c>
      <c r="R16" s="4" t="n">
        <v>12</v>
      </c>
      <c r="S16" s="4" t="n">
        <v>2</v>
      </c>
      <c r="T16" s="4" t="n">
        <v>3</v>
      </c>
      <c r="U16" s="4" t="s">
        <v>69</v>
      </c>
      <c r="V16" s="4" t="s">
        <v>91</v>
      </c>
    </row>
    <row r="17" customFormat="false" ht="120" hidden="false" customHeight="true" outlineLevel="0" collapsed="false">
      <c r="A17" s="4" t="s">
        <v>92</v>
      </c>
      <c r="B17" s="4" t="s">
        <v>93</v>
      </c>
      <c r="C17" s="4" t="s">
        <v>94</v>
      </c>
      <c r="D17" s="4" t="s">
        <v>95</v>
      </c>
      <c r="E17" s="4" t="s">
        <v>28</v>
      </c>
      <c r="F17" s="5" t="n">
        <v>350000</v>
      </c>
      <c r="G17" s="5" t="n">
        <v>70000</v>
      </c>
      <c r="H17" s="6" t="n">
        <f aca="false">'P13 Skate e Arte Urbana (Circui'!B20</f>
        <v>349997.76</v>
      </c>
      <c r="I17" s="7" t="n">
        <f aca="false">H17-F17</f>
        <v>-2.24000000004889</v>
      </c>
      <c r="J17" s="6" t="n">
        <f aca="false">'P13 Skate e Arte Urbana (Circui'!B16</f>
        <v>277776</v>
      </c>
      <c r="K17" s="8" t="n">
        <f aca="false">'P13 Skate e Arte Urbana (Circui'!C17</f>
        <v>0.06</v>
      </c>
      <c r="L17" s="8" t="n">
        <f aca="false">'P13 Skate e Arte Urbana (Circui'!C18</f>
        <v>0.1</v>
      </c>
      <c r="M17" s="8" t="n">
        <f aca="false">'P13 Skate e Arte Urbana (Circui'!C19</f>
        <v>0.1</v>
      </c>
      <c r="N17" s="9" t="str">
        <f aca="false">IF(AND('P13 Skate e Arte Urbana (Circui'!E17="OK",'P13 Skate e Arte Urbana (Circui'!E18="OK",'P13 Skate e Arte Urbana (Circui'!E19="OK",'P13 Skate e Arte Urbana (Circui'!E22="OK"),"OK","EXCEDE")</f>
        <v>OK</v>
      </c>
      <c r="O17" s="4" t="s">
        <v>96</v>
      </c>
      <c r="P17" s="4" t="s">
        <v>30</v>
      </c>
      <c r="Q17" s="4" t="n">
        <v>1</v>
      </c>
      <c r="R17" s="4" t="n">
        <v>16</v>
      </c>
      <c r="S17" s="4" t="n">
        <v>4</v>
      </c>
      <c r="T17" s="4" t="n">
        <v>3</v>
      </c>
      <c r="U17" s="4" t="s">
        <v>31</v>
      </c>
      <c r="V17" s="4" t="s">
        <v>97</v>
      </c>
    </row>
    <row r="18" customFormat="false" ht="120" hidden="false" customHeight="true" outlineLevel="0" collapsed="false">
      <c r="A18" s="4" t="s">
        <v>98</v>
      </c>
      <c r="B18" s="4" t="s">
        <v>99</v>
      </c>
      <c r="C18" s="4" t="s">
        <v>94</v>
      </c>
      <c r="D18" s="4" t="s">
        <v>95</v>
      </c>
      <c r="E18" s="4" t="s">
        <v>28</v>
      </c>
      <c r="F18" s="5" t="n">
        <v>300000</v>
      </c>
      <c r="G18" s="5" t="n">
        <v>60000</v>
      </c>
      <c r="H18" s="6" t="n">
        <f aca="false">'P14 Capoeira Roda de Minas'!B20</f>
        <v>299993.75</v>
      </c>
      <c r="I18" s="7" t="n">
        <f aca="false">H18-F18</f>
        <v>-6.25</v>
      </c>
      <c r="J18" s="6" t="n">
        <f aca="false">'P14 Capoeira Roda de Minas'!B16</f>
        <v>239995</v>
      </c>
      <c r="K18" s="8" t="n">
        <f aca="false">'P14 Capoeira Roda de Minas'!C17</f>
        <v>0.06</v>
      </c>
      <c r="L18" s="8" t="n">
        <f aca="false">'P14 Capoeira Roda de Minas'!C18</f>
        <v>0.09</v>
      </c>
      <c r="M18" s="8" t="n">
        <f aca="false">'P14 Capoeira Roda de Minas'!C19</f>
        <v>0.1</v>
      </c>
      <c r="N18" s="9" t="str">
        <f aca="false">IF(AND('P14 Capoeira Roda de Minas'!E17="OK",'P14 Capoeira Roda de Minas'!E18="OK",'P14 Capoeira Roda de Minas'!E19="OK",'P14 Capoeira Roda de Minas'!E22="OK"),"OK","EXCEDE")</f>
        <v>OK</v>
      </c>
      <c r="O18" s="4" t="s">
        <v>100</v>
      </c>
      <c r="P18" s="4" t="s">
        <v>30</v>
      </c>
      <c r="Q18" s="4" t="n">
        <v>6</v>
      </c>
      <c r="R18" s="4" t="n">
        <v>11</v>
      </c>
      <c r="S18" s="4" t="n">
        <v>4</v>
      </c>
      <c r="T18" s="4" t="n">
        <v>5</v>
      </c>
      <c r="U18" s="4" t="s">
        <v>31</v>
      </c>
      <c r="V18" s="4" t="s">
        <v>101</v>
      </c>
    </row>
    <row r="19" customFormat="false" ht="120" hidden="false" customHeight="true" outlineLevel="0" collapsed="false">
      <c r="A19" s="4" t="s">
        <v>102</v>
      </c>
      <c r="B19" s="4" t="s">
        <v>103</v>
      </c>
      <c r="C19" s="4" t="s">
        <v>104</v>
      </c>
      <c r="D19" s="4" t="s">
        <v>35</v>
      </c>
      <c r="E19" s="4" t="s">
        <v>28</v>
      </c>
      <c r="F19" s="5" t="n">
        <v>450000</v>
      </c>
      <c r="G19" s="5" t="n">
        <v>90000</v>
      </c>
      <c r="H19" s="6" t="n">
        <f aca="false">'P15 Riso que Cura'!B20</f>
        <v>449675</v>
      </c>
      <c r="I19" s="7" t="n">
        <f aca="false">H19-F19</f>
        <v>-325</v>
      </c>
      <c r="J19" s="6" t="n">
        <f aca="false">'P15 Riso que Cura'!B16</f>
        <v>359740</v>
      </c>
      <c r="K19" s="8" t="n">
        <f aca="false">'P15 Riso que Cura'!C17</f>
        <v>0.06</v>
      </c>
      <c r="L19" s="8" t="n">
        <f aca="false">'P15 Riso que Cura'!C18</f>
        <v>0.09</v>
      </c>
      <c r="M19" s="8" t="n">
        <f aca="false">'P15 Riso que Cura'!C19</f>
        <v>0.1</v>
      </c>
      <c r="N19" s="9" t="str">
        <f aca="false">IF(AND('P15 Riso que Cura'!E17="OK",'P15 Riso que Cura'!E18="OK",'P15 Riso que Cura'!E19="OK",'P15 Riso que Cura'!E22="OK"),"OK","EXCEDE")</f>
        <v>OK</v>
      </c>
      <c r="O19" s="4" t="s">
        <v>105</v>
      </c>
      <c r="P19" s="4" t="s">
        <v>30</v>
      </c>
      <c r="Q19" s="4" t="n">
        <v>7</v>
      </c>
      <c r="R19" s="4" t="n">
        <v>10</v>
      </c>
      <c r="S19" s="4" t="n">
        <v>4</v>
      </c>
      <c r="T19" s="4" t="n">
        <v>6</v>
      </c>
      <c r="U19" s="4" t="s">
        <v>31</v>
      </c>
      <c r="V19" s="4" t="s">
        <v>106</v>
      </c>
    </row>
    <row r="20" customFormat="false" ht="120" hidden="false" customHeight="true" outlineLevel="0" collapsed="false">
      <c r="A20" s="4" t="s">
        <v>107</v>
      </c>
      <c r="B20" s="4" t="s">
        <v>108</v>
      </c>
      <c r="C20" s="4" t="s">
        <v>104</v>
      </c>
      <c r="D20" s="4" t="s">
        <v>50</v>
      </c>
      <c r="E20" s="4" t="s">
        <v>51</v>
      </c>
      <c r="F20" s="5" t="n">
        <v>200000</v>
      </c>
      <c r="G20" s="5" t="n">
        <v>40000</v>
      </c>
      <c r="H20" s="6" t="n">
        <f aca="false">'P16 Música nos Hospitais'!B20</f>
        <v>199888</v>
      </c>
      <c r="I20" s="7" t="n">
        <f aca="false">H20-F20</f>
        <v>-112</v>
      </c>
      <c r="J20" s="6" t="n">
        <f aca="false">'P16 Música nos Hospitais'!B16</f>
        <v>153760</v>
      </c>
      <c r="K20" s="8" t="n">
        <f aca="false">'P16 Música nos Hospitais'!C17</f>
        <v>0.08</v>
      </c>
      <c r="L20" s="8" t="n">
        <f aca="false">'P16 Música nos Hospitais'!C18</f>
        <v>0.12</v>
      </c>
      <c r="M20" s="8" t="n">
        <f aca="false">'P16 Música nos Hospitais'!C19</f>
        <v>0.1</v>
      </c>
      <c r="N20" s="9" t="str">
        <f aca="false">IF(AND('P16 Música nos Hospitais'!E17="OK",'P16 Música nos Hospitais'!E18="OK",'P16 Música nos Hospitais'!E19="OK",'P16 Música nos Hospitais'!E22="OK"),"OK","EXCEDE")</f>
        <v>OK</v>
      </c>
      <c r="O20" s="4" t="s">
        <v>109</v>
      </c>
      <c r="P20" s="4" t="s">
        <v>68</v>
      </c>
      <c r="Q20" s="4" t="n">
        <v>6</v>
      </c>
      <c r="R20" s="4" t="n">
        <v>10</v>
      </c>
      <c r="S20" s="4" t="n">
        <v>5</v>
      </c>
      <c r="T20" s="4" t="n">
        <v>5</v>
      </c>
      <c r="U20" s="4" t="s">
        <v>31</v>
      </c>
      <c r="V20" s="4" t="s">
        <v>110</v>
      </c>
    </row>
    <row r="21" customFormat="false" ht="120" hidden="false" customHeight="true" outlineLevel="0" collapsed="false">
      <c r="A21" s="4" t="s">
        <v>111</v>
      </c>
      <c r="B21" s="4" t="s">
        <v>112</v>
      </c>
      <c r="C21" s="4" t="s">
        <v>104</v>
      </c>
      <c r="D21" s="4" t="s">
        <v>113</v>
      </c>
      <c r="E21" s="4" t="s">
        <v>75</v>
      </c>
      <c r="F21" s="5" t="n">
        <v>200000</v>
      </c>
      <c r="G21" s="5" t="n">
        <v>40000</v>
      </c>
      <c r="H21" s="6" t="n">
        <f aca="false">'P17 Corpo em Cena'!B20</f>
        <v>199986.9</v>
      </c>
      <c r="I21" s="7" t="n">
        <f aca="false">H21-F21</f>
        <v>-13.1000000000058</v>
      </c>
      <c r="J21" s="6" t="n">
        <f aca="false">'P17 Corpo em Cena'!B16</f>
        <v>157470</v>
      </c>
      <c r="K21" s="8" t="n">
        <f aca="false">'P17 Corpo em Cena'!C17</f>
        <v>0.08</v>
      </c>
      <c r="L21" s="8" t="n">
        <f aca="false">'P17 Corpo em Cena'!C18</f>
        <v>0.09</v>
      </c>
      <c r="M21" s="8" t="n">
        <f aca="false">'P17 Corpo em Cena'!C19</f>
        <v>0.1</v>
      </c>
      <c r="N21" s="9" t="str">
        <f aca="false">IF(AND('P17 Corpo em Cena'!E17="OK",'P17 Corpo em Cena'!E18="OK",'P17 Corpo em Cena'!E19="OK",'P17 Corpo em Cena'!E22="OK"),"OK","EXCEDE")</f>
        <v>OK</v>
      </c>
      <c r="O21" s="4" t="s">
        <v>114</v>
      </c>
      <c r="P21" s="4" t="s">
        <v>30</v>
      </c>
      <c r="Q21" s="4" t="n">
        <v>8</v>
      </c>
      <c r="R21" s="4" t="n">
        <v>10</v>
      </c>
      <c r="S21" s="4" t="n">
        <v>3</v>
      </c>
      <c r="T21" s="4" t="n">
        <v>6</v>
      </c>
      <c r="U21" s="4" t="s">
        <v>31</v>
      </c>
      <c r="V21" s="4" t="s">
        <v>115</v>
      </c>
    </row>
    <row r="22" customFormat="false" ht="120" hidden="false" customHeight="true" outlineLevel="0" collapsed="false">
      <c r="A22" s="4" t="s">
        <v>116</v>
      </c>
      <c r="B22" s="4" t="s">
        <v>117</v>
      </c>
      <c r="C22" s="4" t="s">
        <v>104</v>
      </c>
      <c r="D22" s="4" t="s">
        <v>27</v>
      </c>
      <c r="E22" s="4" t="s">
        <v>28</v>
      </c>
      <c r="F22" s="5" t="n">
        <v>250000</v>
      </c>
      <c r="G22" s="5" t="n">
        <v>50000</v>
      </c>
      <c r="H22" s="6" t="n">
        <f aca="false">'P18 Arte e Envelhecimento Ativo'!B20</f>
        <v>249958.14</v>
      </c>
      <c r="I22" s="7" t="n">
        <f aca="false">H22-F22</f>
        <v>-41.859999999986</v>
      </c>
      <c r="J22" s="6" t="n">
        <f aca="false">'P18 Arte e Envelhecimento Ativo'!B16</f>
        <v>193766</v>
      </c>
      <c r="K22" s="8" t="n">
        <f aca="false">'P18 Arte e Envelhecimento Ativo'!C17</f>
        <v>0.08</v>
      </c>
      <c r="L22" s="8" t="n">
        <f aca="false">'P18 Arte e Envelhecimento Ativo'!C18</f>
        <v>0.11</v>
      </c>
      <c r="M22" s="8" t="n">
        <f aca="false">'P18 Arte e Envelhecimento Ativo'!C19</f>
        <v>0.1</v>
      </c>
      <c r="N22" s="9" t="str">
        <f aca="false">IF(AND('P18 Arte e Envelhecimento Ativo'!E17="OK",'P18 Arte e Envelhecimento Ativo'!E18="OK",'P18 Arte e Envelhecimento Ativo'!E19="OK",'P18 Arte e Envelhecimento Ativo'!E22="OK"),"OK","EXCEDE")</f>
        <v>OK</v>
      </c>
      <c r="O22" s="4" t="s">
        <v>118</v>
      </c>
      <c r="P22" s="4" t="s">
        <v>30</v>
      </c>
      <c r="Q22" s="4" t="n">
        <v>9</v>
      </c>
      <c r="R22" s="4" t="n">
        <v>8</v>
      </c>
      <c r="S22" s="4" t="n">
        <v>4</v>
      </c>
      <c r="T22" s="4" t="n">
        <v>7</v>
      </c>
      <c r="U22" s="4" t="s">
        <v>31</v>
      </c>
      <c r="V22" s="4" t="s">
        <v>119</v>
      </c>
    </row>
    <row r="23" customFormat="false" ht="120" hidden="false" customHeight="true" outlineLevel="0" collapsed="false">
      <c r="A23" s="4" t="s">
        <v>120</v>
      </c>
      <c r="B23" s="4" t="s">
        <v>121</v>
      </c>
      <c r="C23" s="4" t="s">
        <v>94</v>
      </c>
      <c r="D23" s="4" t="s">
        <v>122</v>
      </c>
      <c r="E23" s="4" t="s">
        <v>75</v>
      </c>
      <c r="F23" s="5" t="n">
        <v>450000</v>
      </c>
      <c r="G23" s="5" t="n">
        <v>90000</v>
      </c>
      <c r="H23" s="6" t="n">
        <f aca="false">'P19 Acelera Minas – formação de'!B20</f>
        <v>449999.72</v>
      </c>
      <c r="I23" s="7" t="n">
        <f aca="false">H23-F23</f>
        <v>-0.28000000002794</v>
      </c>
      <c r="J23" s="6" t="n">
        <f aca="false">'P19 Acelera Minas – formação de'!B16</f>
        <v>362903</v>
      </c>
      <c r="K23" s="8" t="n">
        <f aca="false">'P19 Acelera Minas – formação de'!C17</f>
        <v>0.06</v>
      </c>
      <c r="L23" s="8" t="n">
        <f aca="false">'P19 Acelera Minas – formação de'!C18</f>
        <v>0.08</v>
      </c>
      <c r="M23" s="8" t="n">
        <f aca="false">'P19 Acelera Minas – formação de'!C19</f>
        <v>0.1</v>
      </c>
      <c r="N23" s="9" t="str">
        <f aca="false">IF(AND('P19 Acelera Minas – formação de'!E17="OK",'P19 Acelera Minas – formação de'!E18="OK",'P19 Acelera Minas – formação de'!E19="OK",'P19 Acelera Minas – formação de'!E22="OK"),"OK","EXCEDE")</f>
        <v>OK</v>
      </c>
      <c r="O23" s="4" t="s">
        <v>123</v>
      </c>
      <c r="P23" s="4" t="s">
        <v>68</v>
      </c>
      <c r="Q23" s="4" t="n">
        <v>0</v>
      </c>
      <c r="R23" s="4" t="n">
        <v>17</v>
      </c>
      <c r="S23" s="4" t="n">
        <v>4</v>
      </c>
      <c r="T23" s="4" t="n">
        <v>1</v>
      </c>
      <c r="U23" s="4" t="s">
        <v>69</v>
      </c>
      <c r="V23" s="4" t="s">
        <v>124</v>
      </c>
    </row>
    <row r="24" customFormat="false" ht="120" hidden="false" customHeight="true" outlineLevel="0" collapsed="false">
      <c r="A24" s="4" t="s">
        <v>125</v>
      </c>
      <c r="B24" s="4" t="s">
        <v>126</v>
      </c>
      <c r="C24" s="4" t="s">
        <v>94</v>
      </c>
      <c r="D24" s="4" t="s">
        <v>127</v>
      </c>
      <c r="E24" s="4" t="s">
        <v>75</v>
      </c>
      <c r="F24" s="5" t="n">
        <v>500000</v>
      </c>
      <c r="G24" s="5" t="n">
        <v>90000</v>
      </c>
      <c r="H24" s="6" t="n">
        <f aca="false">'P20 Jovens do Fut – formação em'!B20</f>
        <v>499996.98</v>
      </c>
      <c r="I24" s="7" t="n">
        <f aca="false">H24-F24</f>
        <v>-3.02000000001863</v>
      </c>
      <c r="J24" s="6" t="n">
        <f aca="false">'P20 Jovens do Fut – formação em'!B16</f>
        <v>396823</v>
      </c>
      <c r="K24" s="8" t="n">
        <f aca="false">'P20 Jovens do Fut – formação em'!C17</f>
        <v>0.06</v>
      </c>
      <c r="L24" s="8" t="n">
        <f aca="false">'P20 Jovens do Fut – formação em'!C18</f>
        <v>0.1</v>
      </c>
      <c r="M24" s="8" t="n">
        <f aca="false">'P20 Jovens do Fut – formação em'!C19</f>
        <v>0.1</v>
      </c>
      <c r="N24" s="9" t="str">
        <f aca="false">IF(AND('P20 Jovens do Fut – formação em'!E17="OK",'P20 Jovens do Fut – formação em'!E18="OK",'P20 Jovens do Fut – formação em'!E19="OK",'P20 Jovens do Fut – formação em'!E22="OK"),"OK","EXCEDE")</f>
        <v>OK</v>
      </c>
      <c r="O24" s="4" t="s">
        <v>128</v>
      </c>
      <c r="P24" s="4" t="s">
        <v>30</v>
      </c>
      <c r="Q24" s="4" t="n">
        <v>0</v>
      </c>
      <c r="R24" s="4" t="n">
        <v>16</v>
      </c>
      <c r="S24" s="4" t="n">
        <v>5</v>
      </c>
      <c r="T24" s="4" t="n">
        <v>2</v>
      </c>
      <c r="U24" s="4" t="s">
        <v>69</v>
      </c>
      <c r="V24" s="4" t="s">
        <v>129</v>
      </c>
    </row>
    <row r="25" customFormat="false" ht="120" hidden="false" customHeight="true" outlineLevel="0" collapsed="false">
      <c r="A25" s="4" t="s">
        <v>130</v>
      </c>
      <c r="B25" s="4" t="s">
        <v>131</v>
      </c>
      <c r="C25" s="4" t="s">
        <v>104</v>
      </c>
      <c r="D25" s="4" t="s">
        <v>122</v>
      </c>
      <c r="E25" s="4" t="s">
        <v>75</v>
      </c>
      <c r="F25" s="5" t="n">
        <v>450000</v>
      </c>
      <c r="G25" s="5" t="n">
        <v>0</v>
      </c>
      <c r="H25" s="6" t="n">
        <f aca="false">'P21 Caravana Cultura &amp; Saúde'!B20</f>
        <v>449994.24</v>
      </c>
      <c r="I25" s="7" t="n">
        <f aca="false">H25-F25</f>
        <v>-5.76000000000931</v>
      </c>
      <c r="J25" s="6" t="n">
        <f aca="false">'P21 Caravana Cultura &amp; Saúde'!B16</f>
        <v>351558</v>
      </c>
      <c r="K25" s="8" t="n">
        <f aca="false">'P21 Caravana Cultura &amp; Saúde'!C17</f>
        <v>0.07</v>
      </c>
      <c r="L25" s="8" t="n">
        <f aca="false">'P21 Caravana Cultura &amp; Saúde'!C18</f>
        <v>0.11</v>
      </c>
      <c r="M25" s="8" t="n">
        <f aca="false">'P21 Caravana Cultura &amp; Saúde'!C19</f>
        <v>0.1</v>
      </c>
      <c r="N25" s="9" t="str">
        <f aca="false">IF(AND('P21 Caravana Cultura &amp; Saúde'!E17="OK",'P21 Caravana Cultura &amp; Saúde'!E18="OK",'P21 Caravana Cultura &amp; Saúde'!E19="OK",'P21 Caravana Cultura &amp; Saúde'!E22="OK"),"OK","EXCEDE")</f>
        <v>OK</v>
      </c>
      <c r="O25" s="4" t="s">
        <v>132</v>
      </c>
      <c r="P25" s="4" t="s">
        <v>30</v>
      </c>
      <c r="Q25" s="4" t="n">
        <v>9</v>
      </c>
      <c r="R25" s="4" t="n">
        <v>7</v>
      </c>
      <c r="S25" s="4" t="n">
        <v>5</v>
      </c>
      <c r="T25" s="4" t="n">
        <v>5</v>
      </c>
      <c r="U25" s="4" t="s">
        <v>31</v>
      </c>
      <c r="V25" s="4" t="s">
        <v>133</v>
      </c>
    </row>
    <row r="26" customFormat="false" ht="15" hidden="false" customHeight="false" outlineLevel="0" collapsed="false">
      <c r="B26" s="10" t="s">
        <v>134</v>
      </c>
      <c r="F26" s="11" t="n">
        <f aca="false">SUM(F5:F25)</f>
        <v>9550000</v>
      </c>
      <c r="G26" s="11" t="n">
        <f aca="false">SUM(G5:G25)</f>
        <v>1810000</v>
      </c>
      <c r="H26" s="11" t="n">
        <f aca="false">SUM(H5:H25)</f>
        <v>9549091.03</v>
      </c>
      <c r="I26" s="11" t="n">
        <f aca="false">SUM(I5:I25)</f>
        <v>-908.970000000118</v>
      </c>
    </row>
  </sheetData>
  <conditionalFormatting sqref="N5:N25">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ISNUMBER(SEARCH("EXCEDE",N5))</formula>
    </cfRule>
  </conditionalFormatting>
  <conditionalFormatting sqref="U5:U25">
    <cfRule type="expression" priority="9" aboveAverage="0" equalAverage="0" bottom="0" percent="0" rank="0" text="" dxfId="2">
      <formula>ISNUMBER(SEARCH("Não submeter",U5))</formula>
    </cfRule>
    <cfRule type="expression" priority="10" aboveAverage="0" equalAverage="0" bottom="0" percent="0" rank="0" text="" dxfId="1">
      <formula>ISNUMBER(SEARCH("importantes",U5))</formula>
    </cfRule>
    <cfRule type="expression" priority="11" aboveAverage="0" equalAverage="0" bottom="0" percent="0" rank="0" text="" dxfId="0">
      <formula>ISNUMBER(SEARCH("menores",U5))</formula>
    </cfRule>
    <cfRule type="expression" priority="12" aboveAverage="0" equalAverage="0" bottom="0" percent="0" rank="0" text="" dxfId="0">
      <formula>ISNUMBER(SEARCH("Pronto",U5))</formula>
    </cfRule>
  </conditionalFormatting>
  <conditionalFormatting sqref="P5:P25">
    <cfRule type="expression" priority="13" aboveAverage="0" equalAverage="0" bottom="0" percent="0" rank="0" text="" dxfId="2">
      <formula>ISNUMBER(SEARCH("Risco",P5))</formula>
    </cfRule>
    <cfRule type="expression" priority="14" aboveAverage="0" equalAverage="0" bottom="0" percent="0" rank="0" text="" dxfId="2">
      <formula>ISNUMBER(SEARCH("Art. 26",P5))</formula>
    </cfRule>
    <cfRule type="expression" priority="15" aboveAverage="0" equalAverage="0" bottom="0" percent="0" rank="0" text="" dxfId="0">
      <formula>ISNUMBER(SEARCH("Art. 18",P5))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22"/>
    <col collapsed="false" customWidth="true" hidden="false" outlineLevel="0" max="4" min="4" style="0" width="10"/>
    <col collapsed="false" customWidth="true" hidden="false" outlineLevel="0" max="6" min="5" style="0" width="18"/>
    <col collapsed="false" customWidth="true" hidden="false" outlineLevel="0" max="7" min="7" style="0" width="9"/>
    <col collapsed="false" customWidth="true" hidden="false" outlineLevel="0" max="8" min="8" style="0" width="14"/>
    <col collapsed="false" customWidth="true" hidden="false" outlineLevel="0" max="9" min="9" style="0" width="90"/>
  </cols>
  <sheetData>
    <row r="1" customFormat="false" ht="17.35" hidden="false" customHeight="false" outlineLevel="0" collapsed="false">
      <c r="A1" s="1" t="s">
        <v>135</v>
      </c>
    </row>
    <row r="2" customFormat="false" ht="15" hidden="false" customHeight="false" outlineLevel="0" collapsed="false">
      <c r="A2" s="2" t="s">
        <v>136</v>
      </c>
    </row>
    <row r="4" customFormat="false" ht="23.85" hidden="false" customHeight="false" outlineLevel="0" collapsed="false">
      <c r="A4" s="3" t="s">
        <v>137</v>
      </c>
      <c r="B4" s="3" t="s">
        <v>6</v>
      </c>
      <c r="C4" s="3" t="s">
        <v>138</v>
      </c>
      <c r="D4" s="3" t="s">
        <v>139</v>
      </c>
      <c r="E4" s="3" t="s">
        <v>140</v>
      </c>
      <c r="F4" s="3" t="s">
        <v>141</v>
      </c>
      <c r="G4" s="3" t="s">
        <v>142</v>
      </c>
      <c r="H4" s="3" t="s">
        <v>143</v>
      </c>
      <c r="I4" s="3" t="s">
        <v>144</v>
      </c>
    </row>
    <row r="5" customFormat="false" ht="45" hidden="false" customHeight="true" outlineLevel="0" collapsed="false">
      <c r="A5" s="12" t="s">
        <v>127</v>
      </c>
      <c r="B5" s="12" t="s">
        <v>75</v>
      </c>
      <c r="C5" s="12" t="s">
        <v>125</v>
      </c>
      <c r="D5" s="12" t="n">
        <v>1</v>
      </c>
      <c r="E5" s="13" t="n">
        <f aca="false">Resumo!H24</f>
        <v>499996.98</v>
      </c>
      <c r="F5" s="13" t="n">
        <f aca="false">'Parâmetros IN 29'!$B$8</f>
        <v>500000</v>
      </c>
      <c r="G5" s="12" t="n">
        <v>2</v>
      </c>
      <c r="H5" s="12" t="str">
        <f aca="false">IF(AND(E5&lt;=F5,D5&lt;=G5),"OK","EXCEDE")&amp;IF(AND(E5&lt;=F5,D5&lt;=G5),""," (se PF)")</f>
        <v>OK</v>
      </c>
      <c r="I5" s="4" t="s">
        <v>145</v>
      </c>
    </row>
    <row r="6" customFormat="false" ht="45" hidden="false" customHeight="true" outlineLevel="0" collapsed="false">
      <c r="A6" s="12" t="s">
        <v>50</v>
      </c>
      <c r="B6" s="12" t="s">
        <v>51</v>
      </c>
      <c r="C6" s="12" t="s">
        <v>146</v>
      </c>
      <c r="D6" s="12" t="n">
        <v>2</v>
      </c>
      <c r="E6" s="13" t="n">
        <f aca="false">Resumo!H9+Resumo!H20</f>
        <v>499886.13</v>
      </c>
      <c r="F6" s="13" t="n">
        <f aca="false">'Parâmetros IN 29'!$B$8</f>
        <v>500000</v>
      </c>
      <c r="G6" s="12" t="n">
        <v>2</v>
      </c>
      <c r="H6" s="12" t="str">
        <f aca="false">IF(AND(E6&lt;=F6,D6&lt;=G6),"OK","EXCEDE")</f>
        <v>OK</v>
      </c>
      <c r="I6" s="4" t="s">
        <v>147</v>
      </c>
    </row>
    <row r="7" customFormat="false" ht="45" hidden="false" customHeight="true" outlineLevel="0" collapsed="false">
      <c r="A7" s="12" t="s">
        <v>113</v>
      </c>
      <c r="B7" s="12" t="s">
        <v>75</v>
      </c>
      <c r="C7" s="12" t="s">
        <v>111</v>
      </c>
      <c r="D7" s="12" t="n">
        <v>1</v>
      </c>
      <c r="E7" s="13" t="n">
        <f aca="false">Resumo!H21</f>
        <v>199986.9</v>
      </c>
      <c r="F7" s="13" t="n">
        <f aca="false">'Parâmetros IN 29'!$B$8</f>
        <v>500000</v>
      </c>
      <c r="G7" s="12" t="n">
        <v>2</v>
      </c>
      <c r="H7" s="12" t="str">
        <f aca="false">IF(AND(E7&lt;=F7,D7&lt;=G7),"OK","EXCEDE")&amp;IF(AND(E7&lt;=F7,D7&lt;=G7),""," (se PF)")</f>
        <v>OK</v>
      </c>
      <c r="I7" s="4" t="s">
        <v>148</v>
      </c>
    </row>
    <row r="8" customFormat="false" ht="45" hidden="false" customHeight="true" outlineLevel="0" collapsed="false">
      <c r="A8" s="12" t="s">
        <v>74</v>
      </c>
      <c r="B8" s="12" t="s">
        <v>75</v>
      </c>
      <c r="C8" s="12" t="s">
        <v>71</v>
      </c>
      <c r="D8" s="12" t="n">
        <v>1</v>
      </c>
      <c r="E8" s="13" t="n">
        <f aca="false">Resumo!H13</f>
        <v>699999.84</v>
      </c>
      <c r="F8" s="13" t="n">
        <f aca="false">'Parâmetros IN 29'!$B$8</f>
        <v>500000</v>
      </c>
      <c r="G8" s="12" t="n">
        <v>2</v>
      </c>
      <c r="H8" s="12" t="str">
        <f aca="false">IF(AND(E8&lt;=F8,D8&lt;=G8),"OK","EXCEDE")&amp;IF(AND(E8&lt;=F8,D8&lt;=G8),""," (se PF)")</f>
        <v>EXCEDE (se PF)</v>
      </c>
      <c r="I8" s="4" t="s">
        <v>149</v>
      </c>
    </row>
    <row r="9" customFormat="false" ht="45" hidden="false" customHeight="true" outlineLevel="0" collapsed="false">
      <c r="A9" s="12" t="s">
        <v>35</v>
      </c>
      <c r="B9" s="12" t="s">
        <v>28</v>
      </c>
      <c r="C9" s="12" t="s">
        <v>150</v>
      </c>
      <c r="D9" s="12" t="n">
        <v>2</v>
      </c>
      <c r="E9" s="13" t="n">
        <f aca="false">Resumo!H6+Resumo!H19</f>
        <v>849671.75</v>
      </c>
      <c r="F9" s="13" t="n">
        <f aca="false">'Parâmetros IN 29'!$B$10</f>
        <v>15000000</v>
      </c>
      <c r="G9" s="12" t="n">
        <v>10</v>
      </c>
      <c r="H9" s="12" t="str">
        <f aca="false">IF(AND(E9&lt;=F9,D9&lt;=G9),"OK","EXCEDE")</f>
        <v>OK</v>
      </c>
      <c r="I9" s="4"/>
    </row>
    <row r="10" customFormat="false" ht="45" hidden="false" customHeight="true" outlineLevel="0" collapsed="false">
      <c r="A10" s="12" t="s">
        <v>95</v>
      </c>
      <c r="B10" s="12" t="s">
        <v>28</v>
      </c>
      <c r="C10" s="12" t="s">
        <v>151</v>
      </c>
      <c r="D10" s="12" t="n">
        <v>2</v>
      </c>
      <c r="E10" s="13" t="n">
        <f aca="false">Resumo!H17+Resumo!H18</f>
        <v>649991.51</v>
      </c>
      <c r="F10" s="13" t="n">
        <f aca="false">'Parâmetros IN 29'!$B$10</f>
        <v>15000000</v>
      </c>
      <c r="G10" s="12" t="n">
        <v>10</v>
      </c>
      <c r="H10" s="12" t="str">
        <f aca="false">IF(AND(E10&lt;=F10,D10&lt;=G10),"OK","EXCEDE")</f>
        <v>OK</v>
      </c>
      <c r="I10" s="4"/>
    </row>
    <row r="11" customFormat="false" ht="45" hidden="false" customHeight="true" outlineLevel="0" collapsed="false">
      <c r="A11" s="12" t="s">
        <v>27</v>
      </c>
      <c r="B11" s="12" t="s">
        <v>28</v>
      </c>
      <c r="C11" s="12" t="s">
        <v>152</v>
      </c>
      <c r="D11" s="12" t="n">
        <v>2</v>
      </c>
      <c r="E11" s="13" t="n">
        <f aca="false">Resumo!H5+Resumo!H22</f>
        <v>749703.14</v>
      </c>
      <c r="F11" s="13" t="n">
        <f aca="false">'Parâmetros IN 29'!$B$10</f>
        <v>15000000</v>
      </c>
      <c r="G11" s="12" t="n">
        <v>10</v>
      </c>
      <c r="H11" s="12" t="str">
        <f aca="false">IF(AND(E11&lt;=F11,D11&lt;=G11),"OK","EXCEDE")</f>
        <v>OK</v>
      </c>
      <c r="I11" s="4"/>
    </row>
    <row r="12" customFormat="false" ht="45" hidden="false" customHeight="true" outlineLevel="0" collapsed="false">
      <c r="A12" s="12" t="s">
        <v>80</v>
      </c>
      <c r="B12" s="12" t="s">
        <v>75</v>
      </c>
      <c r="C12" s="12" t="s">
        <v>78</v>
      </c>
      <c r="D12" s="12" t="n">
        <v>1</v>
      </c>
      <c r="E12" s="13" t="n">
        <f aca="false">Resumo!H14</f>
        <v>499996.16</v>
      </c>
      <c r="F12" s="13" t="n">
        <f aca="false">'Parâmetros IN 29'!$B$8</f>
        <v>500000</v>
      </c>
      <c r="G12" s="12" t="n">
        <v>2</v>
      </c>
      <c r="H12" s="12" t="str">
        <f aca="false">IF(AND(E12&lt;=F12,D12&lt;=G12),"OK","EXCEDE")&amp;IF(AND(E12&lt;=F12,D12&lt;=G12),""," (se PF)")</f>
        <v>OK</v>
      </c>
      <c r="I12" s="4" t="s">
        <v>153</v>
      </c>
    </row>
    <row r="13" customFormat="false" ht="45" hidden="false" customHeight="true" outlineLevel="0" collapsed="false">
      <c r="A13" s="12" t="s">
        <v>40</v>
      </c>
      <c r="B13" s="12" t="s">
        <v>28</v>
      </c>
      <c r="C13" s="12" t="s">
        <v>38</v>
      </c>
      <c r="D13" s="12" t="n">
        <v>1</v>
      </c>
      <c r="E13" s="13" t="n">
        <f aca="false">Resumo!H7</f>
        <v>199953.87</v>
      </c>
      <c r="F13" s="13" t="n">
        <f aca="false">'Parâmetros IN 29'!$B$10</f>
        <v>15000000</v>
      </c>
      <c r="G13" s="12" t="n">
        <v>10</v>
      </c>
      <c r="H13" s="12" t="str">
        <f aca="false">IF(AND(E13&lt;=F13,D13&lt;=G13),"OK","EXCEDE")</f>
        <v>OK</v>
      </c>
      <c r="I13" s="4" t="s">
        <v>154</v>
      </c>
    </row>
    <row r="14" customFormat="false" ht="45" hidden="false" customHeight="true" outlineLevel="0" collapsed="false">
      <c r="A14" s="12" t="s">
        <v>45</v>
      </c>
      <c r="B14" s="12" t="s">
        <v>28</v>
      </c>
      <c r="C14" s="12" t="s">
        <v>155</v>
      </c>
      <c r="D14" s="12" t="n">
        <v>2</v>
      </c>
      <c r="E14" s="13" t="n">
        <f aca="false">Resumo!H8+Resumo!H15</f>
        <v>1699976.6</v>
      </c>
      <c r="F14" s="13" t="n">
        <f aca="false">'Parâmetros IN 29'!$B$10</f>
        <v>15000000</v>
      </c>
      <c r="G14" s="12" t="n">
        <v>10</v>
      </c>
      <c r="H14" s="12" t="str">
        <f aca="false">IF(AND(E14&lt;=F14,D14&lt;=G14),"OK","EXCEDE")</f>
        <v>OK</v>
      </c>
      <c r="I14" s="4" t="s">
        <v>156</v>
      </c>
    </row>
    <row r="15" customFormat="false" ht="45" hidden="false" customHeight="true" outlineLevel="0" collapsed="false">
      <c r="A15" s="12" t="s">
        <v>56</v>
      </c>
      <c r="B15" s="12" t="s">
        <v>28</v>
      </c>
      <c r="C15" s="12" t="s">
        <v>54</v>
      </c>
      <c r="D15" s="12" t="n">
        <v>1</v>
      </c>
      <c r="E15" s="13" t="n">
        <f aca="false">Resumo!H10</f>
        <v>749993.42</v>
      </c>
      <c r="F15" s="13" t="n">
        <f aca="false">'Parâmetros IN 29'!$B$10</f>
        <v>15000000</v>
      </c>
      <c r="G15" s="12" t="n">
        <v>10</v>
      </c>
      <c r="H15" s="12" t="str">
        <f aca="false">IF(AND(E15&lt;=F15,D15&lt;=G15),"OK","EXCEDE")</f>
        <v>OK</v>
      </c>
      <c r="I15" s="4"/>
    </row>
    <row r="16" customFormat="false" ht="45" hidden="false" customHeight="true" outlineLevel="0" collapsed="false">
      <c r="A16" s="12" t="s">
        <v>66</v>
      </c>
      <c r="B16" s="12" t="s">
        <v>28</v>
      </c>
      <c r="C16" s="12" t="s">
        <v>64</v>
      </c>
      <c r="D16" s="12" t="n">
        <v>1</v>
      </c>
      <c r="E16" s="13" t="n">
        <f aca="false">Resumo!H12</f>
        <v>599985.45</v>
      </c>
      <c r="F16" s="13" t="n">
        <f aca="false">'Parâmetros IN 29'!$B$10</f>
        <v>15000000</v>
      </c>
      <c r="G16" s="12" t="n">
        <v>10</v>
      </c>
      <c r="H16" s="12" t="str">
        <f aca="false">IF(AND(E16&lt;=F16,D16&lt;=G16),"OK","EXCEDE")</f>
        <v>OK</v>
      </c>
      <c r="I16" s="4"/>
    </row>
    <row r="17" customFormat="false" ht="45" hidden="false" customHeight="true" outlineLevel="0" collapsed="false">
      <c r="A17" s="12" t="s">
        <v>122</v>
      </c>
      <c r="B17" s="12" t="s">
        <v>75</v>
      </c>
      <c r="C17" s="12" t="s">
        <v>157</v>
      </c>
      <c r="D17" s="12" t="n">
        <v>2</v>
      </c>
      <c r="E17" s="13" t="n">
        <f aca="false">Resumo!H23+Resumo!H25</f>
        <v>899993.96</v>
      </c>
      <c r="F17" s="13" t="n">
        <f aca="false">'Parâmetros IN 29'!$B$8</f>
        <v>500000</v>
      </c>
      <c r="G17" s="12" t="n">
        <v>2</v>
      </c>
      <c r="H17" s="12" t="str">
        <f aca="false">IF(AND(E17&lt;=F17,D17&lt;=G17),"OK","EXCEDE")&amp;IF(AND(E17&lt;=F17,D17&lt;=G17),""," (se PF)")</f>
        <v>EXCEDE (se PF)</v>
      </c>
      <c r="I17" s="4" t="s">
        <v>158</v>
      </c>
    </row>
    <row r="18" customFormat="false" ht="45" hidden="false" customHeight="true" outlineLevel="0" collapsed="false">
      <c r="A18" s="12" t="s">
        <v>61</v>
      </c>
      <c r="B18" s="12" t="s">
        <v>51</v>
      </c>
      <c r="C18" s="12" t="s">
        <v>159</v>
      </c>
      <c r="D18" s="12" t="n">
        <v>2</v>
      </c>
      <c r="E18" s="13" t="n">
        <f aca="false">Resumo!H11+Resumo!H16</f>
        <v>749955.32</v>
      </c>
      <c r="F18" s="13" t="n">
        <f aca="false">'Parâmetros IN 29'!$B$8</f>
        <v>500000</v>
      </c>
      <c r="G18" s="12" t="n">
        <v>2</v>
      </c>
      <c r="H18" s="12" t="str">
        <f aca="false">IF(AND(E18&lt;=F18,D18&lt;=G18),"OK","EXCEDE")</f>
        <v>EXCEDE</v>
      </c>
      <c r="I18" s="4" t="s">
        <v>160</v>
      </c>
    </row>
  </sheetData>
  <conditionalFormatting sqref="H5:H18">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ISNUMBER(SEARCH("EXCEDE",H5))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0"/>
    <col collapsed="false" customWidth="true" hidden="false" outlineLevel="0" max="23" min="3" style="0" width="8.5"/>
  </cols>
  <sheetData>
    <row r="1" customFormat="false" ht="17.35" hidden="false" customHeight="false" outlineLevel="0" collapsed="false">
      <c r="A1" s="1" t="s">
        <v>161</v>
      </c>
    </row>
    <row r="2" customFormat="false" ht="15" hidden="false" customHeight="false" outlineLevel="0" collapsed="false">
      <c r="A2" s="14" t="s">
        <v>162</v>
      </c>
    </row>
    <row r="3" customFormat="false" ht="15" hidden="false" customHeight="false" outlineLevel="0" collapsed="false">
      <c r="A3" s="3" t="s">
        <v>163</v>
      </c>
      <c r="B3" s="3" t="s">
        <v>164</v>
      </c>
      <c r="C3" s="3" t="s">
        <v>24</v>
      </c>
      <c r="D3" s="3" t="s">
        <v>33</v>
      </c>
      <c r="E3" s="3" t="s">
        <v>38</v>
      </c>
      <c r="F3" s="3" t="s">
        <v>43</v>
      </c>
      <c r="G3" s="3" t="s">
        <v>48</v>
      </c>
      <c r="H3" s="3" t="s">
        <v>54</v>
      </c>
      <c r="I3" s="3" t="s">
        <v>59</v>
      </c>
      <c r="J3" s="3" t="s">
        <v>64</v>
      </c>
      <c r="K3" s="3" t="s">
        <v>71</v>
      </c>
      <c r="L3" s="3" t="s">
        <v>78</v>
      </c>
      <c r="M3" s="3" t="s">
        <v>83</v>
      </c>
      <c r="N3" s="3" t="s">
        <v>88</v>
      </c>
      <c r="O3" s="3" t="s">
        <v>92</v>
      </c>
      <c r="P3" s="3" t="s">
        <v>98</v>
      </c>
      <c r="Q3" s="3" t="s">
        <v>102</v>
      </c>
      <c r="R3" s="3" t="s">
        <v>107</v>
      </c>
      <c r="S3" s="3" t="s">
        <v>111</v>
      </c>
      <c r="T3" s="3" t="s">
        <v>116</v>
      </c>
      <c r="U3" s="3" t="s">
        <v>120</v>
      </c>
      <c r="V3" s="3" t="s">
        <v>125</v>
      </c>
      <c r="W3" s="3" t="s">
        <v>130</v>
      </c>
    </row>
    <row r="4" customFormat="false" ht="15" hidden="false" customHeight="false" outlineLevel="0" collapsed="false">
      <c r="A4" s="10" t="s">
        <v>165</v>
      </c>
      <c r="B4" s="4" t="s">
        <v>166</v>
      </c>
      <c r="C4" s="15" t="s">
        <v>19</v>
      </c>
      <c r="D4" s="15" t="s">
        <v>19</v>
      </c>
      <c r="E4" s="15" t="s">
        <v>19</v>
      </c>
      <c r="F4" s="15" t="s">
        <v>19</v>
      </c>
      <c r="G4" s="15" t="s">
        <v>19</v>
      </c>
      <c r="H4" s="15" t="s">
        <v>19</v>
      </c>
      <c r="I4" s="15" t="s">
        <v>19</v>
      </c>
      <c r="J4" s="15" t="s">
        <v>19</v>
      </c>
      <c r="K4" s="15" t="s">
        <v>19</v>
      </c>
      <c r="L4" s="15" t="s">
        <v>19</v>
      </c>
      <c r="M4" s="15" t="s">
        <v>19</v>
      </c>
      <c r="N4" s="15" t="s">
        <v>19</v>
      </c>
      <c r="O4" s="15" t="s">
        <v>19</v>
      </c>
      <c r="P4" s="15" t="s">
        <v>19</v>
      </c>
      <c r="Q4" s="15" t="s">
        <v>19</v>
      </c>
      <c r="R4" s="15" t="s">
        <v>19</v>
      </c>
      <c r="S4" s="15" t="s">
        <v>19</v>
      </c>
      <c r="T4" s="15" t="s">
        <v>19</v>
      </c>
      <c r="U4" s="15" t="s">
        <v>19</v>
      </c>
      <c r="V4" s="15" t="s">
        <v>20</v>
      </c>
      <c r="W4" s="15" t="s">
        <v>19</v>
      </c>
    </row>
    <row r="5" customFormat="false" ht="15" hidden="false" customHeight="false" outlineLevel="0" collapsed="false">
      <c r="A5" s="10" t="s">
        <v>167</v>
      </c>
      <c r="B5" s="4" t="s">
        <v>168</v>
      </c>
      <c r="C5" s="15" t="s">
        <v>19</v>
      </c>
      <c r="D5" s="15" t="s">
        <v>19</v>
      </c>
      <c r="E5" s="15" t="s">
        <v>19</v>
      </c>
      <c r="F5" s="15" t="s">
        <v>19</v>
      </c>
      <c r="G5" s="15" t="s">
        <v>19</v>
      </c>
      <c r="H5" s="15" t="s">
        <v>19</v>
      </c>
      <c r="I5" s="15" t="s">
        <v>19</v>
      </c>
      <c r="J5" s="15" t="s">
        <v>19</v>
      </c>
      <c r="K5" s="15" t="s">
        <v>19</v>
      </c>
      <c r="L5" s="15" t="s">
        <v>19</v>
      </c>
      <c r="M5" s="15" t="s">
        <v>19</v>
      </c>
      <c r="N5" s="15" t="s">
        <v>19</v>
      </c>
      <c r="O5" s="15" t="s">
        <v>19</v>
      </c>
      <c r="P5" s="15" t="s">
        <v>19</v>
      </c>
      <c r="Q5" s="15" t="s">
        <v>19</v>
      </c>
      <c r="R5" s="15" t="s">
        <v>19</v>
      </c>
      <c r="S5" s="15" t="s">
        <v>19</v>
      </c>
      <c r="T5" s="15" t="s">
        <v>19</v>
      </c>
      <c r="U5" s="15" t="s">
        <v>19</v>
      </c>
      <c r="V5" s="15" t="s">
        <v>19</v>
      </c>
      <c r="W5" s="15" t="s">
        <v>19</v>
      </c>
    </row>
    <row r="6" customFormat="false" ht="15" hidden="false" customHeight="false" outlineLevel="0" collapsed="false">
      <c r="A6" s="10" t="s">
        <v>169</v>
      </c>
      <c r="B6" s="4" t="s">
        <v>170</v>
      </c>
      <c r="C6" s="15" t="s">
        <v>171</v>
      </c>
      <c r="D6" s="15" t="s">
        <v>171</v>
      </c>
      <c r="E6" s="15" t="s">
        <v>171</v>
      </c>
      <c r="F6" s="15" t="s">
        <v>171</v>
      </c>
      <c r="G6" s="15" t="s">
        <v>171</v>
      </c>
      <c r="H6" s="15" t="s">
        <v>171</v>
      </c>
      <c r="I6" s="15" t="s">
        <v>171</v>
      </c>
      <c r="J6" s="15" t="s">
        <v>171</v>
      </c>
      <c r="K6" s="15" t="s">
        <v>171</v>
      </c>
      <c r="L6" s="15" t="s">
        <v>171</v>
      </c>
      <c r="M6" s="15" t="s">
        <v>171</v>
      </c>
      <c r="N6" s="15" t="s">
        <v>171</v>
      </c>
      <c r="O6" s="15" t="s">
        <v>19</v>
      </c>
      <c r="P6" s="15" t="s">
        <v>171</v>
      </c>
      <c r="Q6" s="15" t="s">
        <v>171</v>
      </c>
      <c r="R6" s="15" t="s">
        <v>19</v>
      </c>
      <c r="S6" s="15" t="s">
        <v>171</v>
      </c>
      <c r="T6" s="15" t="s">
        <v>171</v>
      </c>
      <c r="U6" s="15" t="s">
        <v>19</v>
      </c>
      <c r="V6" s="15" t="s">
        <v>19</v>
      </c>
      <c r="W6" s="15" t="s">
        <v>171</v>
      </c>
    </row>
    <row r="7" customFormat="false" ht="15" hidden="false" customHeight="false" outlineLevel="0" collapsed="false">
      <c r="A7" s="10" t="s">
        <v>172</v>
      </c>
      <c r="B7" s="4" t="s">
        <v>173</v>
      </c>
      <c r="C7" s="15" t="s">
        <v>19</v>
      </c>
      <c r="D7" s="15" t="s">
        <v>171</v>
      </c>
      <c r="E7" s="15" t="s">
        <v>171</v>
      </c>
      <c r="F7" s="15" t="s">
        <v>19</v>
      </c>
      <c r="G7" s="15" t="s">
        <v>19</v>
      </c>
      <c r="H7" s="15" t="s">
        <v>171</v>
      </c>
      <c r="I7" s="15" t="s">
        <v>171</v>
      </c>
      <c r="J7" s="15" t="s">
        <v>19</v>
      </c>
      <c r="K7" s="15" t="s">
        <v>171</v>
      </c>
      <c r="L7" s="15" t="s">
        <v>171</v>
      </c>
      <c r="M7" s="15" t="s">
        <v>171</v>
      </c>
      <c r="N7" s="15" t="s">
        <v>171</v>
      </c>
      <c r="O7" s="15" t="s">
        <v>19</v>
      </c>
      <c r="P7" s="15" t="s">
        <v>171</v>
      </c>
      <c r="Q7" s="15" t="s">
        <v>171</v>
      </c>
      <c r="R7" s="15" t="s">
        <v>171</v>
      </c>
      <c r="S7" s="15" t="s">
        <v>171</v>
      </c>
      <c r="T7" s="15" t="s">
        <v>171</v>
      </c>
      <c r="U7" s="15" t="s">
        <v>19</v>
      </c>
      <c r="V7" s="15" t="s">
        <v>19</v>
      </c>
      <c r="W7" s="15" t="s">
        <v>171</v>
      </c>
    </row>
    <row r="8" customFormat="false" ht="15" hidden="false" customHeight="false" outlineLevel="0" collapsed="false">
      <c r="A8" s="10" t="s">
        <v>174</v>
      </c>
      <c r="B8" s="4" t="s">
        <v>175</v>
      </c>
      <c r="C8" s="15" t="s">
        <v>19</v>
      </c>
      <c r="D8" s="15" t="s">
        <v>19</v>
      </c>
      <c r="E8" s="15" t="s">
        <v>19</v>
      </c>
      <c r="F8" s="15" t="s">
        <v>19</v>
      </c>
      <c r="G8" s="15" t="s">
        <v>19</v>
      </c>
      <c r="H8" s="15" t="s">
        <v>19</v>
      </c>
      <c r="I8" s="15" t="s">
        <v>19</v>
      </c>
      <c r="J8" s="15" t="s">
        <v>19</v>
      </c>
      <c r="K8" s="15" t="s">
        <v>19</v>
      </c>
      <c r="L8" s="15" t="s">
        <v>19</v>
      </c>
      <c r="M8" s="15" t="s">
        <v>19</v>
      </c>
      <c r="N8" s="15" t="s">
        <v>19</v>
      </c>
      <c r="O8" s="15" t="s">
        <v>19</v>
      </c>
      <c r="P8" s="15" t="s">
        <v>19</v>
      </c>
      <c r="Q8" s="15" t="s">
        <v>19</v>
      </c>
      <c r="R8" s="15" t="s">
        <v>19</v>
      </c>
      <c r="S8" s="15" t="s">
        <v>19</v>
      </c>
      <c r="T8" s="15" t="s">
        <v>19</v>
      </c>
      <c r="U8" s="15" t="s">
        <v>19</v>
      </c>
      <c r="V8" s="15" t="s">
        <v>19</v>
      </c>
      <c r="W8" s="15" t="s">
        <v>19</v>
      </c>
    </row>
    <row r="9" customFormat="false" ht="15" hidden="false" customHeight="false" outlineLevel="0" collapsed="false">
      <c r="A9" s="10" t="s">
        <v>176</v>
      </c>
      <c r="B9" s="4" t="s">
        <v>177</v>
      </c>
      <c r="C9" s="15" t="s">
        <v>19</v>
      </c>
      <c r="D9" s="15" t="s">
        <v>19</v>
      </c>
      <c r="E9" s="15" t="s">
        <v>19</v>
      </c>
      <c r="F9" s="15" t="s">
        <v>19</v>
      </c>
      <c r="G9" s="15" t="s">
        <v>19</v>
      </c>
      <c r="H9" s="15" t="s">
        <v>19</v>
      </c>
      <c r="I9" s="15" t="s">
        <v>19</v>
      </c>
      <c r="J9" s="15" t="s">
        <v>19</v>
      </c>
      <c r="K9" s="15" t="s">
        <v>19</v>
      </c>
      <c r="L9" s="15" t="s">
        <v>19</v>
      </c>
      <c r="M9" s="15" t="s">
        <v>19</v>
      </c>
      <c r="N9" s="15" t="s">
        <v>19</v>
      </c>
      <c r="O9" s="15" t="s">
        <v>19</v>
      </c>
      <c r="P9" s="15" t="s">
        <v>19</v>
      </c>
      <c r="Q9" s="15" t="s">
        <v>19</v>
      </c>
      <c r="R9" s="15" t="s">
        <v>19</v>
      </c>
      <c r="S9" s="15" t="s">
        <v>19</v>
      </c>
      <c r="T9" s="15" t="s">
        <v>171</v>
      </c>
      <c r="U9" s="15" t="s">
        <v>19</v>
      </c>
      <c r="V9" s="15" t="s">
        <v>19</v>
      </c>
      <c r="W9" s="15" t="s">
        <v>171</v>
      </c>
    </row>
    <row r="10" customFormat="false" ht="15" hidden="false" customHeight="false" outlineLevel="0" collapsed="false">
      <c r="A10" s="10" t="s">
        <v>178</v>
      </c>
      <c r="B10" s="4" t="s">
        <v>179</v>
      </c>
      <c r="C10" s="15" t="s">
        <v>171</v>
      </c>
      <c r="D10" s="15" t="s">
        <v>171</v>
      </c>
      <c r="E10" s="15" t="s">
        <v>171</v>
      </c>
      <c r="F10" s="15" t="s">
        <v>171</v>
      </c>
      <c r="G10" s="15" t="s">
        <v>19</v>
      </c>
      <c r="H10" s="15" t="s">
        <v>171</v>
      </c>
      <c r="I10" s="15" t="s">
        <v>171</v>
      </c>
      <c r="J10" s="15" t="s">
        <v>19</v>
      </c>
      <c r="K10" s="15" t="s">
        <v>171</v>
      </c>
      <c r="L10" s="15" t="s">
        <v>171</v>
      </c>
      <c r="M10" s="15" t="s">
        <v>171</v>
      </c>
      <c r="N10" s="15" t="s">
        <v>171</v>
      </c>
      <c r="O10" s="15" t="s">
        <v>171</v>
      </c>
      <c r="P10" s="15" t="s">
        <v>171</v>
      </c>
      <c r="Q10" s="15" t="s">
        <v>171</v>
      </c>
      <c r="R10" s="15" t="s">
        <v>171</v>
      </c>
      <c r="S10" s="15" t="s">
        <v>171</v>
      </c>
      <c r="T10" s="15" t="s">
        <v>171</v>
      </c>
      <c r="U10" s="15" t="s">
        <v>19</v>
      </c>
      <c r="V10" s="15" t="s">
        <v>19</v>
      </c>
      <c r="W10" s="15" t="s">
        <v>171</v>
      </c>
    </row>
    <row r="11" customFormat="false" ht="15" hidden="false" customHeight="false" outlineLevel="0" collapsed="false">
      <c r="A11" s="10" t="s">
        <v>180</v>
      </c>
      <c r="B11" s="4" t="s">
        <v>181</v>
      </c>
      <c r="C11" s="15" t="s">
        <v>19</v>
      </c>
      <c r="D11" s="15" t="s">
        <v>19</v>
      </c>
      <c r="E11" s="15" t="s">
        <v>19</v>
      </c>
      <c r="F11" s="15" t="s">
        <v>171</v>
      </c>
      <c r="G11" s="15" t="s">
        <v>19</v>
      </c>
      <c r="H11" s="15" t="s">
        <v>19</v>
      </c>
      <c r="I11" s="15" t="s">
        <v>171</v>
      </c>
      <c r="J11" s="15" t="s">
        <v>19</v>
      </c>
      <c r="K11" s="15" t="s">
        <v>171</v>
      </c>
      <c r="L11" s="15" t="s">
        <v>19</v>
      </c>
      <c r="M11" s="15" t="s">
        <v>171</v>
      </c>
      <c r="N11" s="15" t="s">
        <v>171</v>
      </c>
      <c r="O11" s="15" t="s">
        <v>19</v>
      </c>
      <c r="P11" s="15" t="s">
        <v>19</v>
      </c>
      <c r="Q11" s="15" t="s">
        <v>171</v>
      </c>
      <c r="R11" s="15" t="s">
        <v>19</v>
      </c>
      <c r="S11" s="15" t="s">
        <v>19</v>
      </c>
      <c r="T11" s="15" t="s">
        <v>19</v>
      </c>
      <c r="U11" s="15" t="s">
        <v>19</v>
      </c>
      <c r="V11" s="15" t="s">
        <v>19</v>
      </c>
      <c r="W11" s="15" t="s">
        <v>19</v>
      </c>
    </row>
    <row r="12" customFormat="false" ht="15" hidden="false" customHeight="false" outlineLevel="0" collapsed="false">
      <c r="A12" s="10" t="s">
        <v>182</v>
      </c>
      <c r="B12" s="4" t="s">
        <v>183</v>
      </c>
      <c r="C12" s="15" t="s">
        <v>171</v>
      </c>
      <c r="D12" s="15" t="s">
        <v>171</v>
      </c>
      <c r="E12" s="15" t="s">
        <v>171</v>
      </c>
      <c r="F12" s="15" t="s">
        <v>171</v>
      </c>
      <c r="G12" s="15" t="s">
        <v>171</v>
      </c>
      <c r="H12" s="15" t="s">
        <v>171</v>
      </c>
      <c r="I12" s="15" t="s">
        <v>171</v>
      </c>
      <c r="J12" s="15" t="s">
        <v>171</v>
      </c>
      <c r="K12" s="15" t="s">
        <v>171</v>
      </c>
      <c r="L12" s="15" t="s">
        <v>171</v>
      </c>
      <c r="M12" s="15" t="s">
        <v>171</v>
      </c>
      <c r="N12" s="15" t="s">
        <v>171</v>
      </c>
      <c r="O12" s="15" t="s">
        <v>19</v>
      </c>
      <c r="P12" s="15" t="s">
        <v>171</v>
      </c>
      <c r="Q12" s="15" t="s">
        <v>171</v>
      </c>
      <c r="R12" s="15" t="s">
        <v>171</v>
      </c>
      <c r="S12" s="15" t="s">
        <v>171</v>
      </c>
      <c r="T12" s="15" t="s">
        <v>171</v>
      </c>
      <c r="U12" s="15" t="s">
        <v>19</v>
      </c>
      <c r="V12" s="15" t="s">
        <v>19</v>
      </c>
      <c r="W12" s="15" t="s">
        <v>171</v>
      </c>
    </row>
    <row r="13" customFormat="false" ht="15" hidden="false" customHeight="false" outlineLevel="0" collapsed="false">
      <c r="A13" s="10" t="s">
        <v>184</v>
      </c>
      <c r="B13" s="4" t="s">
        <v>185</v>
      </c>
      <c r="C13" s="15" t="s">
        <v>19</v>
      </c>
      <c r="D13" s="15" t="s">
        <v>20</v>
      </c>
      <c r="E13" s="15" t="s">
        <v>20</v>
      </c>
      <c r="F13" s="15" t="s">
        <v>20</v>
      </c>
      <c r="G13" s="15" t="s">
        <v>20</v>
      </c>
      <c r="H13" s="15" t="s">
        <v>20</v>
      </c>
      <c r="I13" s="15" t="s">
        <v>19</v>
      </c>
      <c r="J13" s="15" t="s">
        <v>19</v>
      </c>
      <c r="K13" s="15" t="s">
        <v>20</v>
      </c>
      <c r="L13" s="15" t="s">
        <v>20</v>
      </c>
      <c r="M13" s="15" t="s">
        <v>19</v>
      </c>
      <c r="N13" s="15" t="s">
        <v>19</v>
      </c>
      <c r="O13" s="15" t="s">
        <v>20</v>
      </c>
      <c r="P13" s="15" t="s">
        <v>20</v>
      </c>
      <c r="Q13" s="15" t="s">
        <v>20</v>
      </c>
      <c r="R13" s="15" t="s">
        <v>20</v>
      </c>
      <c r="S13" s="15" t="s">
        <v>20</v>
      </c>
      <c r="T13" s="15" t="s">
        <v>20</v>
      </c>
      <c r="U13" s="15" t="s">
        <v>19</v>
      </c>
      <c r="V13" s="15" t="s">
        <v>19</v>
      </c>
      <c r="W13" s="15" t="s">
        <v>20</v>
      </c>
    </row>
    <row r="14" customFormat="false" ht="15" hidden="false" customHeight="false" outlineLevel="0" collapsed="false">
      <c r="A14" s="10" t="s">
        <v>186</v>
      </c>
      <c r="B14" s="4" t="s">
        <v>187</v>
      </c>
      <c r="C14" s="15" t="s">
        <v>19</v>
      </c>
      <c r="D14" s="15" t="s">
        <v>19</v>
      </c>
      <c r="E14" s="15" t="s">
        <v>19</v>
      </c>
      <c r="F14" s="15" t="s">
        <v>20</v>
      </c>
      <c r="G14" s="15" t="s">
        <v>19</v>
      </c>
      <c r="H14" s="15" t="s">
        <v>19</v>
      </c>
      <c r="I14" s="15" t="s">
        <v>19</v>
      </c>
      <c r="J14" s="15" t="s">
        <v>19</v>
      </c>
      <c r="K14" s="15" t="s">
        <v>19</v>
      </c>
      <c r="L14" s="15" t="s">
        <v>19</v>
      </c>
      <c r="M14" s="15" t="s">
        <v>19</v>
      </c>
      <c r="N14" s="15" t="s">
        <v>19</v>
      </c>
      <c r="O14" s="15" t="s">
        <v>20</v>
      </c>
      <c r="P14" s="15" t="s">
        <v>19</v>
      </c>
      <c r="Q14" s="15" t="s">
        <v>19</v>
      </c>
      <c r="R14" s="15" t="s">
        <v>19</v>
      </c>
      <c r="S14" s="15" t="s">
        <v>19</v>
      </c>
      <c r="T14" s="15" t="s">
        <v>19</v>
      </c>
      <c r="U14" s="15" t="s">
        <v>20</v>
      </c>
      <c r="V14" s="15" t="s">
        <v>20</v>
      </c>
      <c r="W14" s="15" t="s">
        <v>19</v>
      </c>
    </row>
    <row r="15" customFormat="false" ht="23.85" hidden="false" customHeight="false" outlineLevel="0" collapsed="false">
      <c r="A15" s="16" t="s">
        <v>188</v>
      </c>
      <c r="B15" s="17" t="s">
        <v>189</v>
      </c>
      <c r="C15" s="15" t="s">
        <v>20</v>
      </c>
      <c r="D15" s="15" t="s">
        <v>171</v>
      </c>
      <c r="E15" s="15" t="s">
        <v>20</v>
      </c>
      <c r="F15" s="15" t="s">
        <v>19</v>
      </c>
      <c r="G15" s="15" t="s">
        <v>20</v>
      </c>
      <c r="H15" s="15" t="s">
        <v>171</v>
      </c>
      <c r="I15" s="15" t="s">
        <v>20</v>
      </c>
      <c r="J15" s="15" t="s">
        <v>171</v>
      </c>
      <c r="K15" s="15" t="s">
        <v>19</v>
      </c>
      <c r="L15" s="15" t="s">
        <v>171</v>
      </c>
      <c r="M15" s="15" t="s">
        <v>171</v>
      </c>
      <c r="N15" s="15" t="s">
        <v>171</v>
      </c>
      <c r="O15" s="15" t="s">
        <v>19</v>
      </c>
      <c r="P15" s="15" t="s">
        <v>20</v>
      </c>
      <c r="Q15" s="15" t="s">
        <v>19</v>
      </c>
      <c r="R15" s="15" t="s">
        <v>20</v>
      </c>
      <c r="S15" s="15" t="s">
        <v>19</v>
      </c>
      <c r="T15" s="15" t="s">
        <v>20</v>
      </c>
      <c r="U15" s="15" t="s">
        <v>20</v>
      </c>
      <c r="V15" s="15" t="s">
        <v>20</v>
      </c>
      <c r="W15" s="15" t="s">
        <v>20</v>
      </c>
    </row>
    <row r="16" customFormat="false" ht="15" hidden="false" customHeight="false" outlineLevel="0" collapsed="false">
      <c r="A16" s="10" t="s">
        <v>190</v>
      </c>
      <c r="B16" s="4" t="s">
        <v>191</v>
      </c>
      <c r="C16" s="15" t="s">
        <v>19</v>
      </c>
      <c r="D16" s="15" t="s">
        <v>19</v>
      </c>
      <c r="E16" s="15" t="s">
        <v>171</v>
      </c>
      <c r="F16" s="15" t="s">
        <v>19</v>
      </c>
      <c r="G16" s="15" t="s">
        <v>20</v>
      </c>
      <c r="H16" s="15" t="s">
        <v>19</v>
      </c>
      <c r="I16" s="15" t="s">
        <v>19</v>
      </c>
      <c r="J16" s="15" t="s">
        <v>19</v>
      </c>
      <c r="K16" s="15" t="s">
        <v>19</v>
      </c>
      <c r="L16" s="15" t="s">
        <v>19</v>
      </c>
      <c r="M16" s="15" t="s">
        <v>19</v>
      </c>
      <c r="N16" s="15" t="s">
        <v>19</v>
      </c>
      <c r="O16" s="15" t="s">
        <v>19</v>
      </c>
      <c r="P16" s="15" t="s">
        <v>19</v>
      </c>
      <c r="Q16" s="15" t="s">
        <v>19</v>
      </c>
      <c r="R16" s="15" t="s">
        <v>171</v>
      </c>
      <c r="S16" s="15" t="s">
        <v>171</v>
      </c>
      <c r="T16" s="15" t="s">
        <v>171</v>
      </c>
      <c r="U16" s="15" t="s">
        <v>19</v>
      </c>
      <c r="V16" s="15" t="s">
        <v>19</v>
      </c>
      <c r="W16" s="15" t="s">
        <v>171</v>
      </c>
    </row>
    <row r="17" customFormat="false" ht="23.85" hidden="false" customHeight="false" outlineLevel="0" collapsed="false">
      <c r="A17" s="16" t="s">
        <v>192</v>
      </c>
      <c r="B17" s="17" t="s">
        <v>193</v>
      </c>
      <c r="C17" s="15" t="s">
        <v>171</v>
      </c>
      <c r="D17" s="15" t="s">
        <v>171</v>
      </c>
      <c r="E17" s="15" t="s">
        <v>171</v>
      </c>
      <c r="F17" s="15" t="s">
        <v>171</v>
      </c>
      <c r="G17" s="15" t="s">
        <v>171</v>
      </c>
      <c r="H17" s="15" t="s">
        <v>171</v>
      </c>
      <c r="I17" s="15" t="s">
        <v>171</v>
      </c>
      <c r="J17" s="15" t="s">
        <v>171</v>
      </c>
      <c r="K17" s="15" t="s">
        <v>171</v>
      </c>
      <c r="L17" s="15" t="s">
        <v>171</v>
      </c>
      <c r="M17" s="15" t="s">
        <v>171</v>
      </c>
      <c r="N17" s="15" t="s">
        <v>171</v>
      </c>
      <c r="O17" s="15" t="s">
        <v>19</v>
      </c>
      <c r="P17" s="15" t="s">
        <v>171</v>
      </c>
      <c r="Q17" s="15" t="s">
        <v>171</v>
      </c>
      <c r="R17" s="15" t="s">
        <v>171</v>
      </c>
      <c r="S17" s="15" t="s">
        <v>171</v>
      </c>
      <c r="T17" s="15" t="s">
        <v>171</v>
      </c>
      <c r="U17" s="15" t="s">
        <v>19</v>
      </c>
      <c r="V17" s="15" t="s">
        <v>19</v>
      </c>
      <c r="W17" s="15" t="s">
        <v>171</v>
      </c>
    </row>
    <row r="18" customFormat="false" ht="15" hidden="false" customHeight="false" outlineLevel="0" collapsed="false">
      <c r="A18" s="10" t="s">
        <v>194</v>
      </c>
      <c r="B18" s="4" t="s">
        <v>195</v>
      </c>
      <c r="C18" s="15" t="s">
        <v>19</v>
      </c>
      <c r="D18" s="15" t="s">
        <v>19</v>
      </c>
      <c r="E18" s="15" t="s">
        <v>19</v>
      </c>
      <c r="F18" s="15" t="s">
        <v>19</v>
      </c>
      <c r="G18" s="15" t="s">
        <v>19</v>
      </c>
      <c r="H18" s="15" t="s">
        <v>19</v>
      </c>
      <c r="I18" s="15" t="s">
        <v>19</v>
      </c>
      <c r="J18" s="15" t="s">
        <v>19</v>
      </c>
      <c r="K18" s="15" t="s">
        <v>19</v>
      </c>
      <c r="L18" s="15" t="s">
        <v>19</v>
      </c>
      <c r="M18" s="15" t="s">
        <v>19</v>
      </c>
      <c r="N18" s="15" t="s">
        <v>19</v>
      </c>
      <c r="O18" s="15" t="s">
        <v>19</v>
      </c>
      <c r="P18" s="15" t="s">
        <v>19</v>
      </c>
      <c r="Q18" s="15" t="s">
        <v>19</v>
      </c>
      <c r="R18" s="15" t="s">
        <v>19</v>
      </c>
      <c r="S18" s="15" t="s">
        <v>19</v>
      </c>
      <c r="T18" s="15" t="s">
        <v>19</v>
      </c>
      <c r="U18" s="15" t="s">
        <v>19</v>
      </c>
      <c r="V18" s="15" t="s">
        <v>19</v>
      </c>
      <c r="W18" s="15" t="s">
        <v>20</v>
      </c>
    </row>
    <row r="19" customFormat="false" ht="15" hidden="false" customHeight="false" outlineLevel="0" collapsed="false">
      <c r="A19" s="10" t="s">
        <v>196</v>
      </c>
      <c r="B19" s="4" t="s">
        <v>197</v>
      </c>
      <c r="C19" s="15" t="s">
        <v>19</v>
      </c>
      <c r="D19" s="15" t="s">
        <v>19</v>
      </c>
      <c r="E19" s="15" t="s">
        <v>19</v>
      </c>
      <c r="F19" s="15" t="s">
        <v>19</v>
      </c>
      <c r="G19" s="15" t="s">
        <v>20</v>
      </c>
      <c r="H19" s="15" t="s">
        <v>171</v>
      </c>
      <c r="I19" s="15" t="s">
        <v>19</v>
      </c>
      <c r="J19" s="15" t="s">
        <v>19</v>
      </c>
      <c r="K19" s="15" t="s">
        <v>19</v>
      </c>
      <c r="L19" s="15" t="s">
        <v>19</v>
      </c>
      <c r="M19" s="15" t="s">
        <v>19</v>
      </c>
      <c r="N19" s="15" t="s">
        <v>19</v>
      </c>
      <c r="O19" s="15" t="s">
        <v>19</v>
      </c>
      <c r="P19" s="15" t="s">
        <v>19</v>
      </c>
      <c r="Q19" s="15" t="s">
        <v>19</v>
      </c>
      <c r="R19" s="15" t="s">
        <v>19</v>
      </c>
      <c r="S19" s="15" t="s">
        <v>171</v>
      </c>
      <c r="T19" s="15" t="s">
        <v>171</v>
      </c>
      <c r="U19" s="15" t="s">
        <v>19</v>
      </c>
      <c r="V19" s="15" t="s">
        <v>19</v>
      </c>
      <c r="W19" s="15" t="s">
        <v>171</v>
      </c>
    </row>
    <row r="20" customFormat="false" ht="23.85" hidden="false" customHeight="false" outlineLevel="0" collapsed="false">
      <c r="A20" s="16" t="s">
        <v>198</v>
      </c>
      <c r="B20" s="17" t="s">
        <v>199</v>
      </c>
      <c r="C20" s="15" t="s">
        <v>19</v>
      </c>
      <c r="D20" s="15" t="s">
        <v>19</v>
      </c>
      <c r="E20" s="15" t="s">
        <v>19</v>
      </c>
      <c r="F20" s="15" t="s">
        <v>19</v>
      </c>
      <c r="G20" s="15" t="s">
        <v>19</v>
      </c>
      <c r="H20" s="15" t="s">
        <v>19</v>
      </c>
      <c r="I20" s="15" t="s">
        <v>19</v>
      </c>
      <c r="J20" s="15" t="s">
        <v>19</v>
      </c>
      <c r="K20" s="15" t="s">
        <v>19</v>
      </c>
      <c r="L20" s="15" t="s">
        <v>19</v>
      </c>
      <c r="M20" s="15" t="s">
        <v>19</v>
      </c>
      <c r="N20" s="15" t="s">
        <v>19</v>
      </c>
      <c r="O20" s="15" t="s">
        <v>19</v>
      </c>
      <c r="P20" s="15" t="s">
        <v>19</v>
      </c>
      <c r="Q20" s="15" t="s">
        <v>19</v>
      </c>
      <c r="R20" s="15" t="s">
        <v>20</v>
      </c>
      <c r="S20" s="15" t="s">
        <v>19</v>
      </c>
      <c r="T20" s="15" t="s">
        <v>19</v>
      </c>
      <c r="U20" s="15" t="s">
        <v>19</v>
      </c>
      <c r="V20" s="15" t="s">
        <v>19</v>
      </c>
      <c r="W20" s="15" t="s">
        <v>19</v>
      </c>
    </row>
    <row r="21" customFormat="false" ht="15" hidden="false" customHeight="false" outlineLevel="0" collapsed="false">
      <c r="A21" s="10" t="s">
        <v>200</v>
      </c>
      <c r="B21" s="4" t="s">
        <v>201</v>
      </c>
      <c r="C21" s="15" t="s">
        <v>20</v>
      </c>
      <c r="D21" s="15" t="s">
        <v>20</v>
      </c>
      <c r="E21" s="15" t="s">
        <v>20</v>
      </c>
      <c r="F21" s="15" t="s">
        <v>20</v>
      </c>
      <c r="G21" s="15" t="s">
        <v>20</v>
      </c>
      <c r="H21" s="15" t="s">
        <v>20</v>
      </c>
      <c r="I21" s="15" t="s">
        <v>20</v>
      </c>
      <c r="J21" s="15" t="s">
        <v>20</v>
      </c>
      <c r="K21" s="15" t="s">
        <v>20</v>
      </c>
      <c r="L21" s="15" t="s">
        <v>20</v>
      </c>
      <c r="M21" s="15" t="s">
        <v>20</v>
      </c>
      <c r="N21" s="15" t="s">
        <v>20</v>
      </c>
      <c r="O21" s="15" t="s">
        <v>20</v>
      </c>
      <c r="P21" s="15" t="s">
        <v>20</v>
      </c>
      <c r="Q21" s="15" t="s">
        <v>20</v>
      </c>
      <c r="R21" s="15" t="s">
        <v>20</v>
      </c>
      <c r="S21" s="15" t="s">
        <v>20</v>
      </c>
      <c r="T21" s="15" t="s">
        <v>20</v>
      </c>
      <c r="U21" s="15" t="s">
        <v>19</v>
      </c>
      <c r="V21" s="15" t="s">
        <v>19</v>
      </c>
      <c r="W21" s="15" t="s">
        <v>20</v>
      </c>
    </row>
    <row r="22" customFormat="false" ht="15" hidden="false" customHeight="false" outlineLevel="0" collapsed="false">
      <c r="A22" s="10" t="s">
        <v>202</v>
      </c>
      <c r="B22" s="4" t="s">
        <v>203</v>
      </c>
      <c r="C22" s="15" t="s">
        <v>19</v>
      </c>
      <c r="D22" s="15" t="s">
        <v>19</v>
      </c>
      <c r="E22" s="15" t="s">
        <v>19</v>
      </c>
      <c r="F22" s="15" t="s">
        <v>19</v>
      </c>
      <c r="G22" s="15" t="s">
        <v>19</v>
      </c>
      <c r="H22" s="15" t="s">
        <v>19</v>
      </c>
      <c r="I22" s="15" t="s">
        <v>19</v>
      </c>
      <c r="J22" s="15" t="s">
        <v>19</v>
      </c>
      <c r="K22" s="15" t="s">
        <v>19</v>
      </c>
      <c r="L22" s="15" t="s">
        <v>19</v>
      </c>
      <c r="M22" s="15" t="s">
        <v>19</v>
      </c>
      <c r="N22" s="15" t="s">
        <v>19</v>
      </c>
      <c r="O22" s="15" t="s">
        <v>19</v>
      </c>
      <c r="P22" s="15" t="s">
        <v>19</v>
      </c>
      <c r="Q22" s="15" t="s">
        <v>20</v>
      </c>
      <c r="R22" s="15" t="s">
        <v>19</v>
      </c>
      <c r="S22" s="15" t="s">
        <v>19</v>
      </c>
      <c r="T22" s="15" t="s">
        <v>19</v>
      </c>
      <c r="U22" s="15" t="s">
        <v>20</v>
      </c>
      <c r="V22" s="15" t="s">
        <v>20</v>
      </c>
      <c r="W22" s="15" t="s">
        <v>19</v>
      </c>
    </row>
    <row r="23" customFormat="false" ht="15" hidden="false" customHeight="false" outlineLevel="0" collapsed="false">
      <c r="A23" s="10" t="s">
        <v>204</v>
      </c>
      <c r="B23" s="4" t="s">
        <v>205</v>
      </c>
      <c r="C23" s="15" t="s">
        <v>20</v>
      </c>
      <c r="D23" s="15" t="s">
        <v>20</v>
      </c>
      <c r="E23" s="15" t="s">
        <v>20</v>
      </c>
      <c r="F23" s="15" t="s">
        <v>20</v>
      </c>
      <c r="G23" s="15" t="s">
        <v>20</v>
      </c>
      <c r="H23" s="15" t="s">
        <v>20</v>
      </c>
      <c r="I23" s="15" t="s">
        <v>20</v>
      </c>
      <c r="J23" s="15" t="s">
        <v>20</v>
      </c>
      <c r="K23" s="15" t="s">
        <v>20</v>
      </c>
      <c r="L23" s="15" t="s">
        <v>20</v>
      </c>
      <c r="M23" s="15" t="s">
        <v>20</v>
      </c>
      <c r="N23" s="15" t="s">
        <v>20</v>
      </c>
      <c r="O23" s="15" t="s">
        <v>20</v>
      </c>
      <c r="P23" s="15" t="s">
        <v>20</v>
      </c>
      <c r="Q23" s="15" t="s">
        <v>20</v>
      </c>
      <c r="R23" s="15" t="s">
        <v>20</v>
      </c>
      <c r="S23" s="15" t="s">
        <v>20</v>
      </c>
      <c r="T23" s="15" t="s">
        <v>20</v>
      </c>
      <c r="U23" s="15" t="s">
        <v>20</v>
      </c>
      <c r="V23" s="15" t="s">
        <v>20</v>
      </c>
      <c r="W23" s="15" t="s">
        <v>20</v>
      </c>
    </row>
    <row r="24" customFormat="false" ht="15" hidden="false" customHeight="false" outlineLevel="0" collapsed="false">
      <c r="A24" s="10" t="s">
        <v>206</v>
      </c>
      <c r="B24" s="4" t="s">
        <v>207</v>
      </c>
      <c r="C24" s="15" t="s">
        <v>171</v>
      </c>
      <c r="D24" s="15" t="s">
        <v>171</v>
      </c>
      <c r="E24" s="15" t="s">
        <v>171</v>
      </c>
      <c r="F24" s="15" t="s">
        <v>19</v>
      </c>
      <c r="G24" s="15" t="s">
        <v>19</v>
      </c>
      <c r="H24" s="15" t="s">
        <v>171</v>
      </c>
      <c r="I24" s="15" t="s">
        <v>171</v>
      </c>
      <c r="J24" s="15" t="s">
        <v>19</v>
      </c>
      <c r="K24" s="15" t="s">
        <v>171</v>
      </c>
      <c r="L24" s="15" t="s">
        <v>171</v>
      </c>
      <c r="M24" s="15" t="s">
        <v>171</v>
      </c>
      <c r="N24" s="15" t="s">
        <v>19</v>
      </c>
      <c r="O24" s="15" t="s">
        <v>19</v>
      </c>
      <c r="P24" s="15" t="s">
        <v>171</v>
      </c>
      <c r="Q24" s="15" t="s">
        <v>171</v>
      </c>
      <c r="R24" s="15" t="s">
        <v>171</v>
      </c>
      <c r="S24" s="15" t="s">
        <v>171</v>
      </c>
      <c r="T24" s="15" t="s">
        <v>171</v>
      </c>
      <c r="U24" s="15" t="s">
        <v>19</v>
      </c>
      <c r="V24" s="15" t="s">
        <v>19</v>
      </c>
      <c r="W24" s="15" t="s">
        <v>171</v>
      </c>
    </row>
    <row r="25" customFormat="false" ht="15" hidden="false" customHeight="false" outlineLevel="0" collapsed="false">
      <c r="A25" s="10" t="s">
        <v>208</v>
      </c>
      <c r="B25" s="4" t="s">
        <v>209</v>
      </c>
      <c r="C25" s="15" t="s">
        <v>171</v>
      </c>
      <c r="D25" s="15" t="s">
        <v>171</v>
      </c>
      <c r="E25" s="15" t="s">
        <v>171</v>
      </c>
      <c r="F25" s="15" t="s">
        <v>171</v>
      </c>
      <c r="G25" s="15" t="s">
        <v>171</v>
      </c>
      <c r="H25" s="15" t="s">
        <v>171</v>
      </c>
      <c r="I25" s="15" t="s">
        <v>171</v>
      </c>
      <c r="J25" s="15" t="s">
        <v>171</v>
      </c>
      <c r="K25" s="15" t="s">
        <v>171</v>
      </c>
      <c r="L25" s="15" t="s">
        <v>171</v>
      </c>
      <c r="M25" s="15" t="s">
        <v>171</v>
      </c>
      <c r="N25" s="15" t="s">
        <v>171</v>
      </c>
      <c r="O25" s="15" t="s">
        <v>19</v>
      </c>
      <c r="P25" s="15" t="s">
        <v>171</v>
      </c>
      <c r="Q25" s="15" t="s">
        <v>171</v>
      </c>
      <c r="R25" s="15" t="s">
        <v>171</v>
      </c>
      <c r="S25" s="15" t="s">
        <v>171</v>
      </c>
      <c r="T25" s="15" t="s">
        <v>171</v>
      </c>
      <c r="U25" s="15" t="s">
        <v>19</v>
      </c>
      <c r="V25" s="15" t="s">
        <v>19</v>
      </c>
      <c r="W25" s="15" t="s">
        <v>171</v>
      </c>
    </row>
    <row r="26" customFormat="false" ht="15" hidden="false" customHeight="false" outlineLevel="0" collapsed="false">
      <c r="A26" s="10" t="s">
        <v>210</v>
      </c>
      <c r="B26" s="4" t="s">
        <v>211</v>
      </c>
      <c r="C26" s="15" t="s">
        <v>171</v>
      </c>
      <c r="D26" s="15" t="s">
        <v>171</v>
      </c>
      <c r="E26" s="15" t="s">
        <v>171</v>
      </c>
      <c r="F26" s="15" t="s">
        <v>19</v>
      </c>
      <c r="G26" s="15" t="s">
        <v>171</v>
      </c>
      <c r="H26" s="15" t="s">
        <v>171</v>
      </c>
      <c r="I26" s="15" t="s">
        <v>171</v>
      </c>
      <c r="J26" s="15" t="s">
        <v>19</v>
      </c>
      <c r="K26" s="15" t="s">
        <v>171</v>
      </c>
      <c r="L26" s="15" t="s">
        <v>171</v>
      </c>
      <c r="M26" s="15" t="s">
        <v>171</v>
      </c>
      <c r="N26" s="15" t="s">
        <v>171</v>
      </c>
      <c r="O26" s="15" t="s">
        <v>19</v>
      </c>
      <c r="P26" s="15" t="s">
        <v>171</v>
      </c>
      <c r="Q26" s="15" t="s">
        <v>171</v>
      </c>
      <c r="R26" s="15" t="s">
        <v>19</v>
      </c>
      <c r="S26" s="15" t="s">
        <v>171</v>
      </c>
      <c r="T26" s="15" t="s">
        <v>171</v>
      </c>
      <c r="U26" s="15" t="s">
        <v>171</v>
      </c>
      <c r="V26" s="15" t="s">
        <v>171</v>
      </c>
      <c r="W26" s="15" t="s">
        <v>171</v>
      </c>
    </row>
    <row r="27" customFormat="false" ht="15" hidden="false" customHeight="false" outlineLevel="0" collapsed="false">
      <c r="A27" s="10" t="s">
        <v>212</v>
      </c>
      <c r="B27" s="4" t="s">
        <v>213</v>
      </c>
      <c r="C27" s="15" t="s">
        <v>19</v>
      </c>
      <c r="D27" s="15" t="s">
        <v>19</v>
      </c>
      <c r="E27" s="15" t="s">
        <v>171</v>
      </c>
      <c r="F27" s="15" t="s">
        <v>171</v>
      </c>
      <c r="G27" s="15" t="s">
        <v>19</v>
      </c>
      <c r="H27" s="15" t="s">
        <v>19</v>
      </c>
      <c r="I27" s="15" t="s">
        <v>19</v>
      </c>
      <c r="J27" s="15" t="s">
        <v>19</v>
      </c>
      <c r="K27" s="15" t="s">
        <v>19</v>
      </c>
      <c r="L27" s="15" t="s">
        <v>171</v>
      </c>
      <c r="M27" s="15" t="s">
        <v>19</v>
      </c>
      <c r="N27" s="15" t="s">
        <v>19</v>
      </c>
      <c r="O27" s="15" t="s">
        <v>19</v>
      </c>
      <c r="P27" s="15" t="s">
        <v>19</v>
      </c>
      <c r="Q27" s="15" t="s">
        <v>19</v>
      </c>
      <c r="R27" s="15" t="s">
        <v>19</v>
      </c>
      <c r="S27" s="15" t="s">
        <v>19</v>
      </c>
      <c r="T27" s="15" t="s">
        <v>19</v>
      </c>
      <c r="U27" s="15" t="s">
        <v>19</v>
      </c>
      <c r="V27" s="15" t="s">
        <v>171</v>
      </c>
      <c r="W27" s="15" t="s">
        <v>20</v>
      </c>
    </row>
    <row r="28" customFormat="false" ht="15" hidden="false" customHeight="false" outlineLevel="0" collapsed="false">
      <c r="A28" s="10" t="s">
        <v>214</v>
      </c>
      <c r="B28" s="4" t="s">
        <v>215</v>
      </c>
      <c r="C28" s="15" t="s">
        <v>171</v>
      </c>
      <c r="D28" s="15" t="s">
        <v>171</v>
      </c>
      <c r="E28" s="15" t="s">
        <v>171</v>
      </c>
      <c r="F28" s="15" t="s">
        <v>171</v>
      </c>
      <c r="G28" s="15" t="s">
        <v>19</v>
      </c>
      <c r="H28" s="15" t="s">
        <v>171</v>
      </c>
      <c r="I28" s="15" t="s">
        <v>171</v>
      </c>
      <c r="J28" s="15" t="s">
        <v>19</v>
      </c>
      <c r="K28" s="15" t="s">
        <v>171</v>
      </c>
      <c r="L28" s="15" t="s">
        <v>19</v>
      </c>
      <c r="M28" s="15" t="s">
        <v>171</v>
      </c>
      <c r="N28" s="15" t="s">
        <v>171</v>
      </c>
      <c r="O28" s="15" t="s">
        <v>171</v>
      </c>
      <c r="P28" s="15" t="s">
        <v>19</v>
      </c>
      <c r="Q28" s="15" t="s">
        <v>19</v>
      </c>
      <c r="R28" s="15" t="s">
        <v>19</v>
      </c>
      <c r="S28" s="15" t="s">
        <v>171</v>
      </c>
      <c r="T28" s="15" t="s">
        <v>171</v>
      </c>
      <c r="U28" s="15" t="s">
        <v>171</v>
      </c>
      <c r="V28" s="15" t="s">
        <v>171</v>
      </c>
      <c r="W28" s="15" t="s">
        <v>171</v>
      </c>
    </row>
    <row r="29" customFormat="false" ht="15" hidden="false" customHeight="false" outlineLevel="0" collapsed="false">
      <c r="A29" s="10" t="s">
        <v>216</v>
      </c>
      <c r="B29" s="4" t="s">
        <v>217</v>
      </c>
      <c r="C29" s="15" t="s">
        <v>19</v>
      </c>
      <c r="D29" s="15" t="s">
        <v>171</v>
      </c>
      <c r="E29" s="15" t="s">
        <v>19</v>
      </c>
      <c r="F29" s="15" t="s">
        <v>19</v>
      </c>
      <c r="G29" s="15" t="s">
        <v>19</v>
      </c>
      <c r="H29" s="15" t="s">
        <v>19</v>
      </c>
      <c r="I29" s="15" t="s">
        <v>19</v>
      </c>
      <c r="J29" s="15" t="s">
        <v>19</v>
      </c>
      <c r="K29" s="15" t="s">
        <v>19</v>
      </c>
      <c r="L29" s="15" t="s">
        <v>19</v>
      </c>
      <c r="M29" s="15" t="s">
        <v>19</v>
      </c>
      <c r="N29" s="15" t="s">
        <v>19</v>
      </c>
      <c r="O29" s="15" t="s">
        <v>19</v>
      </c>
      <c r="P29" s="15" t="s">
        <v>19</v>
      </c>
      <c r="Q29" s="15" t="s">
        <v>19</v>
      </c>
      <c r="R29" s="15" t="s">
        <v>171</v>
      </c>
      <c r="S29" s="15" t="s">
        <v>19</v>
      </c>
      <c r="T29" s="15" t="s">
        <v>19</v>
      </c>
      <c r="U29" s="15" t="s">
        <v>19</v>
      </c>
      <c r="V29" s="15" t="s">
        <v>19</v>
      </c>
      <c r="W29" s="15" t="s">
        <v>19</v>
      </c>
    </row>
    <row r="30" customFormat="false" ht="15" hidden="false" customHeight="false" outlineLevel="0" collapsed="false">
      <c r="A30" s="10" t="s">
        <v>218</v>
      </c>
      <c r="B30" s="4" t="s">
        <v>219</v>
      </c>
      <c r="C30" s="15" t="s">
        <v>171</v>
      </c>
      <c r="D30" s="15" t="s">
        <v>171</v>
      </c>
      <c r="E30" s="15" t="s">
        <v>171</v>
      </c>
      <c r="F30" s="15" t="s">
        <v>171</v>
      </c>
      <c r="G30" s="15" t="s">
        <v>19</v>
      </c>
      <c r="H30" s="15" t="s">
        <v>19</v>
      </c>
      <c r="I30" s="15" t="s">
        <v>171</v>
      </c>
      <c r="J30" s="15" t="s">
        <v>19</v>
      </c>
      <c r="K30" s="15" t="s">
        <v>171</v>
      </c>
      <c r="L30" s="15" t="s">
        <v>171</v>
      </c>
      <c r="M30" s="15" t="s">
        <v>171</v>
      </c>
      <c r="N30" s="15" t="s">
        <v>171</v>
      </c>
      <c r="O30" s="15" t="s">
        <v>19</v>
      </c>
      <c r="P30" s="15" t="s">
        <v>19</v>
      </c>
      <c r="Q30" s="15" t="s">
        <v>171</v>
      </c>
      <c r="R30" s="15" t="s">
        <v>171</v>
      </c>
      <c r="S30" s="15" t="s">
        <v>171</v>
      </c>
      <c r="T30" s="15" t="s">
        <v>171</v>
      </c>
      <c r="U30" s="15" t="s">
        <v>19</v>
      </c>
      <c r="V30" s="15" t="s">
        <v>19</v>
      </c>
      <c r="W30" s="15" t="s">
        <v>171</v>
      </c>
    </row>
    <row r="31" customFormat="false" ht="15" hidden="false" customHeight="false" outlineLevel="0" collapsed="false">
      <c r="A31" s="10" t="s">
        <v>220</v>
      </c>
      <c r="B31" s="4" t="s">
        <v>221</v>
      </c>
      <c r="C31" s="15" t="s">
        <v>19</v>
      </c>
      <c r="D31" s="15" t="s">
        <v>19</v>
      </c>
      <c r="E31" s="15" t="s">
        <v>19</v>
      </c>
      <c r="F31" s="15" t="s">
        <v>19</v>
      </c>
      <c r="G31" s="15" t="s">
        <v>20</v>
      </c>
      <c r="H31" s="15" t="s">
        <v>20</v>
      </c>
      <c r="I31" s="15" t="s">
        <v>19</v>
      </c>
      <c r="J31" s="15" t="s">
        <v>19</v>
      </c>
      <c r="K31" s="15" t="s">
        <v>20</v>
      </c>
      <c r="L31" s="15" t="s">
        <v>19</v>
      </c>
      <c r="M31" s="15" t="s">
        <v>19</v>
      </c>
      <c r="N31" s="15" t="s">
        <v>19</v>
      </c>
      <c r="O31" s="15" t="s">
        <v>19</v>
      </c>
      <c r="P31" s="15" t="s">
        <v>19</v>
      </c>
      <c r="Q31" s="15" t="s">
        <v>19</v>
      </c>
      <c r="R31" s="15" t="s">
        <v>19</v>
      </c>
      <c r="S31" s="15" t="s">
        <v>20</v>
      </c>
      <c r="T31" s="15" t="s">
        <v>20</v>
      </c>
      <c r="U31" s="15" t="s">
        <v>20</v>
      </c>
      <c r="V31" s="15" t="s">
        <v>20</v>
      </c>
      <c r="W31" s="15" t="s">
        <v>20</v>
      </c>
    </row>
    <row r="32" customFormat="false" ht="15" hidden="false" customHeight="false" outlineLevel="0" collapsed="false">
      <c r="A32" s="10" t="s">
        <v>222</v>
      </c>
      <c r="B32" s="4" t="s">
        <v>223</v>
      </c>
      <c r="C32" s="15" t="s">
        <v>19</v>
      </c>
      <c r="D32" s="15" t="s">
        <v>20</v>
      </c>
      <c r="E32" s="15" t="s">
        <v>19</v>
      </c>
      <c r="F32" s="15" t="s">
        <v>19</v>
      </c>
      <c r="G32" s="15" t="s">
        <v>19</v>
      </c>
      <c r="H32" s="15" t="s">
        <v>19</v>
      </c>
      <c r="I32" s="15" t="s">
        <v>19</v>
      </c>
      <c r="J32" s="15" t="s">
        <v>19</v>
      </c>
      <c r="K32" s="15" t="s">
        <v>19</v>
      </c>
      <c r="L32" s="15" t="s">
        <v>19</v>
      </c>
      <c r="M32" s="15" t="s">
        <v>19</v>
      </c>
      <c r="N32" s="15" t="s">
        <v>19</v>
      </c>
      <c r="O32" s="15" t="s">
        <v>20</v>
      </c>
      <c r="P32" s="15" t="s">
        <v>20</v>
      </c>
      <c r="Q32" s="15" t="s">
        <v>20</v>
      </c>
      <c r="R32" s="15" t="s">
        <v>20</v>
      </c>
      <c r="S32" s="15" t="s">
        <v>20</v>
      </c>
      <c r="T32" s="15" t="s">
        <v>20</v>
      </c>
      <c r="U32" s="15" t="s">
        <v>20</v>
      </c>
      <c r="V32" s="15" t="s">
        <v>20</v>
      </c>
      <c r="W32" s="15" t="s">
        <v>20</v>
      </c>
    </row>
    <row r="33" customFormat="false" ht="15" hidden="false" customHeight="false" outlineLevel="0" collapsed="false">
      <c r="A33" s="10" t="s">
        <v>224</v>
      </c>
      <c r="B33" s="4" t="s">
        <v>225</v>
      </c>
      <c r="C33" s="15" t="s">
        <v>19</v>
      </c>
      <c r="D33" s="15" t="s">
        <v>19</v>
      </c>
      <c r="E33" s="15" t="s">
        <v>19</v>
      </c>
      <c r="F33" s="15" t="s">
        <v>19</v>
      </c>
      <c r="G33" s="15" t="s">
        <v>20</v>
      </c>
      <c r="H33" s="15" t="s">
        <v>20</v>
      </c>
      <c r="I33" s="15" t="s">
        <v>19</v>
      </c>
      <c r="J33" s="15" t="s">
        <v>19</v>
      </c>
      <c r="K33" s="15" t="s">
        <v>19</v>
      </c>
      <c r="L33" s="15" t="s">
        <v>19</v>
      </c>
      <c r="M33" s="15" t="s">
        <v>19</v>
      </c>
      <c r="N33" s="15" t="s">
        <v>19</v>
      </c>
      <c r="O33" s="15" t="s">
        <v>19</v>
      </c>
      <c r="P33" s="15" t="s">
        <v>19</v>
      </c>
      <c r="Q33" s="15" t="s">
        <v>19</v>
      </c>
      <c r="R33" s="15" t="s">
        <v>19</v>
      </c>
      <c r="S33" s="15" t="s">
        <v>19</v>
      </c>
      <c r="T33" s="15" t="s">
        <v>19</v>
      </c>
      <c r="U33" s="15" t="s">
        <v>19</v>
      </c>
      <c r="V33" s="15" t="s">
        <v>19</v>
      </c>
      <c r="W33" s="15" t="s">
        <v>19</v>
      </c>
    </row>
    <row r="34" customFormat="false" ht="15" hidden="false" customHeight="false" outlineLevel="0" collapsed="false">
      <c r="A34" s="10" t="s">
        <v>226</v>
      </c>
      <c r="B34" s="4" t="s">
        <v>227</v>
      </c>
      <c r="C34" s="15" t="s">
        <v>19</v>
      </c>
      <c r="D34" s="15" t="s">
        <v>19</v>
      </c>
      <c r="E34" s="15" t="s">
        <v>19</v>
      </c>
      <c r="F34" s="15" t="s">
        <v>19</v>
      </c>
      <c r="G34" s="15" t="s">
        <v>19</v>
      </c>
      <c r="H34" s="15" t="s">
        <v>19</v>
      </c>
      <c r="I34" s="15" t="s">
        <v>19</v>
      </c>
      <c r="J34" s="15" t="s">
        <v>19</v>
      </c>
      <c r="K34" s="15" t="s">
        <v>19</v>
      </c>
      <c r="L34" s="15" t="s">
        <v>19</v>
      </c>
      <c r="M34" s="15" t="s">
        <v>171</v>
      </c>
      <c r="N34" s="15" t="s">
        <v>19</v>
      </c>
      <c r="O34" s="15" t="s">
        <v>20</v>
      </c>
      <c r="P34" s="15" t="s">
        <v>19</v>
      </c>
      <c r="Q34" s="15" t="s">
        <v>19</v>
      </c>
      <c r="R34" s="15" t="s">
        <v>19</v>
      </c>
      <c r="S34" s="15" t="s">
        <v>171</v>
      </c>
      <c r="T34" s="15" t="s">
        <v>171</v>
      </c>
      <c r="U34" s="15" t="s">
        <v>20</v>
      </c>
      <c r="V34" s="15" t="s">
        <v>20</v>
      </c>
      <c r="W34" s="15" t="s">
        <v>19</v>
      </c>
    </row>
    <row r="35" customFormat="false" ht="15" hidden="false" customHeight="false" outlineLevel="0" collapsed="false">
      <c r="A35" s="10" t="s">
        <v>228</v>
      </c>
      <c r="B35" s="4" t="s">
        <v>229</v>
      </c>
      <c r="C35" s="15" t="s">
        <v>171</v>
      </c>
      <c r="D35" s="15" t="s">
        <v>171</v>
      </c>
      <c r="E35" s="15" t="s">
        <v>171</v>
      </c>
      <c r="F35" s="15" t="s">
        <v>171</v>
      </c>
      <c r="G35" s="15" t="s">
        <v>171</v>
      </c>
      <c r="H35" s="15" t="s">
        <v>171</v>
      </c>
      <c r="I35" s="15" t="s">
        <v>171</v>
      </c>
      <c r="J35" s="15" t="s">
        <v>171</v>
      </c>
      <c r="K35" s="15" t="s">
        <v>171</v>
      </c>
      <c r="L35" s="15" t="s">
        <v>171</v>
      </c>
      <c r="M35" s="15" t="s">
        <v>171</v>
      </c>
      <c r="N35" s="15" t="s">
        <v>19</v>
      </c>
      <c r="O35" s="15" t="s">
        <v>19</v>
      </c>
      <c r="P35" s="15" t="s">
        <v>171</v>
      </c>
      <c r="Q35" s="15" t="s">
        <v>171</v>
      </c>
      <c r="R35" s="15" t="s">
        <v>171</v>
      </c>
      <c r="S35" s="15" t="s">
        <v>171</v>
      </c>
      <c r="T35" s="15" t="s">
        <v>171</v>
      </c>
      <c r="U35" s="15" t="s">
        <v>19</v>
      </c>
      <c r="V35" s="15" t="s">
        <v>19</v>
      </c>
      <c r="W35" s="15" t="s">
        <v>171</v>
      </c>
    </row>
    <row r="36" customFormat="false" ht="15" hidden="false" customHeight="false" outlineLevel="0" collapsed="false">
      <c r="A36" s="10" t="s">
        <v>230</v>
      </c>
      <c r="B36" s="4" t="s">
        <v>231</v>
      </c>
      <c r="C36" s="15" t="s">
        <v>171</v>
      </c>
      <c r="D36" s="15" t="s">
        <v>19</v>
      </c>
      <c r="E36" s="15" t="s">
        <v>19</v>
      </c>
      <c r="F36" s="15" t="s">
        <v>171</v>
      </c>
      <c r="G36" s="15" t="s">
        <v>20</v>
      </c>
      <c r="H36" s="15" t="s">
        <v>19</v>
      </c>
      <c r="I36" s="15" t="s">
        <v>19</v>
      </c>
      <c r="J36" s="15" t="s">
        <v>19</v>
      </c>
      <c r="K36" s="15" t="s">
        <v>19</v>
      </c>
      <c r="L36" s="15" t="s">
        <v>171</v>
      </c>
      <c r="M36" s="15" t="s">
        <v>19</v>
      </c>
      <c r="N36" s="15" t="s">
        <v>171</v>
      </c>
      <c r="O36" s="15" t="s">
        <v>171</v>
      </c>
      <c r="P36" s="15" t="s">
        <v>171</v>
      </c>
      <c r="Q36" s="15" t="s">
        <v>171</v>
      </c>
      <c r="R36" s="15" t="s">
        <v>20</v>
      </c>
      <c r="S36" s="15" t="s">
        <v>171</v>
      </c>
      <c r="T36" s="15" t="s">
        <v>19</v>
      </c>
      <c r="U36" s="15" t="s">
        <v>171</v>
      </c>
      <c r="V36" s="15" t="s">
        <v>171</v>
      </c>
      <c r="W36" s="15" t="s">
        <v>19</v>
      </c>
    </row>
    <row r="37" customFormat="false" ht="15" hidden="false" customHeight="false" outlineLevel="0" collapsed="false">
      <c r="A37" s="10" t="s">
        <v>232</v>
      </c>
      <c r="B37" s="4" t="s">
        <v>233</v>
      </c>
      <c r="C37" s="15" t="s">
        <v>171</v>
      </c>
      <c r="D37" s="15" t="s">
        <v>19</v>
      </c>
      <c r="E37" s="15" t="s">
        <v>171</v>
      </c>
      <c r="F37" s="15" t="s">
        <v>171</v>
      </c>
      <c r="G37" s="15" t="s">
        <v>171</v>
      </c>
      <c r="H37" s="15" t="s">
        <v>20</v>
      </c>
      <c r="I37" s="15" t="s">
        <v>19</v>
      </c>
      <c r="J37" s="15" t="s">
        <v>19</v>
      </c>
      <c r="K37" s="15" t="s">
        <v>171</v>
      </c>
      <c r="L37" s="15" t="s">
        <v>171</v>
      </c>
      <c r="M37" s="15" t="s">
        <v>171</v>
      </c>
      <c r="N37" s="15" t="s">
        <v>171</v>
      </c>
      <c r="O37" s="15" t="s">
        <v>19</v>
      </c>
      <c r="P37" s="15" t="s">
        <v>19</v>
      </c>
      <c r="Q37" s="15" t="s">
        <v>19</v>
      </c>
      <c r="R37" s="15" t="s">
        <v>171</v>
      </c>
      <c r="S37" s="15" t="s">
        <v>19</v>
      </c>
      <c r="T37" s="15" t="s">
        <v>171</v>
      </c>
      <c r="U37" s="15" t="s">
        <v>20</v>
      </c>
      <c r="V37" s="15" t="s">
        <v>20</v>
      </c>
      <c r="W37" s="15" t="s">
        <v>171</v>
      </c>
    </row>
    <row r="38" customFormat="false" ht="15" hidden="false" customHeight="false" outlineLevel="0" collapsed="false">
      <c r="A38" s="10" t="s">
        <v>234</v>
      </c>
      <c r="B38" s="4" t="s">
        <v>235</v>
      </c>
      <c r="C38" s="15" t="s">
        <v>19</v>
      </c>
      <c r="D38" s="15" t="s">
        <v>19</v>
      </c>
      <c r="E38" s="15" t="s">
        <v>171</v>
      </c>
      <c r="F38" s="15" t="s">
        <v>19</v>
      </c>
      <c r="G38" s="15" t="s">
        <v>19</v>
      </c>
      <c r="H38" s="15" t="s">
        <v>19</v>
      </c>
      <c r="I38" s="15" t="s">
        <v>19</v>
      </c>
      <c r="J38" s="15" t="s">
        <v>19</v>
      </c>
      <c r="K38" s="15" t="s">
        <v>19</v>
      </c>
      <c r="L38" s="15" t="s">
        <v>19</v>
      </c>
      <c r="M38" s="15" t="s">
        <v>19</v>
      </c>
      <c r="N38" s="15" t="s">
        <v>171</v>
      </c>
      <c r="O38" s="15" t="s">
        <v>19</v>
      </c>
      <c r="P38" s="15" t="s">
        <v>171</v>
      </c>
      <c r="Q38" s="15" t="s">
        <v>171</v>
      </c>
      <c r="R38" s="15" t="s">
        <v>19</v>
      </c>
      <c r="S38" s="15" t="s">
        <v>171</v>
      </c>
      <c r="T38" s="15" t="s">
        <v>171</v>
      </c>
      <c r="U38" s="15" t="s">
        <v>20</v>
      </c>
      <c r="V38" s="15" t="s">
        <v>20</v>
      </c>
      <c r="W38" s="15" t="s">
        <v>171</v>
      </c>
    </row>
    <row r="39" customFormat="false" ht="15" hidden="false" customHeight="false" outlineLevel="0" collapsed="false">
      <c r="A39" s="10" t="s">
        <v>236</v>
      </c>
      <c r="B39" s="4" t="s">
        <v>237</v>
      </c>
      <c r="C39" s="15" t="s">
        <v>19</v>
      </c>
      <c r="D39" s="15" t="s">
        <v>171</v>
      </c>
      <c r="E39" s="15" t="s">
        <v>19</v>
      </c>
      <c r="F39" s="15" t="s">
        <v>19</v>
      </c>
      <c r="G39" s="15" t="s">
        <v>19</v>
      </c>
      <c r="H39" s="15" t="s">
        <v>171</v>
      </c>
      <c r="I39" s="15" t="s">
        <v>19</v>
      </c>
      <c r="J39" s="15" t="s">
        <v>19</v>
      </c>
      <c r="K39" s="15" t="s">
        <v>19</v>
      </c>
      <c r="L39" s="15" t="s">
        <v>19</v>
      </c>
      <c r="M39" s="15" t="s">
        <v>19</v>
      </c>
      <c r="N39" s="15" t="s">
        <v>19</v>
      </c>
      <c r="O39" s="15" t="s">
        <v>19</v>
      </c>
      <c r="P39" s="15" t="s">
        <v>171</v>
      </c>
      <c r="Q39" s="15" t="s">
        <v>19</v>
      </c>
      <c r="R39" s="15" t="s">
        <v>19</v>
      </c>
      <c r="S39" s="15" t="s">
        <v>171</v>
      </c>
      <c r="T39" s="15" t="s">
        <v>171</v>
      </c>
      <c r="U39" s="15" t="s">
        <v>19</v>
      </c>
      <c r="V39" s="15" t="s">
        <v>19</v>
      </c>
      <c r="W39" s="15" t="s">
        <v>19</v>
      </c>
    </row>
    <row r="40" customFormat="false" ht="15" hidden="false" customHeight="false" outlineLevel="0" collapsed="false">
      <c r="A40" s="10" t="s">
        <v>238</v>
      </c>
      <c r="B40" s="4" t="s">
        <v>239</v>
      </c>
      <c r="C40" s="15" t="s">
        <v>171</v>
      </c>
      <c r="D40" s="15" t="s">
        <v>19</v>
      </c>
      <c r="E40" s="15" t="s">
        <v>19</v>
      </c>
      <c r="F40" s="15" t="s">
        <v>19</v>
      </c>
      <c r="G40" s="15" t="s">
        <v>19</v>
      </c>
      <c r="H40" s="15" t="s">
        <v>19</v>
      </c>
      <c r="I40" s="15" t="s">
        <v>171</v>
      </c>
      <c r="J40" s="15" t="s">
        <v>171</v>
      </c>
      <c r="K40" s="15" t="s">
        <v>19</v>
      </c>
      <c r="L40" s="15" t="s">
        <v>20</v>
      </c>
      <c r="M40" s="15" t="s">
        <v>171</v>
      </c>
      <c r="N40" s="15" t="s">
        <v>19</v>
      </c>
      <c r="O40" s="15" t="s">
        <v>19</v>
      </c>
      <c r="P40" s="15" t="s">
        <v>19</v>
      </c>
      <c r="Q40" s="15" t="s">
        <v>19</v>
      </c>
      <c r="R40" s="15" t="s">
        <v>171</v>
      </c>
      <c r="S40" s="15" t="s">
        <v>19</v>
      </c>
      <c r="T40" s="15" t="s">
        <v>19</v>
      </c>
      <c r="U40" s="15" t="s">
        <v>19</v>
      </c>
      <c r="V40" s="15" t="s">
        <v>19</v>
      </c>
      <c r="W40" s="15" t="s">
        <v>19</v>
      </c>
    </row>
    <row r="42" customFormat="false" ht="15" hidden="false" customHeight="false" outlineLevel="0" collapsed="false">
      <c r="B42" s="10" t="s">
        <v>240</v>
      </c>
      <c r="C42" s="18" t="n">
        <f aca="false">COUNTIF(C4:C40,"OK")</f>
        <v>13</v>
      </c>
      <c r="D42" s="18" t="n">
        <f aca="false">COUNTIF(D4:D40,"OK")</f>
        <v>14</v>
      </c>
      <c r="E42" s="18" t="n">
        <f aca="false">COUNTIF(E4:E40,"OK")</f>
        <v>15</v>
      </c>
      <c r="F42" s="18" t="n">
        <f aca="false">COUNTIF(F4:F40,"OK")</f>
        <v>12</v>
      </c>
      <c r="G42" s="18" t="n">
        <f aca="false">COUNTIF(G4:G40,"OK")</f>
        <v>7</v>
      </c>
      <c r="H42" s="18" t="n">
        <f aca="false">COUNTIF(H4:H40,"OK")</f>
        <v>13</v>
      </c>
      <c r="I42" s="18" t="n">
        <f aca="false">COUNTIF(I4:I40,"OK")</f>
        <v>13</v>
      </c>
      <c r="J42" s="18" t="n">
        <f aca="false">COUNTIF(J4:J40,"OK")</f>
        <v>7</v>
      </c>
      <c r="K42" s="18" t="n">
        <f aca="false">COUNTIF(K4:K40,"OK")</f>
        <v>13</v>
      </c>
      <c r="L42" s="18" t="n">
        <f aca="false">COUNTIF(L4:L40,"OK")</f>
        <v>14</v>
      </c>
      <c r="M42" s="18" t="n">
        <f aca="false">COUNTIF(M4:M40,"OK")</f>
        <v>16</v>
      </c>
      <c r="N42" s="18" t="n">
        <f aca="false">COUNTIF(N4:N40,"OK")</f>
        <v>14</v>
      </c>
      <c r="O42" s="18" t="n">
        <f aca="false">COUNTIF(O4:O40,"OK")</f>
        <v>3</v>
      </c>
      <c r="P42" s="18" t="n">
        <f aca="false">COUNTIF(P4:P40,"OK")</f>
        <v>12</v>
      </c>
      <c r="Q42" s="18" t="n">
        <f aca="false">COUNTIF(Q4:Q40,"OK")</f>
        <v>13</v>
      </c>
      <c r="R42" s="18" t="n">
        <f aca="false">COUNTIF(R4:R40,"OK")</f>
        <v>12</v>
      </c>
      <c r="S42" s="18" t="n">
        <f aca="false">COUNTIF(S4:S40,"OK")</f>
        <v>17</v>
      </c>
      <c r="T42" s="18" t="n">
        <f aca="false">COUNTIF(T4:T40,"OK")</f>
        <v>18</v>
      </c>
      <c r="U42" s="18" t="n">
        <f aca="false">COUNTIF(U4:U40,"OK")</f>
        <v>3</v>
      </c>
      <c r="V42" s="18" t="n">
        <f aca="false">COUNTIF(V4:V40,"OK")</f>
        <v>4</v>
      </c>
      <c r="W42" s="18" t="n">
        <f aca="false">COUNTIF(W4:W40,"OK")</f>
        <v>16</v>
      </c>
    </row>
    <row r="43" customFormat="false" ht="15" hidden="false" customHeight="false" outlineLevel="0" collapsed="false">
      <c r="B43" s="10" t="s">
        <v>241</v>
      </c>
      <c r="C43" s="18" t="n">
        <f aca="false">COUNTIF(C4:C40,"PARCIAL")</f>
        <v>21</v>
      </c>
      <c r="D43" s="18" t="n">
        <f aca="false">COUNTIF(D4:D40,"PARCIAL")</f>
        <v>19</v>
      </c>
      <c r="E43" s="18" t="n">
        <f aca="false">COUNTIF(E4:E40,"PARCIAL")</f>
        <v>18</v>
      </c>
      <c r="F43" s="18" t="n">
        <f aca="false">COUNTIF(F4:F40,"PARCIAL")</f>
        <v>21</v>
      </c>
      <c r="G43" s="18" t="n">
        <f aca="false">COUNTIF(G4:G40,"PARCIAL")</f>
        <v>21</v>
      </c>
      <c r="H43" s="18" t="n">
        <f aca="false">COUNTIF(H4:H40,"PARCIAL")</f>
        <v>18</v>
      </c>
      <c r="I43" s="18" t="n">
        <f aca="false">COUNTIF(I4:I40,"PARCIAL")</f>
        <v>21</v>
      </c>
      <c r="J43" s="18" t="n">
        <f aca="false">COUNTIF(J4:J40,"PARCIAL")</f>
        <v>28</v>
      </c>
      <c r="K43" s="18" t="n">
        <f aca="false">COUNTIF(K4:K40,"PARCIAL")</f>
        <v>20</v>
      </c>
      <c r="L43" s="18" t="n">
        <f aca="false">COUNTIF(L4:L40,"PARCIAL")</f>
        <v>19</v>
      </c>
      <c r="M43" s="18" t="n">
        <f aca="false">COUNTIF(M4:M40,"PARCIAL")</f>
        <v>19</v>
      </c>
      <c r="N43" s="18" t="n">
        <f aca="false">COUNTIF(N4:N40,"PARCIAL")</f>
        <v>21</v>
      </c>
      <c r="O43" s="18" t="n">
        <f aca="false">COUNTIF(O4:O40,"PARCIAL")</f>
        <v>28</v>
      </c>
      <c r="P43" s="18" t="n">
        <f aca="false">COUNTIF(P4:P40,"PARCIAL")</f>
        <v>20</v>
      </c>
      <c r="Q43" s="18" t="n">
        <f aca="false">COUNTIF(Q4:Q40,"PARCIAL")</f>
        <v>19</v>
      </c>
      <c r="R43" s="18" t="n">
        <f aca="false">COUNTIF(R4:R40,"PARCIAL")</f>
        <v>18</v>
      </c>
      <c r="S43" s="18" t="n">
        <f aca="false">COUNTIF(S4:S40,"PARCIAL")</f>
        <v>15</v>
      </c>
      <c r="T43" s="18" t="n">
        <f aca="false">COUNTIF(T4:T40,"PARCIAL")</f>
        <v>13</v>
      </c>
      <c r="U43" s="18" t="n">
        <f aca="false">COUNTIF(U4:U40,"PARCIAL")</f>
        <v>25</v>
      </c>
      <c r="V43" s="18" t="n">
        <f aca="false">COUNTIF(V4:V40,"PARCIAL")</f>
        <v>23</v>
      </c>
      <c r="W43" s="18" t="n">
        <f aca="false">COUNTIF(W4:W40,"PARCIAL")</f>
        <v>13</v>
      </c>
    </row>
    <row r="44" customFormat="false" ht="15" hidden="false" customHeight="false" outlineLevel="0" collapsed="false">
      <c r="B44" s="10" t="s">
        <v>242</v>
      </c>
      <c r="C44" s="18" t="n">
        <f aca="false">COUNTIF(C4:C40,"AUSENTE")</f>
        <v>3</v>
      </c>
      <c r="D44" s="18" t="n">
        <f aca="false">COUNTIF(D4:D40,"AUSENTE")</f>
        <v>4</v>
      </c>
      <c r="E44" s="18" t="n">
        <f aca="false">COUNTIF(E4:E40,"AUSENTE")</f>
        <v>4</v>
      </c>
      <c r="F44" s="18" t="n">
        <f aca="false">COUNTIF(F4:F40,"AUSENTE")</f>
        <v>4</v>
      </c>
      <c r="G44" s="18" t="n">
        <f aca="false">COUNTIF(G4:G40,"AUSENTE")</f>
        <v>9</v>
      </c>
      <c r="H44" s="18" t="n">
        <f aca="false">COUNTIF(H4:H40,"AUSENTE")</f>
        <v>6</v>
      </c>
      <c r="I44" s="18" t="n">
        <f aca="false">COUNTIF(I4:I40,"AUSENTE")</f>
        <v>3</v>
      </c>
      <c r="J44" s="18" t="n">
        <f aca="false">COUNTIF(J4:J40,"AUSENTE")</f>
        <v>2</v>
      </c>
      <c r="K44" s="18" t="n">
        <f aca="false">COUNTIF(K4:K40,"AUSENTE")</f>
        <v>4</v>
      </c>
      <c r="L44" s="18" t="n">
        <f aca="false">COUNTIF(L4:L40,"AUSENTE")</f>
        <v>4</v>
      </c>
      <c r="M44" s="18" t="n">
        <f aca="false">COUNTIF(M4:M40,"AUSENTE")</f>
        <v>2</v>
      </c>
      <c r="N44" s="18" t="n">
        <f aca="false">COUNTIF(N4:N40,"AUSENTE")</f>
        <v>2</v>
      </c>
      <c r="O44" s="18" t="n">
        <f aca="false">COUNTIF(O4:O40,"AUSENTE")</f>
        <v>6</v>
      </c>
      <c r="P44" s="18" t="n">
        <f aca="false">COUNTIF(P4:P40,"AUSENTE")</f>
        <v>5</v>
      </c>
      <c r="Q44" s="18" t="n">
        <f aca="false">COUNTIF(Q4:Q40,"AUSENTE")</f>
        <v>5</v>
      </c>
      <c r="R44" s="18" t="n">
        <f aca="false">COUNTIF(R4:R40,"AUSENTE")</f>
        <v>7</v>
      </c>
      <c r="S44" s="18" t="n">
        <f aca="false">COUNTIF(S4:S40,"AUSENTE")</f>
        <v>5</v>
      </c>
      <c r="T44" s="18" t="n">
        <f aca="false">COUNTIF(T4:T40,"AUSENTE")</f>
        <v>6</v>
      </c>
      <c r="U44" s="18" t="n">
        <f aca="false">COUNTIF(U4:U40,"AUSENTE")</f>
        <v>9</v>
      </c>
      <c r="V44" s="18" t="n">
        <f aca="false">COUNTIF(V4:V40,"AUSENTE")</f>
        <v>10</v>
      </c>
      <c r="W44" s="18" t="n">
        <f aca="false">COUNTIF(W4:W40,"AUSENTE")</f>
        <v>8</v>
      </c>
    </row>
  </sheetData>
  <conditionalFormatting sqref="C4:W40">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ISNUMBER(SEARCH("EXCEDE",C4))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7"/>
    <col collapsed="false" customWidth="true" hidden="false" outlineLevel="0" max="4" min="4" style="0" width="40"/>
    <col collapsed="false" customWidth="true" hidden="false" outlineLevel="0" max="5" min="5" style="0" width="10"/>
    <col collapsed="false" customWidth="true" hidden="false" outlineLevel="0" max="7" min="6" style="0" width="65"/>
  </cols>
  <sheetData>
    <row r="1" customFormat="false" ht="17.35" hidden="false" customHeight="false" outlineLevel="0" collapsed="false">
      <c r="A1" s="1" t="s">
        <v>243</v>
      </c>
    </row>
    <row r="3" customFormat="false" ht="23.85" hidden="false" customHeight="false" outlineLevel="0" collapsed="false">
      <c r="A3" s="3" t="s">
        <v>3</v>
      </c>
      <c r="B3" s="3" t="s">
        <v>244</v>
      </c>
      <c r="C3" s="3" t="s">
        <v>163</v>
      </c>
      <c r="D3" s="3" t="s">
        <v>245</v>
      </c>
      <c r="E3" s="3" t="s">
        <v>22</v>
      </c>
      <c r="F3" s="3" t="s">
        <v>246</v>
      </c>
      <c r="G3" s="3" t="s">
        <v>247</v>
      </c>
    </row>
    <row r="4" customFormat="false" ht="68.65" hidden="false" customHeight="false" outlineLevel="0" collapsed="false">
      <c r="A4" s="4" t="s">
        <v>248</v>
      </c>
      <c r="B4" s="4" t="s">
        <v>249</v>
      </c>
      <c r="C4" s="4" t="s">
        <v>165</v>
      </c>
      <c r="D4" s="4" t="s">
        <v>166</v>
      </c>
      <c r="E4" s="4" t="s">
        <v>19</v>
      </c>
      <c r="F4" s="4" t="s">
        <v>250</v>
      </c>
      <c r="G4" s="4" t="s">
        <v>251</v>
      </c>
    </row>
    <row r="5" customFormat="false" ht="35.05" hidden="false" customHeight="false" outlineLevel="0" collapsed="false">
      <c r="A5" s="4" t="s">
        <v>248</v>
      </c>
      <c r="B5" s="4" t="s">
        <v>249</v>
      </c>
      <c r="C5" s="4" t="s">
        <v>167</v>
      </c>
      <c r="D5" s="4" t="s">
        <v>168</v>
      </c>
      <c r="E5" s="4" t="s">
        <v>19</v>
      </c>
      <c r="F5" s="4" t="s">
        <v>252</v>
      </c>
      <c r="G5" s="4" t="s">
        <v>253</v>
      </c>
    </row>
    <row r="6" customFormat="false" ht="23.85" hidden="false" customHeight="false" outlineLevel="0" collapsed="false">
      <c r="A6" s="4" t="s">
        <v>248</v>
      </c>
      <c r="B6" s="4" t="s">
        <v>249</v>
      </c>
      <c r="C6" s="4" t="s">
        <v>169</v>
      </c>
      <c r="D6" s="4" t="s">
        <v>170</v>
      </c>
      <c r="E6" s="4" t="s">
        <v>171</v>
      </c>
      <c r="F6" s="4" t="s">
        <v>254</v>
      </c>
      <c r="G6" s="4" t="s">
        <v>255</v>
      </c>
    </row>
    <row r="7" customFormat="false" ht="23.85" hidden="false" customHeight="false" outlineLevel="0" collapsed="false">
      <c r="A7" s="4" t="s">
        <v>248</v>
      </c>
      <c r="B7" s="4" t="s">
        <v>249</v>
      </c>
      <c r="C7" s="4" t="s">
        <v>172</v>
      </c>
      <c r="D7" s="4" t="s">
        <v>173</v>
      </c>
      <c r="E7" s="4" t="s">
        <v>19</v>
      </c>
      <c r="F7" s="4" t="s">
        <v>256</v>
      </c>
      <c r="G7" s="4" t="s">
        <v>257</v>
      </c>
    </row>
    <row r="8" customFormat="false" ht="35.05" hidden="false" customHeight="false" outlineLevel="0" collapsed="false">
      <c r="A8" s="4" t="s">
        <v>248</v>
      </c>
      <c r="B8" s="4" t="s">
        <v>249</v>
      </c>
      <c r="C8" s="4" t="s">
        <v>174</v>
      </c>
      <c r="D8" s="4" t="s">
        <v>175</v>
      </c>
      <c r="E8" s="4" t="s">
        <v>19</v>
      </c>
      <c r="F8" s="4" t="s">
        <v>258</v>
      </c>
      <c r="G8" s="4" t="s">
        <v>259</v>
      </c>
    </row>
    <row r="9" customFormat="false" ht="46.25" hidden="false" customHeight="false" outlineLevel="0" collapsed="false">
      <c r="A9" s="4" t="s">
        <v>248</v>
      </c>
      <c r="B9" s="4" t="s">
        <v>249</v>
      </c>
      <c r="C9" s="4" t="s">
        <v>176</v>
      </c>
      <c r="D9" s="4" t="s">
        <v>177</v>
      </c>
      <c r="E9" s="4" t="s">
        <v>19</v>
      </c>
      <c r="F9" s="4" t="s">
        <v>260</v>
      </c>
      <c r="G9" s="4" t="s">
        <v>261</v>
      </c>
    </row>
    <row r="10" customFormat="false" ht="23.85" hidden="false" customHeight="false" outlineLevel="0" collapsed="false">
      <c r="A10" s="4" t="s">
        <v>248</v>
      </c>
      <c r="B10" s="4" t="s">
        <v>249</v>
      </c>
      <c r="C10" s="4" t="s">
        <v>178</v>
      </c>
      <c r="D10" s="4" t="s">
        <v>179</v>
      </c>
      <c r="E10" s="4" t="s">
        <v>171</v>
      </c>
      <c r="F10" s="4" t="s">
        <v>262</v>
      </c>
      <c r="G10" s="4" t="s">
        <v>263</v>
      </c>
    </row>
    <row r="11" customFormat="false" ht="23.85" hidden="false" customHeight="false" outlineLevel="0" collapsed="false">
      <c r="A11" s="4" t="s">
        <v>248</v>
      </c>
      <c r="B11" s="4" t="s">
        <v>249</v>
      </c>
      <c r="C11" s="4" t="s">
        <v>180</v>
      </c>
      <c r="D11" s="4" t="s">
        <v>181</v>
      </c>
      <c r="E11" s="4" t="s">
        <v>19</v>
      </c>
      <c r="F11" s="4" t="s">
        <v>264</v>
      </c>
      <c r="G11" s="4" t="s">
        <v>265</v>
      </c>
    </row>
    <row r="12" customFormat="false" ht="23.85" hidden="false" customHeight="false" outlineLevel="0" collapsed="false">
      <c r="A12" s="4" t="s">
        <v>248</v>
      </c>
      <c r="B12" s="4" t="s">
        <v>249</v>
      </c>
      <c r="C12" s="4" t="s">
        <v>182</v>
      </c>
      <c r="D12" s="4" t="s">
        <v>183</v>
      </c>
      <c r="E12" s="4" t="s">
        <v>171</v>
      </c>
      <c r="F12" s="4" t="s">
        <v>266</v>
      </c>
      <c r="G12" s="4" t="s">
        <v>267</v>
      </c>
    </row>
    <row r="13" customFormat="false" ht="35.05" hidden="false" customHeight="false" outlineLevel="0" collapsed="false">
      <c r="A13" s="4" t="s">
        <v>248</v>
      </c>
      <c r="B13" s="4" t="s">
        <v>249</v>
      </c>
      <c r="C13" s="4" t="s">
        <v>184</v>
      </c>
      <c r="D13" s="4" t="s">
        <v>185</v>
      </c>
      <c r="E13" s="4" t="s">
        <v>19</v>
      </c>
      <c r="F13" s="4" t="s">
        <v>268</v>
      </c>
      <c r="G13" s="4" t="s">
        <v>269</v>
      </c>
    </row>
    <row r="14" customFormat="false" ht="23.85" hidden="false" customHeight="false" outlineLevel="0" collapsed="false">
      <c r="A14" s="4" t="s">
        <v>248</v>
      </c>
      <c r="B14" s="4" t="s">
        <v>249</v>
      </c>
      <c r="C14" s="4" t="s">
        <v>186</v>
      </c>
      <c r="D14" s="4" t="s">
        <v>187</v>
      </c>
      <c r="E14" s="4" t="s">
        <v>19</v>
      </c>
      <c r="F14" s="4" t="s">
        <v>270</v>
      </c>
      <c r="G14" s="4" t="s">
        <v>271</v>
      </c>
    </row>
    <row r="15" customFormat="false" ht="35.05" hidden="false" customHeight="false" outlineLevel="0" collapsed="false">
      <c r="A15" s="4" t="s">
        <v>248</v>
      </c>
      <c r="B15" s="4" t="s">
        <v>249</v>
      </c>
      <c r="C15" s="4" t="s">
        <v>188</v>
      </c>
      <c r="D15" s="4" t="s">
        <v>189</v>
      </c>
      <c r="E15" s="4" t="s">
        <v>20</v>
      </c>
      <c r="F15" s="4" t="s">
        <v>272</v>
      </c>
      <c r="G15" s="4" t="s">
        <v>273</v>
      </c>
    </row>
    <row r="16" customFormat="false" ht="35.05" hidden="false" customHeight="false" outlineLevel="0" collapsed="false">
      <c r="A16" s="4" t="s">
        <v>248</v>
      </c>
      <c r="B16" s="4" t="s">
        <v>249</v>
      </c>
      <c r="C16" s="4" t="s">
        <v>190</v>
      </c>
      <c r="D16" s="4" t="s">
        <v>191</v>
      </c>
      <c r="E16" s="4" t="s">
        <v>19</v>
      </c>
      <c r="F16" s="4" t="s">
        <v>274</v>
      </c>
      <c r="G16" s="4" t="s">
        <v>275</v>
      </c>
    </row>
    <row r="17" customFormat="false" ht="35.05" hidden="false" customHeight="false" outlineLevel="0" collapsed="false">
      <c r="A17" s="4" t="s">
        <v>248</v>
      </c>
      <c r="B17" s="4" t="s">
        <v>249</v>
      </c>
      <c r="C17" s="4" t="s">
        <v>192</v>
      </c>
      <c r="D17" s="4" t="s">
        <v>193</v>
      </c>
      <c r="E17" s="4" t="s">
        <v>171</v>
      </c>
      <c r="F17" s="4" t="s">
        <v>276</v>
      </c>
      <c r="G17" s="4" t="s">
        <v>277</v>
      </c>
    </row>
    <row r="18" customFormat="false" ht="23.85" hidden="false" customHeight="false" outlineLevel="0" collapsed="false">
      <c r="A18" s="4" t="s">
        <v>248</v>
      </c>
      <c r="B18" s="4" t="s">
        <v>249</v>
      </c>
      <c r="C18" s="4" t="s">
        <v>194</v>
      </c>
      <c r="D18" s="4" t="s">
        <v>195</v>
      </c>
      <c r="E18" s="4" t="s">
        <v>19</v>
      </c>
      <c r="F18" s="4" t="s">
        <v>278</v>
      </c>
      <c r="G18" s="4" t="s">
        <v>279</v>
      </c>
    </row>
    <row r="19" customFormat="false" ht="23.85" hidden="false" customHeight="false" outlineLevel="0" collapsed="false">
      <c r="A19" s="4" t="s">
        <v>248</v>
      </c>
      <c r="B19" s="4" t="s">
        <v>249</v>
      </c>
      <c r="C19" s="4" t="s">
        <v>196</v>
      </c>
      <c r="D19" s="4" t="s">
        <v>197</v>
      </c>
      <c r="E19" s="4" t="s">
        <v>19</v>
      </c>
      <c r="F19" s="4" t="s">
        <v>280</v>
      </c>
      <c r="G19" s="4" t="s">
        <v>281</v>
      </c>
    </row>
    <row r="20" customFormat="false" ht="35.05" hidden="false" customHeight="false" outlineLevel="0" collapsed="false">
      <c r="A20" s="4" t="s">
        <v>248</v>
      </c>
      <c r="B20" s="4" t="s">
        <v>249</v>
      </c>
      <c r="C20" s="4" t="s">
        <v>198</v>
      </c>
      <c r="D20" s="4" t="s">
        <v>199</v>
      </c>
      <c r="E20" s="4" t="s">
        <v>19</v>
      </c>
      <c r="F20" s="4" t="s">
        <v>282</v>
      </c>
      <c r="G20" s="4" t="s">
        <v>283</v>
      </c>
    </row>
    <row r="21" customFormat="false" ht="23.85" hidden="false" customHeight="false" outlineLevel="0" collapsed="false">
      <c r="A21" s="4" t="s">
        <v>248</v>
      </c>
      <c r="B21" s="4" t="s">
        <v>249</v>
      </c>
      <c r="C21" s="4" t="s">
        <v>200</v>
      </c>
      <c r="D21" s="4" t="s">
        <v>201</v>
      </c>
      <c r="E21" s="4" t="s">
        <v>20</v>
      </c>
      <c r="F21" s="4" t="s">
        <v>284</v>
      </c>
      <c r="G21" s="4" t="s">
        <v>285</v>
      </c>
    </row>
    <row r="22" customFormat="false" ht="23.85" hidden="false" customHeight="false" outlineLevel="0" collapsed="false">
      <c r="A22" s="4" t="s">
        <v>248</v>
      </c>
      <c r="B22" s="4" t="s">
        <v>249</v>
      </c>
      <c r="C22" s="4" t="s">
        <v>202</v>
      </c>
      <c r="D22" s="4" t="s">
        <v>203</v>
      </c>
      <c r="E22" s="4" t="s">
        <v>19</v>
      </c>
      <c r="F22" s="4" t="s">
        <v>286</v>
      </c>
      <c r="G22" s="4" t="s">
        <v>287</v>
      </c>
    </row>
    <row r="23" customFormat="false" ht="57.45" hidden="false" customHeight="false" outlineLevel="0" collapsed="false">
      <c r="A23" s="4" t="s">
        <v>248</v>
      </c>
      <c r="B23" s="4" t="s">
        <v>249</v>
      </c>
      <c r="C23" s="4" t="s">
        <v>204</v>
      </c>
      <c r="D23" s="4" t="s">
        <v>205</v>
      </c>
      <c r="E23" s="4" t="s">
        <v>20</v>
      </c>
      <c r="F23" s="4" t="s">
        <v>288</v>
      </c>
      <c r="G23" s="4" t="s">
        <v>289</v>
      </c>
    </row>
    <row r="24" customFormat="false" ht="23.85" hidden="false" customHeight="false" outlineLevel="0" collapsed="false">
      <c r="A24" s="4" t="s">
        <v>248</v>
      </c>
      <c r="B24" s="4" t="s">
        <v>249</v>
      </c>
      <c r="C24" s="4" t="s">
        <v>206</v>
      </c>
      <c r="D24" s="4" t="s">
        <v>207</v>
      </c>
      <c r="E24" s="4" t="s">
        <v>171</v>
      </c>
      <c r="F24" s="4" t="s">
        <v>290</v>
      </c>
      <c r="G24" s="4" t="s">
        <v>291</v>
      </c>
    </row>
    <row r="25" customFormat="false" ht="23.85" hidden="false" customHeight="false" outlineLevel="0" collapsed="false">
      <c r="A25" s="4" t="s">
        <v>248</v>
      </c>
      <c r="B25" s="4" t="s">
        <v>292</v>
      </c>
      <c r="C25" s="4" t="s">
        <v>208</v>
      </c>
      <c r="D25" s="4" t="s">
        <v>209</v>
      </c>
      <c r="E25" s="4" t="s">
        <v>171</v>
      </c>
      <c r="F25" s="4" t="s">
        <v>293</v>
      </c>
      <c r="G25" s="4" t="s">
        <v>277</v>
      </c>
    </row>
    <row r="26" customFormat="false" ht="23.85" hidden="false" customHeight="false" outlineLevel="0" collapsed="false">
      <c r="A26" s="4" t="s">
        <v>248</v>
      </c>
      <c r="B26" s="4" t="s">
        <v>292</v>
      </c>
      <c r="C26" s="4" t="s">
        <v>210</v>
      </c>
      <c r="D26" s="4" t="s">
        <v>211</v>
      </c>
      <c r="E26" s="4" t="s">
        <v>171</v>
      </c>
      <c r="F26" s="4" t="s">
        <v>294</v>
      </c>
      <c r="G26" s="4" t="s">
        <v>277</v>
      </c>
    </row>
    <row r="27" customFormat="false" ht="23.85" hidden="false" customHeight="false" outlineLevel="0" collapsed="false">
      <c r="A27" s="4" t="s">
        <v>248</v>
      </c>
      <c r="B27" s="4" t="s">
        <v>292</v>
      </c>
      <c r="C27" s="4" t="s">
        <v>212</v>
      </c>
      <c r="D27" s="4" t="s">
        <v>213</v>
      </c>
      <c r="E27" s="4" t="s">
        <v>19</v>
      </c>
      <c r="F27" s="4" t="s">
        <v>295</v>
      </c>
      <c r="G27" s="4" t="s">
        <v>296</v>
      </c>
    </row>
    <row r="28" customFormat="false" ht="23.85" hidden="false" customHeight="false" outlineLevel="0" collapsed="false">
      <c r="A28" s="4" t="s">
        <v>248</v>
      </c>
      <c r="B28" s="4" t="s">
        <v>292</v>
      </c>
      <c r="C28" s="4" t="s">
        <v>214</v>
      </c>
      <c r="D28" s="4" t="s">
        <v>215</v>
      </c>
      <c r="E28" s="4" t="s">
        <v>171</v>
      </c>
      <c r="F28" s="4" t="s">
        <v>297</v>
      </c>
      <c r="G28" s="4" t="s">
        <v>298</v>
      </c>
    </row>
    <row r="29" customFormat="false" ht="23.85" hidden="false" customHeight="false" outlineLevel="0" collapsed="false">
      <c r="A29" s="4" t="s">
        <v>248</v>
      </c>
      <c r="B29" s="4" t="s">
        <v>292</v>
      </c>
      <c r="C29" s="4" t="s">
        <v>216</v>
      </c>
      <c r="D29" s="4" t="s">
        <v>217</v>
      </c>
      <c r="E29" s="4" t="s">
        <v>19</v>
      </c>
      <c r="F29" s="4" t="s">
        <v>299</v>
      </c>
      <c r="G29" s="4" t="s">
        <v>300</v>
      </c>
    </row>
    <row r="30" customFormat="false" ht="23.85" hidden="false" customHeight="false" outlineLevel="0" collapsed="false">
      <c r="A30" s="4" t="s">
        <v>248</v>
      </c>
      <c r="B30" s="4" t="s">
        <v>292</v>
      </c>
      <c r="C30" s="4" t="s">
        <v>218</v>
      </c>
      <c r="D30" s="4" t="s">
        <v>219</v>
      </c>
      <c r="E30" s="4" t="s">
        <v>171</v>
      </c>
      <c r="F30" s="4" t="s">
        <v>301</v>
      </c>
      <c r="G30" s="4" t="s">
        <v>302</v>
      </c>
    </row>
    <row r="31" customFormat="false" ht="23.85" hidden="false" customHeight="false" outlineLevel="0" collapsed="false">
      <c r="A31" s="4" t="s">
        <v>248</v>
      </c>
      <c r="B31" s="4" t="s">
        <v>292</v>
      </c>
      <c r="C31" s="4" t="s">
        <v>220</v>
      </c>
      <c r="D31" s="4" t="s">
        <v>221</v>
      </c>
      <c r="E31" s="4" t="s">
        <v>19</v>
      </c>
      <c r="F31" s="4" t="s">
        <v>303</v>
      </c>
      <c r="G31" s="4" t="s">
        <v>304</v>
      </c>
    </row>
    <row r="32" customFormat="false" ht="35.05" hidden="false" customHeight="false" outlineLevel="0" collapsed="false">
      <c r="A32" s="4" t="s">
        <v>248</v>
      </c>
      <c r="B32" s="4" t="s">
        <v>292</v>
      </c>
      <c r="C32" s="4" t="s">
        <v>222</v>
      </c>
      <c r="D32" s="4" t="s">
        <v>223</v>
      </c>
      <c r="E32" s="4" t="s">
        <v>19</v>
      </c>
      <c r="F32" s="4" t="s">
        <v>305</v>
      </c>
      <c r="G32" s="4" t="s">
        <v>306</v>
      </c>
    </row>
    <row r="33" customFormat="false" ht="23.85" hidden="false" customHeight="false" outlineLevel="0" collapsed="false">
      <c r="A33" s="4" t="s">
        <v>248</v>
      </c>
      <c r="B33" s="4" t="s">
        <v>292</v>
      </c>
      <c r="C33" s="4" t="s">
        <v>224</v>
      </c>
      <c r="D33" s="4" t="s">
        <v>225</v>
      </c>
      <c r="E33" s="4" t="s">
        <v>19</v>
      </c>
      <c r="F33" s="4" t="s">
        <v>307</v>
      </c>
      <c r="G33" s="4" t="s">
        <v>308</v>
      </c>
    </row>
    <row r="34" customFormat="false" ht="23.85" hidden="false" customHeight="false" outlineLevel="0" collapsed="false">
      <c r="A34" s="4" t="s">
        <v>248</v>
      </c>
      <c r="B34" s="4" t="s">
        <v>292</v>
      </c>
      <c r="C34" s="4" t="s">
        <v>226</v>
      </c>
      <c r="D34" s="4" t="s">
        <v>227</v>
      </c>
      <c r="E34" s="4" t="s">
        <v>19</v>
      </c>
      <c r="F34" s="4" t="s">
        <v>309</v>
      </c>
      <c r="G34" s="4" t="s">
        <v>310</v>
      </c>
    </row>
    <row r="35" customFormat="false" ht="23.85" hidden="false" customHeight="false" outlineLevel="0" collapsed="false">
      <c r="A35" s="4" t="s">
        <v>248</v>
      </c>
      <c r="B35" s="4" t="s">
        <v>292</v>
      </c>
      <c r="C35" s="4" t="s">
        <v>228</v>
      </c>
      <c r="D35" s="4" t="s">
        <v>229</v>
      </c>
      <c r="E35" s="4" t="s">
        <v>171</v>
      </c>
      <c r="F35" s="4" t="s">
        <v>311</v>
      </c>
      <c r="G35" s="4" t="s">
        <v>312</v>
      </c>
    </row>
    <row r="36" customFormat="false" ht="35.05" hidden="false" customHeight="false" outlineLevel="0" collapsed="false">
      <c r="A36" s="4" t="s">
        <v>248</v>
      </c>
      <c r="B36" s="4" t="s">
        <v>313</v>
      </c>
      <c r="C36" s="4" t="s">
        <v>230</v>
      </c>
      <c r="D36" s="4" t="s">
        <v>314</v>
      </c>
      <c r="E36" s="4" t="s">
        <v>171</v>
      </c>
      <c r="F36" s="4" t="s">
        <v>315</v>
      </c>
      <c r="G36" s="4" t="s">
        <v>316</v>
      </c>
    </row>
    <row r="37" customFormat="false" ht="35.05" hidden="false" customHeight="false" outlineLevel="0" collapsed="false">
      <c r="A37" s="4" t="s">
        <v>248</v>
      </c>
      <c r="B37" s="4" t="s">
        <v>313</v>
      </c>
      <c r="C37" s="4" t="s">
        <v>232</v>
      </c>
      <c r="D37" s="4" t="s">
        <v>317</v>
      </c>
      <c r="E37" s="4" t="s">
        <v>171</v>
      </c>
      <c r="F37" s="4" t="s">
        <v>318</v>
      </c>
      <c r="G37" s="4" t="s">
        <v>319</v>
      </c>
    </row>
    <row r="38" customFormat="false" ht="23.85" hidden="false" customHeight="false" outlineLevel="0" collapsed="false">
      <c r="A38" s="4" t="s">
        <v>248</v>
      </c>
      <c r="B38" s="4" t="s">
        <v>313</v>
      </c>
      <c r="C38" s="4" t="s">
        <v>234</v>
      </c>
      <c r="D38" s="4" t="s">
        <v>320</v>
      </c>
      <c r="E38" s="4" t="s">
        <v>19</v>
      </c>
      <c r="F38" s="4" t="s">
        <v>321</v>
      </c>
      <c r="G38" s="4" t="s">
        <v>322</v>
      </c>
    </row>
    <row r="39" customFormat="false" ht="35.05" hidden="false" customHeight="false" outlineLevel="0" collapsed="false">
      <c r="A39" s="4" t="s">
        <v>248</v>
      </c>
      <c r="B39" s="4" t="s">
        <v>313</v>
      </c>
      <c r="C39" s="4" t="s">
        <v>236</v>
      </c>
      <c r="D39" s="4" t="s">
        <v>323</v>
      </c>
      <c r="E39" s="4" t="s">
        <v>19</v>
      </c>
      <c r="F39" s="4" t="s">
        <v>324</v>
      </c>
      <c r="G39" s="4" t="s">
        <v>325</v>
      </c>
    </row>
    <row r="40" customFormat="false" ht="46.25" hidden="false" customHeight="false" outlineLevel="0" collapsed="false">
      <c r="A40" s="4" t="s">
        <v>248</v>
      </c>
      <c r="B40" s="4" t="s">
        <v>313</v>
      </c>
      <c r="C40" s="4" t="s">
        <v>238</v>
      </c>
      <c r="D40" s="4" t="s">
        <v>326</v>
      </c>
      <c r="E40" s="4" t="s">
        <v>171</v>
      </c>
      <c r="F40" s="4" t="s">
        <v>327</v>
      </c>
      <c r="G40" s="4" t="s">
        <v>328</v>
      </c>
    </row>
    <row r="41" customFormat="false" ht="23.85" hidden="false" customHeight="false" outlineLevel="0" collapsed="false">
      <c r="A41" s="4" t="s">
        <v>248</v>
      </c>
      <c r="B41" s="4" t="s">
        <v>329</v>
      </c>
      <c r="C41" s="4"/>
      <c r="D41" s="4" t="s">
        <v>330</v>
      </c>
      <c r="E41" s="4" t="s">
        <v>171</v>
      </c>
      <c r="F41" s="4" t="s">
        <v>331</v>
      </c>
      <c r="G41" s="4"/>
    </row>
    <row r="42" customFormat="false" ht="35.05" hidden="false" customHeight="false" outlineLevel="0" collapsed="false">
      <c r="A42" s="4" t="s">
        <v>248</v>
      </c>
      <c r="B42" s="4" t="s">
        <v>329</v>
      </c>
      <c r="C42" s="4"/>
      <c r="D42" s="4" t="s">
        <v>332</v>
      </c>
      <c r="E42" s="4" t="s">
        <v>333</v>
      </c>
      <c r="F42" s="4" t="s">
        <v>334</v>
      </c>
      <c r="G42" s="4"/>
    </row>
    <row r="43" customFormat="false" ht="23.85" hidden="false" customHeight="false" outlineLevel="0" collapsed="false">
      <c r="A43" s="4" t="s">
        <v>248</v>
      </c>
      <c r="B43" s="4" t="s">
        <v>329</v>
      </c>
      <c r="C43" s="4"/>
      <c r="D43" s="4" t="s">
        <v>335</v>
      </c>
      <c r="E43" s="4" t="s">
        <v>333</v>
      </c>
      <c r="F43" s="4" t="s">
        <v>336</v>
      </c>
      <c r="G43" s="4"/>
    </row>
    <row r="44" customFormat="false" ht="35.05" hidden="false" customHeight="false" outlineLevel="0" collapsed="false">
      <c r="A44" s="4" t="s">
        <v>248</v>
      </c>
      <c r="B44" s="4" t="s">
        <v>329</v>
      </c>
      <c r="C44" s="4"/>
      <c r="D44" s="4" t="s">
        <v>337</v>
      </c>
      <c r="E44" s="4" t="s">
        <v>333</v>
      </c>
      <c r="F44" s="4" t="s">
        <v>338</v>
      </c>
      <c r="G44" s="4"/>
    </row>
    <row r="45" customFormat="false" ht="46.25" hidden="false" customHeight="false" outlineLevel="0" collapsed="false">
      <c r="A45" s="4" t="s">
        <v>248</v>
      </c>
      <c r="B45" s="4" t="s">
        <v>329</v>
      </c>
      <c r="C45" s="4"/>
      <c r="D45" s="4" t="s">
        <v>339</v>
      </c>
      <c r="E45" s="4" t="s">
        <v>333</v>
      </c>
      <c r="F45" s="4" t="s">
        <v>340</v>
      </c>
      <c r="G45" s="4"/>
    </row>
    <row r="46" customFormat="false" ht="35.05" hidden="false" customHeight="false" outlineLevel="0" collapsed="false">
      <c r="A46" s="4" t="s">
        <v>248</v>
      </c>
      <c r="B46" s="4" t="s">
        <v>329</v>
      </c>
      <c r="C46" s="4"/>
      <c r="D46" s="4" t="s">
        <v>341</v>
      </c>
      <c r="E46" s="4" t="s">
        <v>333</v>
      </c>
      <c r="F46" s="4" t="s">
        <v>342</v>
      </c>
      <c r="G46" s="4"/>
    </row>
    <row r="47" customFormat="false" ht="23.85" hidden="false" customHeight="false" outlineLevel="0" collapsed="false">
      <c r="A47" s="4" t="s">
        <v>248</v>
      </c>
      <c r="B47" s="4" t="s">
        <v>329</v>
      </c>
      <c r="C47" s="4"/>
      <c r="D47" s="4" t="s">
        <v>343</v>
      </c>
      <c r="E47" s="4" t="s">
        <v>171</v>
      </c>
      <c r="F47" s="4" t="s">
        <v>344</v>
      </c>
      <c r="G47" s="4"/>
    </row>
    <row r="48" customFormat="false" ht="23.85" hidden="false" customHeight="false" outlineLevel="0" collapsed="false">
      <c r="A48" s="4" t="s">
        <v>248</v>
      </c>
      <c r="B48" s="4" t="s">
        <v>329</v>
      </c>
      <c r="C48" s="4"/>
      <c r="D48" s="4" t="s">
        <v>345</v>
      </c>
      <c r="E48" s="4" t="s">
        <v>171</v>
      </c>
      <c r="F48" s="4" t="s">
        <v>346</v>
      </c>
      <c r="G48" s="4"/>
    </row>
    <row r="49" customFormat="false" ht="23.85" hidden="false" customHeight="false" outlineLevel="0" collapsed="false">
      <c r="A49" s="4" t="s">
        <v>248</v>
      </c>
      <c r="B49" s="4" t="s">
        <v>329</v>
      </c>
      <c r="C49" s="4"/>
      <c r="D49" s="4" t="s">
        <v>347</v>
      </c>
      <c r="E49" s="4" t="s">
        <v>171</v>
      </c>
      <c r="F49" s="4" t="s">
        <v>348</v>
      </c>
      <c r="G49" s="4"/>
    </row>
    <row r="50" customFormat="false" ht="23.85" hidden="false" customHeight="false" outlineLevel="0" collapsed="false">
      <c r="A50" s="4" t="s">
        <v>248</v>
      </c>
      <c r="B50" s="4" t="s">
        <v>329</v>
      </c>
      <c r="C50" s="4"/>
      <c r="D50" s="4" t="s">
        <v>349</v>
      </c>
      <c r="E50" s="4" t="s">
        <v>333</v>
      </c>
      <c r="F50" s="4" t="s">
        <v>350</v>
      </c>
      <c r="G50" s="4"/>
    </row>
    <row r="51" customFormat="false" ht="23.85" hidden="false" customHeight="false" outlineLevel="0" collapsed="false">
      <c r="A51" s="4" t="s">
        <v>248</v>
      </c>
      <c r="B51" s="4" t="s">
        <v>329</v>
      </c>
      <c r="C51" s="4"/>
      <c r="D51" s="4" t="s">
        <v>351</v>
      </c>
      <c r="E51" s="4" t="s">
        <v>333</v>
      </c>
      <c r="F51" s="4" t="s">
        <v>352</v>
      </c>
      <c r="G51" s="4"/>
    </row>
    <row r="52" customFormat="false" ht="23.85" hidden="false" customHeight="false" outlineLevel="0" collapsed="false">
      <c r="A52" s="4" t="s">
        <v>248</v>
      </c>
      <c r="B52" s="4" t="s">
        <v>329</v>
      </c>
      <c r="C52" s="4"/>
      <c r="D52" s="4" t="s">
        <v>353</v>
      </c>
      <c r="E52" s="4" t="s">
        <v>333</v>
      </c>
      <c r="F52" s="4" t="s">
        <v>354</v>
      </c>
      <c r="G52" s="4"/>
    </row>
    <row r="53" customFormat="false" ht="23.85" hidden="false" customHeight="false" outlineLevel="0" collapsed="false">
      <c r="A53" s="4" t="s">
        <v>248</v>
      </c>
      <c r="B53" s="4" t="s">
        <v>329</v>
      </c>
      <c r="C53" s="4"/>
      <c r="D53" s="4" t="s">
        <v>355</v>
      </c>
      <c r="E53" s="4" t="s">
        <v>333</v>
      </c>
      <c r="F53" s="4" t="s">
        <v>356</v>
      </c>
      <c r="G53" s="4"/>
    </row>
    <row r="54" customFormat="false" ht="23.85" hidden="false" customHeight="false" outlineLevel="0" collapsed="false">
      <c r="A54" s="4" t="s">
        <v>248</v>
      </c>
      <c r="B54" s="4" t="s">
        <v>329</v>
      </c>
      <c r="C54" s="4"/>
      <c r="D54" s="4" t="s">
        <v>357</v>
      </c>
      <c r="E54" s="4" t="s">
        <v>333</v>
      </c>
      <c r="F54" s="4" t="s">
        <v>358</v>
      </c>
      <c r="G54" s="4"/>
    </row>
    <row r="55" customFormat="false" ht="35.05" hidden="false" customHeight="false" outlineLevel="0" collapsed="false">
      <c r="A55" s="4" t="s">
        <v>359</v>
      </c>
      <c r="B55" s="4" t="s">
        <v>249</v>
      </c>
      <c r="C55" s="4" t="s">
        <v>165</v>
      </c>
      <c r="D55" s="4" t="s">
        <v>166</v>
      </c>
      <c r="E55" s="4" t="s">
        <v>19</v>
      </c>
      <c r="F55" s="4" t="s">
        <v>360</v>
      </c>
      <c r="G55" s="4" t="s">
        <v>361</v>
      </c>
    </row>
    <row r="56" customFormat="false" ht="15" hidden="false" customHeight="false" outlineLevel="0" collapsed="false">
      <c r="A56" s="4" t="s">
        <v>359</v>
      </c>
      <c r="B56" s="4" t="s">
        <v>249</v>
      </c>
      <c r="C56" s="4" t="s">
        <v>167</v>
      </c>
      <c r="D56" s="4" t="s">
        <v>168</v>
      </c>
      <c r="E56" s="4" t="s">
        <v>19</v>
      </c>
      <c r="F56" s="4" t="s">
        <v>362</v>
      </c>
      <c r="G56" s="4" t="s">
        <v>363</v>
      </c>
    </row>
    <row r="57" customFormat="false" ht="15" hidden="false" customHeight="false" outlineLevel="0" collapsed="false">
      <c r="A57" s="4" t="s">
        <v>359</v>
      </c>
      <c r="B57" s="4" t="s">
        <v>249</v>
      </c>
      <c r="C57" s="4" t="s">
        <v>169</v>
      </c>
      <c r="D57" s="4" t="s">
        <v>170</v>
      </c>
      <c r="E57" s="4" t="s">
        <v>171</v>
      </c>
      <c r="F57" s="4" t="s">
        <v>364</v>
      </c>
      <c r="G57" s="4" t="s">
        <v>277</v>
      </c>
    </row>
    <row r="58" customFormat="false" ht="23.85" hidden="false" customHeight="false" outlineLevel="0" collapsed="false">
      <c r="A58" s="4" t="s">
        <v>359</v>
      </c>
      <c r="B58" s="4" t="s">
        <v>249</v>
      </c>
      <c r="C58" s="4" t="s">
        <v>172</v>
      </c>
      <c r="D58" s="4" t="s">
        <v>365</v>
      </c>
      <c r="E58" s="4" t="s">
        <v>171</v>
      </c>
      <c r="F58" s="4" t="s">
        <v>366</v>
      </c>
      <c r="G58" s="4" t="s">
        <v>367</v>
      </c>
    </row>
    <row r="59" customFormat="false" ht="23.85" hidden="false" customHeight="false" outlineLevel="0" collapsed="false">
      <c r="A59" s="4" t="s">
        <v>359</v>
      </c>
      <c r="B59" s="4" t="s">
        <v>249</v>
      </c>
      <c r="C59" s="4" t="s">
        <v>174</v>
      </c>
      <c r="D59" s="4" t="s">
        <v>368</v>
      </c>
      <c r="E59" s="4" t="s">
        <v>19</v>
      </c>
      <c r="F59" s="4" t="s">
        <v>369</v>
      </c>
      <c r="G59" s="4" t="s">
        <v>370</v>
      </c>
    </row>
    <row r="60" customFormat="false" ht="23.85" hidden="false" customHeight="false" outlineLevel="0" collapsed="false">
      <c r="A60" s="4" t="s">
        <v>359</v>
      </c>
      <c r="B60" s="4" t="s">
        <v>249</v>
      </c>
      <c r="C60" s="4" t="s">
        <v>176</v>
      </c>
      <c r="D60" s="4" t="s">
        <v>371</v>
      </c>
      <c r="E60" s="4" t="s">
        <v>19</v>
      </c>
      <c r="F60" s="4" t="s">
        <v>372</v>
      </c>
      <c r="G60" s="4" t="s">
        <v>373</v>
      </c>
    </row>
    <row r="61" customFormat="false" ht="23.85" hidden="false" customHeight="false" outlineLevel="0" collapsed="false">
      <c r="A61" s="4" t="s">
        <v>359</v>
      </c>
      <c r="B61" s="4" t="s">
        <v>249</v>
      </c>
      <c r="C61" s="4" t="s">
        <v>178</v>
      </c>
      <c r="D61" s="4" t="s">
        <v>374</v>
      </c>
      <c r="E61" s="4" t="s">
        <v>171</v>
      </c>
      <c r="F61" s="4" t="s">
        <v>375</v>
      </c>
      <c r="G61" s="4" t="s">
        <v>376</v>
      </c>
    </row>
    <row r="62" customFormat="false" ht="23.85" hidden="false" customHeight="false" outlineLevel="0" collapsed="false">
      <c r="A62" s="4" t="s">
        <v>359</v>
      </c>
      <c r="B62" s="4" t="s">
        <v>249</v>
      </c>
      <c r="C62" s="4" t="s">
        <v>180</v>
      </c>
      <c r="D62" s="4" t="s">
        <v>181</v>
      </c>
      <c r="E62" s="4" t="s">
        <v>19</v>
      </c>
      <c r="F62" s="4" t="s">
        <v>377</v>
      </c>
      <c r="G62" s="4" t="s">
        <v>378</v>
      </c>
    </row>
    <row r="63" customFormat="false" ht="15" hidden="false" customHeight="false" outlineLevel="0" collapsed="false">
      <c r="A63" s="4" t="s">
        <v>359</v>
      </c>
      <c r="B63" s="4" t="s">
        <v>249</v>
      </c>
      <c r="C63" s="4" t="s">
        <v>182</v>
      </c>
      <c r="D63" s="4" t="s">
        <v>183</v>
      </c>
      <c r="E63" s="4" t="s">
        <v>171</v>
      </c>
      <c r="F63" s="4" t="s">
        <v>379</v>
      </c>
      <c r="G63" s="4" t="s">
        <v>277</v>
      </c>
    </row>
    <row r="64" customFormat="false" ht="23.85" hidden="false" customHeight="false" outlineLevel="0" collapsed="false">
      <c r="A64" s="4" t="s">
        <v>359</v>
      </c>
      <c r="B64" s="4" t="s">
        <v>249</v>
      </c>
      <c r="C64" s="4" t="s">
        <v>184</v>
      </c>
      <c r="D64" s="4" t="s">
        <v>185</v>
      </c>
      <c r="E64" s="4" t="s">
        <v>20</v>
      </c>
      <c r="F64" s="4" t="s">
        <v>380</v>
      </c>
      <c r="G64" s="4" t="s">
        <v>381</v>
      </c>
    </row>
    <row r="65" customFormat="false" ht="15" hidden="false" customHeight="false" outlineLevel="0" collapsed="false">
      <c r="A65" s="4" t="s">
        <v>359</v>
      </c>
      <c r="B65" s="4" t="s">
        <v>249</v>
      </c>
      <c r="C65" s="4" t="s">
        <v>186</v>
      </c>
      <c r="D65" s="4" t="s">
        <v>382</v>
      </c>
      <c r="E65" s="4" t="s">
        <v>19</v>
      </c>
      <c r="F65" s="4" t="s">
        <v>383</v>
      </c>
      <c r="G65" s="4" t="s">
        <v>384</v>
      </c>
    </row>
    <row r="66" customFormat="false" ht="23.85" hidden="false" customHeight="false" outlineLevel="0" collapsed="false">
      <c r="A66" s="4" t="s">
        <v>359</v>
      </c>
      <c r="B66" s="4" t="s">
        <v>249</v>
      </c>
      <c r="C66" s="4" t="s">
        <v>188</v>
      </c>
      <c r="D66" s="4" t="s">
        <v>189</v>
      </c>
      <c r="E66" s="4" t="s">
        <v>171</v>
      </c>
      <c r="F66" s="4" t="s">
        <v>385</v>
      </c>
      <c r="G66" s="4" t="s">
        <v>386</v>
      </c>
    </row>
    <row r="67" customFormat="false" ht="23.85" hidden="false" customHeight="false" outlineLevel="0" collapsed="false">
      <c r="A67" s="4" t="s">
        <v>359</v>
      </c>
      <c r="B67" s="4" t="s">
        <v>249</v>
      </c>
      <c r="C67" s="4" t="s">
        <v>190</v>
      </c>
      <c r="D67" s="4" t="s">
        <v>191</v>
      </c>
      <c r="E67" s="4" t="s">
        <v>19</v>
      </c>
      <c r="F67" s="4" t="s">
        <v>387</v>
      </c>
      <c r="G67" s="4" t="s">
        <v>388</v>
      </c>
    </row>
    <row r="68" customFormat="false" ht="35.05" hidden="false" customHeight="false" outlineLevel="0" collapsed="false">
      <c r="A68" s="4" t="s">
        <v>359</v>
      </c>
      <c r="B68" s="4" t="s">
        <v>249</v>
      </c>
      <c r="C68" s="4" t="s">
        <v>192</v>
      </c>
      <c r="D68" s="4" t="s">
        <v>193</v>
      </c>
      <c r="E68" s="4" t="s">
        <v>171</v>
      </c>
      <c r="F68" s="4" t="s">
        <v>389</v>
      </c>
      <c r="G68" s="4" t="s">
        <v>277</v>
      </c>
    </row>
    <row r="69" customFormat="false" ht="15" hidden="false" customHeight="false" outlineLevel="0" collapsed="false">
      <c r="A69" s="4" t="s">
        <v>359</v>
      </c>
      <c r="B69" s="4" t="s">
        <v>249</v>
      </c>
      <c r="C69" s="4" t="s">
        <v>194</v>
      </c>
      <c r="D69" s="4" t="s">
        <v>195</v>
      </c>
      <c r="E69" s="4" t="s">
        <v>19</v>
      </c>
      <c r="F69" s="4" t="s">
        <v>390</v>
      </c>
      <c r="G69" s="4" t="s">
        <v>391</v>
      </c>
    </row>
    <row r="70" customFormat="false" ht="23.85" hidden="false" customHeight="false" outlineLevel="0" collapsed="false">
      <c r="A70" s="4" t="s">
        <v>359</v>
      </c>
      <c r="B70" s="4" t="s">
        <v>249</v>
      </c>
      <c r="C70" s="4" t="s">
        <v>196</v>
      </c>
      <c r="D70" s="4" t="s">
        <v>197</v>
      </c>
      <c r="E70" s="4" t="s">
        <v>19</v>
      </c>
      <c r="F70" s="4" t="s">
        <v>392</v>
      </c>
      <c r="G70" s="4" t="s">
        <v>393</v>
      </c>
    </row>
    <row r="71" customFormat="false" ht="35.05" hidden="false" customHeight="false" outlineLevel="0" collapsed="false">
      <c r="A71" s="4" t="s">
        <v>359</v>
      </c>
      <c r="B71" s="4" t="s">
        <v>249</v>
      </c>
      <c r="C71" s="4" t="s">
        <v>198</v>
      </c>
      <c r="D71" s="4" t="s">
        <v>199</v>
      </c>
      <c r="E71" s="4" t="s">
        <v>19</v>
      </c>
      <c r="F71" s="4" t="s">
        <v>394</v>
      </c>
      <c r="G71" s="4" t="s">
        <v>395</v>
      </c>
    </row>
    <row r="72" customFormat="false" ht="15" hidden="false" customHeight="false" outlineLevel="0" collapsed="false">
      <c r="A72" s="4" t="s">
        <v>359</v>
      </c>
      <c r="B72" s="4" t="s">
        <v>249</v>
      </c>
      <c r="C72" s="4" t="s">
        <v>200</v>
      </c>
      <c r="D72" s="4" t="s">
        <v>201</v>
      </c>
      <c r="E72" s="4" t="s">
        <v>20</v>
      </c>
      <c r="F72" s="4" t="s">
        <v>396</v>
      </c>
      <c r="G72" s="4" t="s">
        <v>397</v>
      </c>
    </row>
    <row r="73" customFormat="false" ht="15" hidden="false" customHeight="false" outlineLevel="0" collapsed="false">
      <c r="A73" s="4" t="s">
        <v>359</v>
      </c>
      <c r="B73" s="4" t="s">
        <v>249</v>
      </c>
      <c r="C73" s="4" t="s">
        <v>202</v>
      </c>
      <c r="D73" s="4" t="s">
        <v>203</v>
      </c>
      <c r="E73" s="4" t="s">
        <v>19</v>
      </c>
      <c r="F73" s="4" t="s">
        <v>398</v>
      </c>
      <c r="G73" s="4" t="s">
        <v>399</v>
      </c>
    </row>
    <row r="74" customFormat="false" ht="57.45" hidden="false" customHeight="false" outlineLevel="0" collapsed="false">
      <c r="A74" s="4" t="s">
        <v>359</v>
      </c>
      <c r="B74" s="4" t="s">
        <v>249</v>
      </c>
      <c r="C74" s="4" t="s">
        <v>204</v>
      </c>
      <c r="D74" s="4" t="s">
        <v>205</v>
      </c>
      <c r="E74" s="4" t="s">
        <v>20</v>
      </c>
      <c r="F74" s="4" t="s">
        <v>400</v>
      </c>
      <c r="G74" s="4" t="s">
        <v>401</v>
      </c>
    </row>
    <row r="75" customFormat="false" ht="15" hidden="false" customHeight="false" outlineLevel="0" collapsed="false">
      <c r="A75" s="4" t="s">
        <v>359</v>
      </c>
      <c r="B75" s="4" t="s">
        <v>249</v>
      </c>
      <c r="C75" s="4" t="s">
        <v>206</v>
      </c>
      <c r="D75" s="4" t="s">
        <v>207</v>
      </c>
      <c r="E75" s="4" t="s">
        <v>171</v>
      </c>
      <c r="F75" s="4" t="s">
        <v>402</v>
      </c>
      <c r="G75" s="4" t="s">
        <v>403</v>
      </c>
    </row>
    <row r="76" customFormat="false" ht="15" hidden="false" customHeight="false" outlineLevel="0" collapsed="false">
      <c r="A76" s="4" t="s">
        <v>359</v>
      </c>
      <c r="B76" s="4" t="s">
        <v>292</v>
      </c>
      <c r="C76" s="4" t="s">
        <v>208</v>
      </c>
      <c r="D76" s="4" t="s">
        <v>209</v>
      </c>
      <c r="E76" s="4" t="s">
        <v>171</v>
      </c>
      <c r="F76" s="4" t="s">
        <v>404</v>
      </c>
      <c r="G76" s="4" t="s">
        <v>277</v>
      </c>
    </row>
    <row r="77" customFormat="false" ht="15" hidden="false" customHeight="false" outlineLevel="0" collapsed="false">
      <c r="A77" s="4" t="s">
        <v>359</v>
      </c>
      <c r="B77" s="4" t="s">
        <v>292</v>
      </c>
      <c r="C77" s="4" t="s">
        <v>210</v>
      </c>
      <c r="D77" s="4" t="s">
        <v>211</v>
      </c>
      <c r="E77" s="4" t="s">
        <v>171</v>
      </c>
      <c r="F77" s="4" t="s">
        <v>405</v>
      </c>
      <c r="G77" s="4" t="s">
        <v>406</v>
      </c>
    </row>
    <row r="78" customFormat="false" ht="15" hidden="false" customHeight="false" outlineLevel="0" collapsed="false">
      <c r="A78" s="4" t="s">
        <v>359</v>
      </c>
      <c r="B78" s="4" t="s">
        <v>292</v>
      </c>
      <c r="C78" s="4" t="s">
        <v>212</v>
      </c>
      <c r="D78" s="4" t="s">
        <v>213</v>
      </c>
      <c r="E78" s="4" t="s">
        <v>19</v>
      </c>
      <c r="F78" s="4" t="s">
        <v>407</v>
      </c>
      <c r="G78" s="4" t="s">
        <v>408</v>
      </c>
    </row>
    <row r="79" customFormat="false" ht="15" hidden="false" customHeight="false" outlineLevel="0" collapsed="false">
      <c r="A79" s="4" t="s">
        <v>359</v>
      </c>
      <c r="B79" s="4" t="s">
        <v>292</v>
      </c>
      <c r="C79" s="4" t="s">
        <v>214</v>
      </c>
      <c r="D79" s="4" t="s">
        <v>215</v>
      </c>
      <c r="E79" s="4" t="s">
        <v>171</v>
      </c>
      <c r="F79" s="4" t="s">
        <v>409</v>
      </c>
      <c r="G79" s="4" t="s">
        <v>277</v>
      </c>
    </row>
    <row r="80" customFormat="false" ht="15" hidden="false" customHeight="false" outlineLevel="0" collapsed="false">
      <c r="A80" s="4" t="s">
        <v>359</v>
      </c>
      <c r="B80" s="4" t="s">
        <v>292</v>
      </c>
      <c r="C80" s="4" t="s">
        <v>216</v>
      </c>
      <c r="D80" s="4" t="s">
        <v>217</v>
      </c>
      <c r="E80" s="4" t="s">
        <v>171</v>
      </c>
      <c r="F80" s="4" t="s">
        <v>410</v>
      </c>
      <c r="G80" s="4" t="s">
        <v>411</v>
      </c>
    </row>
    <row r="81" customFormat="false" ht="15" hidden="false" customHeight="false" outlineLevel="0" collapsed="false">
      <c r="A81" s="4" t="s">
        <v>359</v>
      </c>
      <c r="B81" s="4" t="s">
        <v>292</v>
      </c>
      <c r="C81" s="4" t="s">
        <v>218</v>
      </c>
      <c r="D81" s="4" t="s">
        <v>219</v>
      </c>
      <c r="E81" s="4" t="s">
        <v>171</v>
      </c>
      <c r="F81" s="4" t="s">
        <v>412</v>
      </c>
      <c r="G81" s="4" t="s">
        <v>413</v>
      </c>
    </row>
    <row r="82" customFormat="false" ht="15" hidden="false" customHeight="false" outlineLevel="0" collapsed="false">
      <c r="A82" s="4" t="s">
        <v>359</v>
      </c>
      <c r="B82" s="4" t="s">
        <v>292</v>
      </c>
      <c r="C82" s="4" t="s">
        <v>220</v>
      </c>
      <c r="D82" s="4" t="s">
        <v>221</v>
      </c>
      <c r="E82" s="4" t="s">
        <v>19</v>
      </c>
      <c r="F82" s="4" t="s">
        <v>414</v>
      </c>
      <c r="G82" s="4" t="s">
        <v>415</v>
      </c>
    </row>
    <row r="83" customFormat="false" ht="15" hidden="false" customHeight="false" outlineLevel="0" collapsed="false">
      <c r="A83" s="4" t="s">
        <v>359</v>
      </c>
      <c r="B83" s="4" t="s">
        <v>292</v>
      </c>
      <c r="C83" s="4" t="s">
        <v>222</v>
      </c>
      <c r="D83" s="4" t="s">
        <v>223</v>
      </c>
      <c r="E83" s="4" t="s">
        <v>20</v>
      </c>
      <c r="F83" s="4" t="s">
        <v>416</v>
      </c>
      <c r="G83" s="4" t="s">
        <v>417</v>
      </c>
    </row>
    <row r="84" customFormat="false" ht="15" hidden="false" customHeight="false" outlineLevel="0" collapsed="false">
      <c r="A84" s="4" t="s">
        <v>359</v>
      </c>
      <c r="B84" s="4" t="s">
        <v>292</v>
      </c>
      <c r="C84" s="4" t="s">
        <v>224</v>
      </c>
      <c r="D84" s="4" t="s">
        <v>225</v>
      </c>
      <c r="E84" s="4" t="s">
        <v>19</v>
      </c>
      <c r="F84" s="4" t="s">
        <v>418</v>
      </c>
      <c r="G84" s="4" t="s">
        <v>419</v>
      </c>
    </row>
    <row r="85" customFormat="false" ht="15" hidden="false" customHeight="false" outlineLevel="0" collapsed="false">
      <c r="A85" s="4" t="s">
        <v>359</v>
      </c>
      <c r="B85" s="4" t="s">
        <v>292</v>
      </c>
      <c r="C85" s="4" t="s">
        <v>226</v>
      </c>
      <c r="D85" s="4" t="s">
        <v>227</v>
      </c>
      <c r="E85" s="4" t="s">
        <v>19</v>
      </c>
      <c r="F85" s="4" t="s">
        <v>420</v>
      </c>
      <c r="G85" s="4" t="s">
        <v>421</v>
      </c>
    </row>
    <row r="86" customFormat="false" ht="15" hidden="false" customHeight="false" outlineLevel="0" collapsed="false">
      <c r="A86" s="4" t="s">
        <v>359</v>
      </c>
      <c r="B86" s="4" t="s">
        <v>292</v>
      </c>
      <c r="C86" s="4" t="s">
        <v>228</v>
      </c>
      <c r="D86" s="4" t="s">
        <v>229</v>
      </c>
      <c r="E86" s="4" t="s">
        <v>171</v>
      </c>
      <c r="F86" s="4" t="s">
        <v>422</v>
      </c>
      <c r="G86" s="4" t="s">
        <v>277</v>
      </c>
    </row>
    <row r="87" customFormat="false" ht="35.05" hidden="false" customHeight="false" outlineLevel="0" collapsed="false">
      <c r="A87" s="4" t="s">
        <v>359</v>
      </c>
      <c r="B87" s="4" t="s">
        <v>313</v>
      </c>
      <c r="C87" s="4" t="s">
        <v>230</v>
      </c>
      <c r="D87" s="4" t="s">
        <v>423</v>
      </c>
      <c r="E87" s="4" t="s">
        <v>19</v>
      </c>
      <c r="F87" s="4" t="s">
        <v>424</v>
      </c>
      <c r="G87" s="4" t="s">
        <v>425</v>
      </c>
    </row>
    <row r="88" customFormat="false" ht="35.05" hidden="false" customHeight="false" outlineLevel="0" collapsed="false">
      <c r="A88" s="4" t="s">
        <v>359</v>
      </c>
      <c r="B88" s="4" t="s">
        <v>313</v>
      </c>
      <c r="C88" s="4" t="s">
        <v>232</v>
      </c>
      <c r="D88" s="4" t="s">
        <v>426</v>
      </c>
      <c r="E88" s="4" t="s">
        <v>19</v>
      </c>
      <c r="F88" s="4" t="s">
        <v>427</v>
      </c>
      <c r="G88" s="4" t="s">
        <v>428</v>
      </c>
    </row>
    <row r="89" customFormat="false" ht="23.85" hidden="false" customHeight="false" outlineLevel="0" collapsed="false">
      <c r="A89" s="4" t="s">
        <v>359</v>
      </c>
      <c r="B89" s="4" t="s">
        <v>313</v>
      </c>
      <c r="C89" s="4" t="s">
        <v>234</v>
      </c>
      <c r="D89" s="4" t="s">
        <v>429</v>
      </c>
      <c r="E89" s="4" t="s">
        <v>19</v>
      </c>
      <c r="F89" s="4" t="s">
        <v>430</v>
      </c>
      <c r="G89" s="4" t="s">
        <v>431</v>
      </c>
    </row>
    <row r="90" customFormat="false" ht="35.05" hidden="false" customHeight="false" outlineLevel="0" collapsed="false">
      <c r="A90" s="4" t="s">
        <v>359</v>
      </c>
      <c r="B90" s="4" t="s">
        <v>313</v>
      </c>
      <c r="C90" s="4" t="s">
        <v>236</v>
      </c>
      <c r="D90" s="4" t="s">
        <v>432</v>
      </c>
      <c r="E90" s="4" t="s">
        <v>171</v>
      </c>
      <c r="F90" s="4" t="s">
        <v>433</v>
      </c>
      <c r="G90" s="4" t="s">
        <v>434</v>
      </c>
    </row>
    <row r="91" customFormat="false" ht="46.25" hidden="false" customHeight="false" outlineLevel="0" collapsed="false">
      <c r="A91" s="4" t="s">
        <v>359</v>
      </c>
      <c r="B91" s="4" t="s">
        <v>313</v>
      </c>
      <c r="C91" s="4" t="s">
        <v>238</v>
      </c>
      <c r="D91" s="4" t="s">
        <v>435</v>
      </c>
      <c r="E91" s="4" t="s">
        <v>19</v>
      </c>
      <c r="F91" s="4" t="s">
        <v>436</v>
      </c>
      <c r="G91" s="4" t="s">
        <v>437</v>
      </c>
    </row>
    <row r="92" customFormat="false" ht="23.85" hidden="false" customHeight="false" outlineLevel="0" collapsed="false">
      <c r="A92" s="4" t="s">
        <v>359</v>
      </c>
      <c r="B92" s="4" t="s">
        <v>329</v>
      </c>
      <c r="C92" s="4"/>
      <c r="D92" s="4" t="s">
        <v>438</v>
      </c>
      <c r="E92" s="4" t="s">
        <v>171</v>
      </c>
      <c r="F92" s="4" t="s">
        <v>439</v>
      </c>
      <c r="G92" s="4"/>
    </row>
    <row r="93" customFormat="false" ht="23.85" hidden="false" customHeight="false" outlineLevel="0" collapsed="false">
      <c r="A93" s="4" t="s">
        <v>359</v>
      </c>
      <c r="B93" s="4" t="s">
        <v>329</v>
      </c>
      <c r="C93" s="4"/>
      <c r="D93" s="4" t="s">
        <v>332</v>
      </c>
      <c r="E93" s="4" t="s">
        <v>333</v>
      </c>
      <c r="F93" s="4" t="s">
        <v>440</v>
      </c>
      <c r="G93" s="4"/>
    </row>
    <row r="94" customFormat="false" ht="23.85" hidden="false" customHeight="false" outlineLevel="0" collapsed="false">
      <c r="A94" s="4" t="s">
        <v>359</v>
      </c>
      <c r="B94" s="4" t="s">
        <v>329</v>
      </c>
      <c r="C94" s="4"/>
      <c r="D94" s="4" t="s">
        <v>441</v>
      </c>
      <c r="E94" s="4" t="s">
        <v>333</v>
      </c>
      <c r="F94" s="4" t="s">
        <v>442</v>
      </c>
      <c r="G94" s="4"/>
    </row>
    <row r="95" customFormat="false" ht="35.05" hidden="false" customHeight="false" outlineLevel="0" collapsed="false">
      <c r="A95" s="4" t="s">
        <v>359</v>
      </c>
      <c r="B95" s="4" t="s">
        <v>329</v>
      </c>
      <c r="C95" s="4"/>
      <c r="D95" s="4" t="s">
        <v>443</v>
      </c>
      <c r="E95" s="4" t="s">
        <v>444</v>
      </c>
      <c r="F95" s="4" t="s">
        <v>445</v>
      </c>
      <c r="G95" s="4"/>
    </row>
    <row r="96" customFormat="false" ht="23.85" hidden="false" customHeight="false" outlineLevel="0" collapsed="false">
      <c r="A96" s="4" t="s">
        <v>359</v>
      </c>
      <c r="B96" s="4" t="s">
        <v>329</v>
      </c>
      <c r="C96" s="4"/>
      <c r="D96" s="4" t="s">
        <v>446</v>
      </c>
      <c r="E96" s="4" t="s">
        <v>333</v>
      </c>
      <c r="F96" s="4" t="s">
        <v>447</v>
      </c>
      <c r="G96" s="4"/>
    </row>
    <row r="97" customFormat="false" ht="23.85" hidden="false" customHeight="false" outlineLevel="0" collapsed="false">
      <c r="A97" s="4" t="s">
        <v>359</v>
      </c>
      <c r="B97" s="4" t="s">
        <v>329</v>
      </c>
      <c r="C97" s="4"/>
      <c r="D97" s="4" t="s">
        <v>448</v>
      </c>
      <c r="E97" s="4" t="s">
        <v>171</v>
      </c>
      <c r="F97" s="4" t="s">
        <v>449</v>
      </c>
      <c r="G97" s="4"/>
    </row>
    <row r="98" customFormat="false" ht="23.85" hidden="false" customHeight="false" outlineLevel="0" collapsed="false">
      <c r="A98" s="4" t="s">
        <v>359</v>
      </c>
      <c r="B98" s="4" t="s">
        <v>329</v>
      </c>
      <c r="C98" s="4"/>
      <c r="D98" s="4" t="s">
        <v>343</v>
      </c>
      <c r="E98" s="4" t="s">
        <v>171</v>
      </c>
      <c r="F98" s="4" t="s">
        <v>450</v>
      </c>
      <c r="G98" s="4"/>
    </row>
    <row r="99" customFormat="false" ht="23.85" hidden="false" customHeight="false" outlineLevel="0" collapsed="false">
      <c r="A99" s="4" t="s">
        <v>359</v>
      </c>
      <c r="B99" s="4" t="s">
        <v>329</v>
      </c>
      <c r="C99" s="4"/>
      <c r="D99" s="4" t="s">
        <v>347</v>
      </c>
      <c r="E99" s="4" t="s">
        <v>171</v>
      </c>
      <c r="F99" s="4" t="s">
        <v>451</v>
      </c>
      <c r="G99" s="4"/>
    </row>
    <row r="100" customFormat="false" ht="23.85" hidden="false" customHeight="false" outlineLevel="0" collapsed="false">
      <c r="A100" s="4" t="s">
        <v>359</v>
      </c>
      <c r="B100" s="4" t="s">
        <v>329</v>
      </c>
      <c r="C100" s="4"/>
      <c r="D100" s="4" t="s">
        <v>452</v>
      </c>
      <c r="E100" s="4" t="s">
        <v>333</v>
      </c>
      <c r="F100" s="4" t="s">
        <v>453</v>
      </c>
      <c r="G100" s="4"/>
    </row>
    <row r="101" customFormat="false" ht="23.85" hidden="false" customHeight="false" outlineLevel="0" collapsed="false">
      <c r="A101" s="4" t="s">
        <v>359</v>
      </c>
      <c r="B101" s="4" t="s">
        <v>329</v>
      </c>
      <c r="C101" s="4"/>
      <c r="D101" s="4" t="s">
        <v>345</v>
      </c>
      <c r="E101" s="4" t="s">
        <v>171</v>
      </c>
      <c r="F101" s="4" t="s">
        <v>454</v>
      </c>
      <c r="G101" s="4"/>
    </row>
    <row r="102" customFormat="false" ht="23.85" hidden="false" customHeight="false" outlineLevel="0" collapsed="false">
      <c r="A102" s="4" t="s">
        <v>359</v>
      </c>
      <c r="B102" s="4" t="s">
        <v>329</v>
      </c>
      <c r="C102" s="4"/>
      <c r="D102" s="4" t="s">
        <v>455</v>
      </c>
      <c r="E102" s="4" t="s">
        <v>333</v>
      </c>
      <c r="F102" s="4" t="s">
        <v>456</v>
      </c>
      <c r="G102" s="4"/>
    </row>
    <row r="103" customFormat="false" ht="23.85" hidden="false" customHeight="false" outlineLevel="0" collapsed="false">
      <c r="A103" s="4" t="s">
        <v>359</v>
      </c>
      <c r="B103" s="4" t="s">
        <v>329</v>
      </c>
      <c r="C103" s="4"/>
      <c r="D103" s="4" t="s">
        <v>181</v>
      </c>
      <c r="E103" s="4" t="s">
        <v>333</v>
      </c>
      <c r="F103" s="4" t="s">
        <v>457</v>
      </c>
      <c r="G103" s="4"/>
    </row>
    <row r="104" customFormat="false" ht="23.85" hidden="false" customHeight="false" outlineLevel="0" collapsed="false">
      <c r="A104" s="4" t="s">
        <v>359</v>
      </c>
      <c r="B104" s="4" t="s">
        <v>329</v>
      </c>
      <c r="C104" s="4"/>
      <c r="D104" s="4" t="s">
        <v>458</v>
      </c>
      <c r="E104" s="4" t="s">
        <v>333</v>
      </c>
      <c r="F104" s="4" t="s">
        <v>459</v>
      </c>
      <c r="G104" s="4"/>
    </row>
    <row r="105" customFormat="false" ht="23.85" hidden="false" customHeight="false" outlineLevel="0" collapsed="false">
      <c r="A105" s="4" t="s">
        <v>359</v>
      </c>
      <c r="B105" s="4" t="s">
        <v>329</v>
      </c>
      <c r="C105" s="4"/>
      <c r="D105" s="4" t="s">
        <v>460</v>
      </c>
      <c r="E105" s="4" t="s">
        <v>333</v>
      </c>
      <c r="F105" s="4" t="s">
        <v>461</v>
      </c>
      <c r="G105" s="4"/>
    </row>
    <row r="106" customFormat="false" ht="35.05" hidden="false" customHeight="false" outlineLevel="0" collapsed="false">
      <c r="A106" s="4" t="s">
        <v>462</v>
      </c>
      <c r="B106" s="4" t="s">
        <v>249</v>
      </c>
      <c r="C106" s="4" t="s">
        <v>165</v>
      </c>
      <c r="D106" s="4" t="s">
        <v>166</v>
      </c>
      <c r="E106" s="4" t="s">
        <v>19</v>
      </c>
      <c r="F106" s="4" t="s">
        <v>463</v>
      </c>
      <c r="G106" s="4" t="s">
        <v>464</v>
      </c>
    </row>
    <row r="107" customFormat="false" ht="23.85" hidden="false" customHeight="false" outlineLevel="0" collapsed="false">
      <c r="A107" s="4" t="s">
        <v>462</v>
      </c>
      <c r="B107" s="4" t="s">
        <v>249</v>
      </c>
      <c r="C107" s="4" t="s">
        <v>167</v>
      </c>
      <c r="D107" s="4" t="s">
        <v>168</v>
      </c>
      <c r="E107" s="4" t="s">
        <v>19</v>
      </c>
      <c r="F107" s="4" t="s">
        <v>465</v>
      </c>
      <c r="G107" s="4" t="s">
        <v>466</v>
      </c>
    </row>
    <row r="108" customFormat="false" ht="15" hidden="false" customHeight="false" outlineLevel="0" collapsed="false">
      <c r="A108" s="4" t="s">
        <v>462</v>
      </c>
      <c r="B108" s="4" t="s">
        <v>249</v>
      </c>
      <c r="C108" s="4" t="s">
        <v>169</v>
      </c>
      <c r="D108" s="4" t="s">
        <v>170</v>
      </c>
      <c r="E108" s="4" t="s">
        <v>171</v>
      </c>
      <c r="F108" s="4" t="s">
        <v>467</v>
      </c>
      <c r="G108" s="4" t="s">
        <v>277</v>
      </c>
    </row>
    <row r="109" customFormat="false" ht="23.85" hidden="false" customHeight="false" outlineLevel="0" collapsed="false">
      <c r="A109" s="4" t="s">
        <v>462</v>
      </c>
      <c r="B109" s="4" t="s">
        <v>249</v>
      </c>
      <c r="C109" s="4" t="s">
        <v>172</v>
      </c>
      <c r="D109" s="4" t="s">
        <v>365</v>
      </c>
      <c r="E109" s="4" t="s">
        <v>171</v>
      </c>
      <c r="F109" s="4" t="s">
        <v>468</v>
      </c>
      <c r="G109" s="4" t="s">
        <v>277</v>
      </c>
    </row>
    <row r="110" customFormat="false" ht="23.85" hidden="false" customHeight="false" outlineLevel="0" collapsed="false">
      <c r="A110" s="4" t="s">
        <v>462</v>
      </c>
      <c r="B110" s="4" t="s">
        <v>249</v>
      </c>
      <c r="C110" s="4" t="s">
        <v>174</v>
      </c>
      <c r="D110" s="4" t="s">
        <v>368</v>
      </c>
      <c r="E110" s="4" t="s">
        <v>19</v>
      </c>
      <c r="F110" s="4" t="s">
        <v>469</v>
      </c>
      <c r="G110" s="4" t="s">
        <v>470</v>
      </c>
    </row>
    <row r="111" customFormat="false" ht="23.85" hidden="false" customHeight="false" outlineLevel="0" collapsed="false">
      <c r="A111" s="4" t="s">
        <v>462</v>
      </c>
      <c r="B111" s="4" t="s">
        <v>249</v>
      </c>
      <c r="C111" s="4" t="s">
        <v>176</v>
      </c>
      <c r="D111" s="4" t="s">
        <v>371</v>
      </c>
      <c r="E111" s="4" t="s">
        <v>19</v>
      </c>
      <c r="F111" s="4" t="s">
        <v>471</v>
      </c>
      <c r="G111" s="4" t="s">
        <v>472</v>
      </c>
    </row>
    <row r="112" customFormat="false" ht="23.85" hidden="false" customHeight="false" outlineLevel="0" collapsed="false">
      <c r="A112" s="4" t="s">
        <v>462</v>
      </c>
      <c r="B112" s="4" t="s">
        <v>249</v>
      </c>
      <c r="C112" s="4" t="s">
        <v>178</v>
      </c>
      <c r="D112" s="4" t="s">
        <v>374</v>
      </c>
      <c r="E112" s="4" t="s">
        <v>171</v>
      </c>
      <c r="F112" s="4" t="s">
        <v>473</v>
      </c>
      <c r="G112" s="4" t="s">
        <v>277</v>
      </c>
    </row>
    <row r="113" customFormat="false" ht="23.85" hidden="false" customHeight="false" outlineLevel="0" collapsed="false">
      <c r="A113" s="4" t="s">
        <v>462</v>
      </c>
      <c r="B113" s="4" t="s">
        <v>249</v>
      </c>
      <c r="C113" s="4" t="s">
        <v>180</v>
      </c>
      <c r="D113" s="4" t="s">
        <v>181</v>
      </c>
      <c r="E113" s="4" t="s">
        <v>19</v>
      </c>
      <c r="F113" s="4" t="s">
        <v>474</v>
      </c>
      <c r="G113" s="4" t="s">
        <v>475</v>
      </c>
    </row>
    <row r="114" customFormat="false" ht="15" hidden="false" customHeight="false" outlineLevel="0" collapsed="false">
      <c r="A114" s="4" t="s">
        <v>462</v>
      </c>
      <c r="B114" s="4" t="s">
        <v>249</v>
      </c>
      <c r="C114" s="4" t="s">
        <v>182</v>
      </c>
      <c r="D114" s="4" t="s">
        <v>183</v>
      </c>
      <c r="E114" s="4" t="s">
        <v>171</v>
      </c>
      <c r="F114" s="4" t="s">
        <v>476</v>
      </c>
      <c r="G114" s="4" t="s">
        <v>477</v>
      </c>
    </row>
    <row r="115" customFormat="false" ht="23.85" hidden="false" customHeight="false" outlineLevel="0" collapsed="false">
      <c r="A115" s="4" t="s">
        <v>462</v>
      </c>
      <c r="B115" s="4" t="s">
        <v>249</v>
      </c>
      <c r="C115" s="4" t="s">
        <v>184</v>
      </c>
      <c r="D115" s="4" t="s">
        <v>185</v>
      </c>
      <c r="E115" s="4" t="s">
        <v>20</v>
      </c>
      <c r="F115" s="4" t="s">
        <v>478</v>
      </c>
      <c r="G115" s="4" t="s">
        <v>479</v>
      </c>
    </row>
    <row r="116" customFormat="false" ht="23.85" hidden="false" customHeight="false" outlineLevel="0" collapsed="false">
      <c r="A116" s="4" t="s">
        <v>462</v>
      </c>
      <c r="B116" s="4" t="s">
        <v>249</v>
      </c>
      <c r="C116" s="4" t="s">
        <v>186</v>
      </c>
      <c r="D116" s="4" t="s">
        <v>480</v>
      </c>
      <c r="E116" s="4" t="s">
        <v>19</v>
      </c>
      <c r="F116" s="4" t="s">
        <v>481</v>
      </c>
      <c r="G116" s="4" t="s">
        <v>482</v>
      </c>
    </row>
    <row r="117" customFormat="false" ht="23.85" hidden="false" customHeight="false" outlineLevel="0" collapsed="false">
      <c r="A117" s="4" t="s">
        <v>462</v>
      </c>
      <c r="B117" s="4" t="s">
        <v>249</v>
      </c>
      <c r="C117" s="4" t="s">
        <v>188</v>
      </c>
      <c r="D117" s="4" t="s">
        <v>189</v>
      </c>
      <c r="E117" s="4" t="s">
        <v>20</v>
      </c>
      <c r="F117" s="4" t="s">
        <v>483</v>
      </c>
      <c r="G117" s="4" t="s">
        <v>484</v>
      </c>
    </row>
    <row r="118" customFormat="false" ht="23.85" hidden="false" customHeight="false" outlineLevel="0" collapsed="false">
      <c r="A118" s="4" t="s">
        <v>462</v>
      </c>
      <c r="B118" s="4" t="s">
        <v>249</v>
      </c>
      <c r="C118" s="4" t="s">
        <v>190</v>
      </c>
      <c r="D118" s="4" t="s">
        <v>191</v>
      </c>
      <c r="E118" s="4" t="s">
        <v>171</v>
      </c>
      <c r="F118" s="4" t="s">
        <v>485</v>
      </c>
      <c r="G118" s="4" t="s">
        <v>486</v>
      </c>
    </row>
    <row r="119" customFormat="false" ht="35.05" hidden="false" customHeight="false" outlineLevel="0" collapsed="false">
      <c r="A119" s="4" t="s">
        <v>462</v>
      </c>
      <c r="B119" s="4" t="s">
        <v>249</v>
      </c>
      <c r="C119" s="4" t="s">
        <v>192</v>
      </c>
      <c r="D119" s="4" t="s">
        <v>193</v>
      </c>
      <c r="E119" s="4" t="s">
        <v>171</v>
      </c>
      <c r="F119" s="4" t="s">
        <v>487</v>
      </c>
      <c r="G119" s="4" t="s">
        <v>277</v>
      </c>
    </row>
    <row r="120" customFormat="false" ht="35.05" hidden="false" customHeight="false" outlineLevel="0" collapsed="false">
      <c r="A120" s="4" t="s">
        <v>462</v>
      </c>
      <c r="B120" s="4" t="s">
        <v>249</v>
      </c>
      <c r="C120" s="4" t="s">
        <v>194</v>
      </c>
      <c r="D120" s="4" t="s">
        <v>195</v>
      </c>
      <c r="E120" s="4" t="s">
        <v>19</v>
      </c>
      <c r="F120" s="4" t="s">
        <v>488</v>
      </c>
      <c r="G120" s="4" t="s">
        <v>489</v>
      </c>
    </row>
    <row r="121" customFormat="false" ht="23.85" hidden="false" customHeight="false" outlineLevel="0" collapsed="false">
      <c r="A121" s="4" t="s">
        <v>462</v>
      </c>
      <c r="B121" s="4" t="s">
        <v>249</v>
      </c>
      <c r="C121" s="4" t="s">
        <v>196</v>
      </c>
      <c r="D121" s="4" t="s">
        <v>197</v>
      </c>
      <c r="E121" s="4" t="s">
        <v>19</v>
      </c>
      <c r="F121" s="4" t="s">
        <v>490</v>
      </c>
      <c r="G121" s="4" t="s">
        <v>491</v>
      </c>
    </row>
    <row r="122" customFormat="false" ht="35.05" hidden="false" customHeight="false" outlineLevel="0" collapsed="false">
      <c r="A122" s="4" t="s">
        <v>462</v>
      </c>
      <c r="B122" s="4" t="s">
        <v>249</v>
      </c>
      <c r="C122" s="4" t="s">
        <v>198</v>
      </c>
      <c r="D122" s="4" t="s">
        <v>199</v>
      </c>
      <c r="E122" s="4" t="s">
        <v>19</v>
      </c>
      <c r="F122" s="4" t="s">
        <v>492</v>
      </c>
      <c r="G122" s="4" t="s">
        <v>493</v>
      </c>
    </row>
    <row r="123" customFormat="false" ht="15" hidden="false" customHeight="false" outlineLevel="0" collapsed="false">
      <c r="A123" s="4" t="s">
        <v>462</v>
      </c>
      <c r="B123" s="4" t="s">
        <v>249</v>
      </c>
      <c r="C123" s="4" t="s">
        <v>200</v>
      </c>
      <c r="D123" s="4" t="s">
        <v>201</v>
      </c>
      <c r="E123" s="4" t="s">
        <v>20</v>
      </c>
      <c r="F123" s="4" t="s">
        <v>494</v>
      </c>
      <c r="G123" s="4" t="s">
        <v>495</v>
      </c>
    </row>
    <row r="124" customFormat="false" ht="23.85" hidden="false" customHeight="false" outlineLevel="0" collapsed="false">
      <c r="A124" s="4" t="s">
        <v>462</v>
      </c>
      <c r="B124" s="4" t="s">
        <v>249</v>
      </c>
      <c r="C124" s="4" t="s">
        <v>202</v>
      </c>
      <c r="D124" s="4" t="s">
        <v>203</v>
      </c>
      <c r="E124" s="4" t="s">
        <v>19</v>
      </c>
      <c r="F124" s="4" t="s">
        <v>496</v>
      </c>
      <c r="G124" s="4" t="s">
        <v>497</v>
      </c>
    </row>
    <row r="125" customFormat="false" ht="46.25" hidden="false" customHeight="false" outlineLevel="0" collapsed="false">
      <c r="A125" s="4" t="s">
        <v>462</v>
      </c>
      <c r="B125" s="4" t="s">
        <v>249</v>
      </c>
      <c r="C125" s="4" t="s">
        <v>204</v>
      </c>
      <c r="D125" s="4" t="s">
        <v>205</v>
      </c>
      <c r="E125" s="4" t="s">
        <v>20</v>
      </c>
      <c r="F125" s="4" t="s">
        <v>498</v>
      </c>
      <c r="G125" s="4" t="s">
        <v>499</v>
      </c>
    </row>
    <row r="126" customFormat="false" ht="23.85" hidden="false" customHeight="false" outlineLevel="0" collapsed="false">
      <c r="A126" s="4" t="s">
        <v>462</v>
      </c>
      <c r="B126" s="4" t="s">
        <v>249</v>
      </c>
      <c r="C126" s="4" t="s">
        <v>206</v>
      </c>
      <c r="D126" s="4" t="s">
        <v>207</v>
      </c>
      <c r="E126" s="4" t="s">
        <v>171</v>
      </c>
      <c r="F126" s="4" t="s">
        <v>500</v>
      </c>
      <c r="G126" s="4" t="s">
        <v>277</v>
      </c>
    </row>
    <row r="127" customFormat="false" ht="15" hidden="false" customHeight="false" outlineLevel="0" collapsed="false">
      <c r="A127" s="4" t="s">
        <v>462</v>
      </c>
      <c r="B127" s="4" t="s">
        <v>292</v>
      </c>
      <c r="C127" s="4" t="s">
        <v>208</v>
      </c>
      <c r="D127" s="4" t="s">
        <v>209</v>
      </c>
      <c r="E127" s="4" t="s">
        <v>171</v>
      </c>
      <c r="F127" s="4" t="s">
        <v>501</v>
      </c>
      <c r="G127" s="4" t="s">
        <v>277</v>
      </c>
    </row>
    <row r="128" customFormat="false" ht="15" hidden="false" customHeight="false" outlineLevel="0" collapsed="false">
      <c r="A128" s="4" t="s">
        <v>462</v>
      </c>
      <c r="B128" s="4" t="s">
        <v>292</v>
      </c>
      <c r="C128" s="4" t="s">
        <v>210</v>
      </c>
      <c r="D128" s="4" t="s">
        <v>211</v>
      </c>
      <c r="E128" s="4" t="s">
        <v>171</v>
      </c>
      <c r="F128" s="4" t="s">
        <v>502</v>
      </c>
      <c r="G128" s="4" t="s">
        <v>277</v>
      </c>
    </row>
    <row r="129" customFormat="false" ht="15" hidden="false" customHeight="false" outlineLevel="0" collapsed="false">
      <c r="A129" s="4" t="s">
        <v>462</v>
      </c>
      <c r="B129" s="4" t="s">
        <v>292</v>
      </c>
      <c r="C129" s="4" t="s">
        <v>212</v>
      </c>
      <c r="D129" s="4" t="s">
        <v>213</v>
      </c>
      <c r="E129" s="4" t="s">
        <v>171</v>
      </c>
      <c r="F129" s="4" t="s">
        <v>503</v>
      </c>
      <c r="G129" s="4" t="s">
        <v>504</v>
      </c>
    </row>
    <row r="130" customFormat="false" ht="15" hidden="false" customHeight="false" outlineLevel="0" collapsed="false">
      <c r="A130" s="4" t="s">
        <v>462</v>
      </c>
      <c r="B130" s="4" t="s">
        <v>292</v>
      </c>
      <c r="C130" s="4" t="s">
        <v>214</v>
      </c>
      <c r="D130" s="4" t="s">
        <v>215</v>
      </c>
      <c r="E130" s="4" t="s">
        <v>171</v>
      </c>
      <c r="F130" s="4" t="s">
        <v>505</v>
      </c>
      <c r="G130" s="4" t="s">
        <v>506</v>
      </c>
    </row>
    <row r="131" customFormat="false" ht="15" hidden="false" customHeight="false" outlineLevel="0" collapsed="false">
      <c r="A131" s="4" t="s">
        <v>462</v>
      </c>
      <c r="B131" s="4" t="s">
        <v>292</v>
      </c>
      <c r="C131" s="4" t="s">
        <v>216</v>
      </c>
      <c r="D131" s="4" t="s">
        <v>217</v>
      </c>
      <c r="E131" s="4" t="s">
        <v>19</v>
      </c>
      <c r="F131" s="4" t="s">
        <v>507</v>
      </c>
      <c r="G131" s="4" t="s">
        <v>411</v>
      </c>
    </row>
    <row r="132" customFormat="false" ht="15" hidden="false" customHeight="false" outlineLevel="0" collapsed="false">
      <c r="A132" s="4" t="s">
        <v>462</v>
      </c>
      <c r="B132" s="4" t="s">
        <v>292</v>
      </c>
      <c r="C132" s="4" t="s">
        <v>218</v>
      </c>
      <c r="D132" s="4" t="s">
        <v>219</v>
      </c>
      <c r="E132" s="4" t="s">
        <v>171</v>
      </c>
      <c r="F132" s="4" t="s">
        <v>508</v>
      </c>
      <c r="G132" s="4" t="s">
        <v>277</v>
      </c>
    </row>
    <row r="133" customFormat="false" ht="15" hidden="false" customHeight="false" outlineLevel="0" collapsed="false">
      <c r="A133" s="4" t="s">
        <v>462</v>
      </c>
      <c r="B133" s="4" t="s">
        <v>292</v>
      </c>
      <c r="C133" s="4" t="s">
        <v>220</v>
      </c>
      <c r="D133" s="4" t="s">
        <v>221</v>
      </c>
      <c r="E133" s="4" t="s">
        <v>19</v>
      </c>
      <c r="F133" s="4" t="s">
        <v>509</v>
      </c>
      <c r="G133" s="4" t="s">
        <v>510</v>
      </c>
    </row>
    <row r="134" customFormat="false" ht="15" hidden="false" customHeight="false" outlineLevel="0" collapsed="false">
      <c r="A134" s="4" t="s">
        <v>462</v>
      </c>
      <c r="B134" s="4" t="s">
        <v>292</v>
      </c>
      <c r="C134" s="4" t="s">
        <v>222</v>
      </c>
      <c r="D134" s="4" t="s">
        <v>223</v>
      </c>
      <c r="E134" s="4" t="s">
        <v>19</v>
      </c>
      <c r="F134" s="4" t="s">
        <v>511</v>
      </c>
      <c r="G134" s="4" t="s">
        <v>512</v>
      </c>
    </row>
    <row r="135" customFormat="false" ht="15" hidden="false" customHeight="false" outlineLevel="0" collapsed="false">
      <c r="A135" s="4" t="s">
        <v>462</v>
      </c>
      <c r="B135" s="4" t="s">
        <v>292</v>
      </c>
      <c r="C135" s="4" t="s">
        <v>224</v>
      </c>
      <c r="D135" s="4" t="s">
        <v>225</v>
      </c>
      <c r="E135" s="4" t="s">
        <v>19</v>
      </c>
      <c r="F135" s="4" t="s">
        <v>513</v>
      </c>
      <c r="G135" s="4" t="s">
        <v>419</v>
      </c>
    </row>
    <row r="136" customFormat="false" ht="15" hidden="false" customHeight="false" outlineLevel="0" collapsed="false">
      <c r="A136" s="4" t="s">
        <v>462</v>
      </c>
      <c r="B136" s="4" t="s">
        <v>292</v>
      </c>
      <c r="C136" s="4" t="s">
        <v>226</v>
      </c>
      <c r="D136" s="4" t="s">
        <v>227</v>
      </c>
      <c r="E136" s="4" t="s">
        <v>19</v>
      </c>
      <c r="F136" s="4" t="s">
        <v>514</v>
      </c>
      <c r="G136" s="4" t="s">
        <v>515</v>
      </c>
    </row>
    <row r="137" customFormat="false" ht="15" hidden="false" customHeight="false" outlineLevel="0" collapsed="false">
      <c r="A137" s="4" t="s">
        <v>462</v>
      </c>
      <c r="B137" s="4" t="s">
        <v>292</v>
      </c>
      <c r="C137" s="4" t="s">
        <v>228</v>
      </c>
      <c r="D137" s="4" t="s">
        <v>229</v>
      </c>
      <c r="E137" s="4" t="s">
        <v>171</v>
      </c>
      <c r="F137" s="4" t="s">
        <v>516</v>
      </c>
      <c r="G137" s="4" t="s">
        <v>277</v>
      </c>
    </row>
    <row r="138" customFormat="false" ht="35.05" hidden="false" customHeight="false" outlineLevel="0" collapsed="false">
      <c r="A138" s="4" t="s">
        <v>462</v>
      </c>
      <c r="B138" s="4" t="s">
        <v>313</v>
      </c>
      <c r="C138" s="4" t="s">
        <v>230</v>
      </c>
      <c r="D138" s="4" t="s">
        <v>517</v>
      </c>
      <c r="E138" s="4" t="s">
        <v>19</v>
      </c>
      <c r="F138" s="4" t="s">
        <v>518</v>
      </c>
      <c r="G138" s="4" t="s">
        <v>519</v>
      </c>
    </row>
    <row r="139" customFormat="false" ht="35.05" hidden="false" customHeight="false" outlineLevel="0" collapsed="false">
      <c r="A139" s="4" t="s">
        <v>462</v>
      </c>
      <c r="B139" s="4" t="s">
        <v>313</v>
      </c>
      <c r="C139" s="4" t="s">
        <v>232</v>
      </c>
      <c r="D139" s="4" t="s">
        <v>520</v>
      </c>
      <c r="E139" s="4" t="s">
        <v>171</v>
      </c>
      <c r="F139" s="4" t="s">
        <v>521</v>
      </c>
      <c r="G139" s="4" t="s">
        <v>277</v>
      </c>
    </row>
    <row r="140" customFormat="false" ht="35.05" hidden="false" customHeight="false" outlineLevel="0" collapsed="false">
      <c r="A140" s="4" t="s">
        <v>462</v>
      </c>
      <c r="B140" s="4" t="s">
        <v>313</v>
      </c>
      <c r="C140" s="4" t="s">
        <v>234</v>
      </c>
      <c r="D140" s="4" t="s">
        <v>522</v>
      </c>
      <c r="E140" s="4" t="s">
        <v>171</v>
      </c>
      <c r="F140" s="4" t="s">
        <v>523</v>
      </c>
      <c r="G140" s="4" t="s">
        <v>524</v>
      </c>
    </row>
    <row r="141" customFormat="false" ht="23.85" hidden="false" customHeight="false" outlineLevel="0" collapsed="false">
      <c r="A141" s="4" t="s">
        <v>462</v>
      </c>
      <c r="B141" s="4" t="s">
        <v>313</v>
      </c>
      <c r="C141" s="4" t="s">
        <v>236</v>
      </c>
      <c r="D141" s="4" t="s">
        <v>525</v>
      </c>
      <c r="E141" s="4" t="s">
        <v>19</v>
      </c>
      <c r="F141" s="4" t="s">
        <v>526</v>
      </c>
      <c r="G141" s="4" t="s">
        <v>527</v>
      </c>
    </row>
    <row r="142" customFormat="false" ht="35.05" hidden="false" customHeight="false" outlineLevel="0" collapsed="false">
      <c r="A142" s="4" t="s">
        <v>462</v>
      </c>
      <c r="B142" s="4" t="s">
        <v>313</v>
      </c>
      <c r="C142" s="4" t="s">
        <v>238</v>
      </c>
      <c r="D142" s="4" t="s">
        <v>528</v>
      </c>
      <c r="E142" s="4" t="s">
        <v>19</v>
      </c>
      <c r="F142" s="4" t="s">
        <v>529</v>
      </c>
      <c r="G142" s="4" t="s">
        <v>530</v>
      </c>
    </row>
    <row r="143" customFormat="false" ht="35.05" hidden="false" customHeight="false" outlineLevel="0" collapsed="false">
      <c r="A143" s="4" t="s">
        <v>462</v>
      </c>
      <c r="B143" s="4" t="s">
        <v>329</v>
      </c>
      <c r="C143" s="4"/>
      <c r="D143" s="4" t="s">
        <v>531</v>
      </c>
      <c r="E143" s="4" t="s">
        <v>333</v>
      </c>
      <c r="F143" s="4" t="s">
        <v>532</v>
      </c>
      <c r="G143" s="4"/>
    </row>
    <row r="144" customFormat="false" ht="79.85" hidden="false" customHeight="false" outlineLevel="0" collapsed="false">
      <c r="A144" s="4" t="s">
        <v>462</v>
      </c>
      <c r="B144" s="4" t="s">
        <v>329</v>
      </c>
      <c r="C144" s="4"/>
      <c r="D144" s="4" t="s">
        <v>533</v>
      </c>
      <c r="E144" s="4" t="s">
        <v>333</v>
      </c>
      <c r="F144" s="4" t="s">
        <v>534</v>
      </c>
      <c r="G144" s="4"/>
    </row>
    <row r="145" customFormat="false" ht="23.85" hidden="false" customHeight="false" outlineLevel="0" collapsed="false">
      <c r="A145" s="4" t="s">
        <v>462</v>
      </c>
      <c r="B145" s="4" t="s">
        <v>329</v>
      </c>
      <c r="C145" s="4"/>
      <c r="D145" s="4" t="s">
        <v>535</v>
      </c>
      <c r="E145" s="4" t="s">
        <v>333</v>
      </c>
      <c r="F145" s="4" t="s">
        <v>536</v>
      </c>
      <c r="G145" s="4"/>
    </row>
    <row r="146" customFormat="false" ht="23.85" hidden="false" customHeight="false" outlineLevel="0" collapsed="false">
      <c r="A146" s="4" t="s">
        <v>462</v>
      </c>
      <c r="B146" s="4" t="s">
        <v>329</v>
      </c>
      <c r="C146" s="4"/>
      <c r="D146" s="4" t="s">
        <v>537</v>
      </c>
      <c r="E146" s="4" t="s">
        <v>171</v>
      </c>
      <c r="F146" s="4" t="s">
        <v>538</v>
      </c>
      <c r="G146" s="4"/>
    </row>
    <row r="147" customFormat="false" ht="46.25" hidden="false" customHeight="false" outlineLevel="0" collapsed="false">
      <c r="A147" s="4" t="s">
        <v>462</v>
      </c>
      <c r="B147" s="4" t="s">
        <v>329</v>
      </c>
      <c r="C147" s="4"/>
      <c r="D147" s="4" t="s">
        <v>446</v>
      </c>
      <c r="E147" s="4" t="s">
        <v>333</v>
      </c>
      <c r="F147" s="4" t="s">
        <v>539</v>
      </c>
      <c r="G147" s="4"/>
    </row>
    <row r="148" customFormat="false" ht="23.85" hidden="false" customHeight="false" outlineLevel="0" collapsed="false">
      <c r="A148" s="4" t="s">
        <v>462</v>
      </c>
      <c r="B148" s="4" t="s">
        <v>329</v>
      </c>
      <c r="C148" s="4"/>
      <c r="D148" s="4" t="s">
        <v>540</v>
      </c>
      <c r="E148" s="4" t="s">
        <v>333</v>
      </c>
      <c r="F148" s="4" t="s">
        <v>541</v>
      </c>
      <c r="G148" s="4"/>
    </row>
    <row r="149" customFormat="false" ht="23.85" hidden="false" customHeight="false" outlineLevel="0" collapsed="false">
      <c r="A149" s="4" t="s">
        <v>462</v>
      </c>
      <c r="B149" s="4" t="s">
        <v>329</v>
      </c>
      <c r="C149" s="4"/>
      <c r="D149" s="4" t="s">
        <v>542</v>
      </c>
      <c r="E149" s="4" t="s">
        <v>333</v>
      </c>
      <c r="F149" s="4" t="s">
        <v>543</v>
      </c>
      <c r="G149" s="4"/>
    </row>
    <row r="150" customFormat="false" ht="23.85" hidden="false" customHeight="false" outlineLevel="0" collapsed="false">
      <c r="A150" s="4" t="s">
        <v>462</v>
      </c>
      <c r="B150" s="4" t="s">
        <v>329</v>
      </c>
      <c r="C150" s="4"/>
      <c r="D150" s="4" t="s">
        <v>343</v>
      </c>
      <c r="E150" s="4" t="s">
        <v>171</v>
      </c>
      <c r="F150" s="4" t="s">
        <v>544</v>
      </c>
      <c r="G150" s="4"/>
    </row>
    <row r="151" customFormat="false" ht="23.85" hidden="false" customHeight="false" outlineLevel="0" collapsed="false">
      <c r="A151" s="4" t="s">
        <v>462</v>
      </c>
      <c r="B151" s="4" t="s">
        <v>329</v>
      </c>
      <c r="C151" s="4"/>
      <c r="D151" s="4" t="s">
        <v>545</v>
      </c>
      <c r="E151" s="4" t="s">
        <v>171</v>
      </c>
      <c r="F151" s="4" t="s">
        <v>546</v>
      </c>
      <c r="G151" s="4"/>
    </row>
    <row r="152" customFormat="false" ht="23.85" hidden="false" customHeight="false" outlineLevel="0" collapsed="false">
      <c r="A152" s="4" t="s">
        <v>462</v>
      </c>
      <c r="B152" s="4" t="s">
        <v>329</v>
      </c>
      <c r="C152" s="4"/>
      <c r="D152" s="4" t="s">
        <v>547</v>
      </c>
      <c r="E152" s="4" t="s">
        <v>333</v>
      </c>
      <c r="F152" s="4" t="s">
        <v>548</v>
      </c>
      <c r="G152" s="4"/>
    </row>
    <row r="153" customFormat="false" ht="23.85" hidden="false" customHeight="false" outlineLevel="0" collapsed="false">
      <c r="A153" s="4" t="s">
        <v>462</v>
      </c>
      <c r="B153" s="4" t="s">
        <v>329</v>
      </c>
      <c r="C153" s="4"/>
      <c r="D153" s="4" t="s">
        <v>351</v>
      </c>
      <c r="E153" s="4" t="s">
        <v>333</v>
      </c>
      <c r="F153" s="4" t="s">
        <v>549</v>
      </c>
      <c r="G153" s="4"/>
    </row>
    <row r="154" customFormat="false" ht="23.85" hidden="false" customHeight="false" outlineLevel="0" collapsed="false">
      <c r="A154" s="4" t="s">
        <v>462</v>
      </c>
      <c r="B154" s="4" t="s">
        <v>329</v>
      </c>
      <c r="C154" s="4"/>
      <c r="D154" s="4" t="s">
        <v>550</v>
      </c>
      <c r="E154" s="4" t="s">
        <v>333</v>
      </c>
      <c r="F154" s="4" t="s">
        <v>551</v>
      </c>
      <c r="G154" s="4"/>
    </row>
    <row r="155" customFormat="false" ht="23.85" hidden="false" customHeight="false" outlineLevel="0" collapsed="false">
      <c r="A155" s="4" t="s">
        <v>462</v>
      </c>
      <c r="B155" s="4" t="s">
        <v>329</v>
      </c>
      <c r="C155" s="4"/>
      <c r="D155" s="4" t="s">
        <v>552</v>
      </c>
      <c r="E155" s="4" t="s">
        <v>333</v>
      </c>
      <c r="F155" s="4" t="s">
        <v>553</v>
      </c>
      <c r="G155" s="4"/>
    </row>
    <row r="156" customFormat="false" ht="23.85" hidden="false" customHeight="false" outlineLevel="0" collapsed="false">
      <c r="A156" s="4" t="s">
        <v>554</v>
      </c>
      <c r="B156" s="4" t="s">
        <v>249</v>
      </c>
      <c r="C156" s="4" t="s">
        <v>165</v>
      </c>
      <c r="D156" s="4" t="s">
        <v>166</v>
      </c>
      <c r="E156" s="4" t="s">
        <v>19</v>
      </c>
      <c r="F156" s="4" t="s">
        <v>555</v>
      </c>
      <c r="G156" s="4" t="s">
        <v>556</v>
      </c>
    </row>
    <row r="157" customFormat="false" ht="35.05" hidden="false" customHeight="false" outlineLevel="0" collapsed="false">
      <c r="A157" s="4" t="s">
        <v>554</v>
      </c>
      <c r="B157" s="4" t="s">
        <v>249</v>
      </c>
      <c r="C157" s="4" t="s">
        <v>167</v>
      </c>
      <c r="D157" s="4" t="s">
        <v>168</v>
      </c>
      <c r="E157" s="4" t="s">
        <v>19</v>
      </c>
      <c r="F157" s="4" t="s">
        <v>557</v>
      </c>
      <c r="G157" s="4" t="s">
        <v>558</v>
      </c>
    </row>
    <row r="158" customFormat="false" ht="23.85" hidden="false" customHeight="false" outlineLevel="0" collapsed="false">
      <c r="A158" s="4" t="s">
        <v>554</v>
      </c>
      <c r="B158" s="4" t="s">
        <v>249</v>
      </c>
      <c r="C158" s="4" t="s">
        <v>169</v>
      </c>
      <c r="D158" s="4" t="s">
        <v>170</v>
      </c>
      <c r="E158" s="4" t="s">
        <v>171</v>
      </c>
      <c r="F158" s="4" t="s">
        <v>559</v>
      </c>
      <c r="G158" s="4" t="s">
        <v>560</v>
      </c>
    </row>
    <row r="159" customFormat="false" ht="23.85" hidden="false" customHeight="false" outlineLevel="0" collapsed="false">
      <c r="A159" s="4" t="s">
        <v>554</v>
      </c>
      <c r="B159" s="4" t="s">
        <v>249</v>
      </c>
      <c r="C159" s="4" t="s">
        <v>172</v>
      </c>
      <c r="D159" s="4" t="s">
        <v>365</v>
      </c>
      <c r="E159" s="4" t="s">
        <v>19</v>
      </c>
      <c r="F159" s="4" t="s">
        <v>561</v>
      </c>
      <c r="G159" s="4" t="s">
        <v>562</v>
      </c>
    </row>
    <row r="160" customFormat="false" ht="23.85" hidden="false" customHeight="false" outlineLevel="0" collapsed="false">
      <c r="A160" s="4" t="s">
        <v>554</v>
      </c>
      <c r="B160" s="4" t="s">
        <v>249</v>
      </c>
      <c r="C160" s="4" t="s">
        <v>174</v>
      </c>
      <c r="D160" s="4" t="s">
        <v>368</v>
      </c>
      <c r="E160" s="4" t="s">
        <v>19</v>
      </c>
      <c r="F160" s="4" t="s">
        <v>563</v>
      </c>
      <c r="G160" s="4" t="s">
        <v>564</v>
      </c>
    </row>
    <row r="161" customFormat="false" ht="23.85" hidden="false" customHeight="false" outlineLevel="0" collapsed="false">
      <c r="A161" s="4" t="s">
        <v>554</v>
      </c>
      <c r="B161" s="4" t="s">
        <v>249</v>
      </c>
      <c r="C161" s="4" t="s">
        <v>176</v>
      </c>
      <c r="D161" s="4" t="s">
        <v>371</v>
      </c>
      <c r="E161" s="4" t="s">
        <v>19</v>
      </c>
      <c r="F161" s="4" t="s">
        <v>565</v>
      </c>
      <c r="G161" s="4" t="s">
        <v>566</v>
      </c>
    </row>
    <row r="162" customFormat="false" ht="23.85" hidden="false" customHeight="false" outlineLevel="0" collapsed="false">
      <c r="A162" s="4" t="s">
        <v>554</v>
      </c>
      <c r="B162" s="4" t="s">
        <v>249</v>
      </c>
      <c r="C162" s="4" t="s">
        <v>178</v>
      </c>
      <c r="D162" s="4" t="s">
        <v>374</v>
      </c>
      <c r="E162" s="4" t="s">
        <v>171</v>
      </c>
      <c r="F162" s="4" t="s">
        <v>567</v>
      </c>
      <c r="G162" s="4" t="s">
        <v>568</v>
      </c>
    </row>
    <row r="163" customFormat="false" ht="23.85" hidden="false" customHeight="false" outlineLevel="0" collapsed="false">
      <c r="A163" s="4" t="s">
        <v>554</v>
      </c>
      <c r="B163" s="4" t="s">
        <v>249</v>
      </c>
      <c r="C163" s="4" t="s">
        <v>180</v>
      </c>
      <c r="D163" s="4" t="s">
        <v>181</v>
      </c>
      <c r="E163" s="4" t="s">
        <v>171</v>
      </c>
      <c r="F163" s="4" t="s">
        <v>569</v>
      </c>
      <c r="G163" s="4" t="s">
        <v>570</v>
      </c>
    </row>
    <row r="164" customFormat="false" ht="23.85" hidden="false" customHeight="false" outlineLevel="0" collapsed="false">
      <c r="A164" s="4" t="s">
        <v>554</v>
      </c>
      <c r="B164" s="4" t="s">
        <v>249</v>
      </c>
      <c r="C164" s="4" t="s">
        <v>182</v>
      </c>
      <c r="D164" s="4" t="s">
        <v>183</v>
      </c>
      <c r="E164" s="4" t="s">
        <v>171</v>
      </c>
      <c r="F164" s="4" t="s">
        <v>571</v>
      </c>
      <c r="G164" s="4" t="s">
        <v>572</v>
      </c>
    </row>
    <row r="165" customFormat="false" ht="23.85" hidden="false" customHeight="false" outlineLevel="0" collapsed="false">
      <c r="A165" s="4" t="s">
        <v>554</v>
      </c>
      <c r="B165" s="4" t="s">
        <v>249</v>
      </c>
      <c r="C165" s="4" t="s">
        <v>184</v>
      </c>
      <c r="D165" s="4" t="s">
        <v>185</v>
      </c>
      <c r="E165" s="4" t="s">
        <v>20</v>
      </c>
      <c r="F165" s="4" t="s">
        <v>573</v>
      </c>
      <c r="G165" s="4" t="s">
        <v>574</v>
      </c>
    </row>
    <row r="166" customFormat="false" ht="23.85" hidden="false" customHeight="false" outlineLevel="0" collapsed="false">
      <c r="A166" s="4" t="s">
        <v>554</v>
      </c>
      <c r="B166" s="4" t="s">
        <v>249</v>
      </c>
      <c r="C166" s="4" t="s">
        <v>186</v>
      </c>
      <c r="D166" s="4" t="s">
        <v>575</v>
      </c>
      <c r="E166" s="4" t="s">
        <v>20</v>
      </c>
      <c r="F166" s="4" t="s">
        <v>576</v>
      </c>
      <c r="G166" s="4" t="s">
        <v>577</v>
      </c>
    </row>
    <row r="167" customFormat="false" ht="23.85" hidden="false" customHeight="false" outlineLevel="0" collapsed="false">
      <c r="A167" s="4" t="s">
        <v>554</v>
      </c>
      <c r="B167" s="4" t="s">
        <v>249</v>
      </c>
      <c r="C167" s="4" t="s">
        <v>188</v>
      </c>
      <c r="D167" s="4" t="s">
        <v>189</v>
      </c>
      <c r="E167" s="4" t="s">
        <v>19</v>
      </c>
      <c r="F167" s="4" t="s">
        <v>578</v>
      </c>
      <c r="G167" s="4" t="s">
        <v>579</v>
      </c>
    </row>
    <row r="168" customFormat="false" ht="23.85" hidden="false" customHeight="false" outlineLevel="0" collapsed="false">
      <c r="A168" s="4" t="s">
        <v>554</v>
      </c>
      <c r="B168" s="4" t="s">
        <v>249</v>
      </c>
      <c r="C168" s="4" t="s">
        <v>190</v>
      </c>
      <c r="D168" s="4" t="s">
        <v>191</v>
      </c>
      <c r="E168" s="4" t="s">
        <v>19</v>
      </c>
      <c r="F168" s="4" t="s">
        <v>580</v>
      </c>
      <c r="G168" s="4" t="s">
        <v>581</v>
      </c>
    </row>
    <row r="169" customFormat="false" ht="35.05" hidden="false" customHeight="false" outlineLevel="0" collapsed="false">
      <c r="A169" s="4" t="s">
        <v>554</v>
      </c>
      <c r="B169" s="4" t="s">
        <v>249</v>
      </c>
      <c r="C169" s="4" t="s">
        <v>192</v>
      </c>
      <c r="D169" s="4" t="s">
        <v>193</v>
      </c>
      <c r="E169" s="4" t="s">
        <v>171</v>
      </c>
      <c r="F169" s="4" t="s">
        <v>582</v>
      </c>
      <c r="G169" s="4" t="s">
        <v>277</v>
      </c>
    </row>
    <row r="170" customFormat="false" ht="23.85" hidden="false" customHeight="false" outlineLevel="0" collapsed="false">
      <c r="A170" s="4" t="s">
        <v>554</v>
      </c>
      <c r="B170" s="4" t="s">
        <v>249</v>
      </c>
      <c r="C170" s="4" t="s">
        <v>194</v>
      </c>
      <c r="D170" s="4" t="s">
        <v>195</v>
      </c>
      <c r="E170" s="4" t="s">
        <v>19</v>
      </c>
      <c r="F170" s="4" t="s">
        <v>583</v>
      </c>
      <c r="G170" s="4" t="s">
        <v>584</v>
      </c>
    </row>
    <row r="171" customFormat="false" ht="23.85" hidden="false" customHeight="false" outlineLevel="0" collapsed="false">
      <c r="A171" s="4" t="s">
        <v>554</v>
      </c>
      <c r="B171" s="4" t="s">
        <v>249</v>
      </c>
      <c r="C171" s="4" t="s">
        <v>196</v>
      </c>
      <c r="D171" s="4" t="s">
        <v>197</v>
      </c>
      <c r="E171" s="4" t="s">
        <v>19</v>
      </c>
      <c r="F171" s="4" t="s">
        <v>585</v>
      </c>
      <c r="G171" s="4" t="s">
        <v>586</v>
      </c>
    </row>
    <row r="172" customFormat="false" ht="35.05" hidden="false" customHeight="false" outlineLevel="0" collapsed="false">
      <c r="A172" s="4" t="s">
        <v>554</v>
      </c>
      <c r="B172" s="4" t="s">
        <v>249</v>
      </c>
      <c r="C172" s="4" t="s">
        <v>198</v>
      </c>
      <c r="D172" s="4" t="s">
        <v>199</v>
      </c>
      <c r="E172" s="4" t="s">
        <v>19</v>
      </c>
      <c r="F172" s="4" t="s">
        <v>587</v>
      </c>
      <c r="G172" s="4" t="s">
        <v>588</v>
      </c>
    </row>
    <row r="173" customFormat="false" ht="23.85" hidden="false" customHeight="false" outlineLevel="0" collapsed="false">
      <c r="A173" s="4" t="s">
        <v>554</v>
      </c>
      <c r="B173" s="4" t="s">
        <v>249</v>
      </c>
      <c r="C173" s="4" t="s">
        <v>200</v>
      </c>
      <c r="D173" s="4" t="s">
        <v>201</v>
      </c>
      <c r="E173" s="4" t="s">
        <v>20</v>
      </c>
      <c r="F173" s="4" t="s">
        <v>589</v>
      </c>
      <c r="G173" s="4" t="s">
        <v>590</v>
      </c>
    </row>
    <row r="174" customFormat="false" ht="23.85" hidden="false" customHeight="false" outlineLevel="0" collapsed="false">
      <c r="A174" s="4" t="s">
        <v>554</v>
      </c>
      <c r="B174" s="4" t="s">
        <v>249</v>
      </c>
      <c r="C174" s="4" t="s">
        <v>202</v>
      </c>
      <c r="D174" s="4" t="s">
        <v>203</v>
      </c>
      <c r="E174" s="4" t="s">
        <v>19</v>
      </c>
      <c r="F174" s="4" t="s">
        <v>591</v>
      </c>
      <c r="G174" s="4" t="s">
        <v>592</v>
      </c>
    </row>
    <row r="175" customFormat="false" ht="46.25" hidden="false" customHeight="false" outlineLevel="0" collapsed="false">
      <c r="A175" s="4" t="s">
        <v>554</v>
      </c>
      <c r="B175" s="4" t="s">
        <v>249</v>
      </c>
      <c r="C175" s="4" t="s">
        <v>204</v>
      </c>
      <c r="D175" s="4" t="s">
        <v>205</v>
      </c>
      <c r="E175" s="4" t="s">
        <v>20</v>
      </c>
      <c r="F175" s="4" t="s">
        <v>593</v>
      </c>
      <c r="G175" s="4" t="s">
        <v>594</v>
      </c>
    </row>
    <row r="176" customFormat="false" ht="23.85" hidden="false" customHeight="false" outlineLevel="0" collapsed="false">
      <c r="A176" s="4" t="s">
        <v>554</v>
      </c>
      <c r="B176" s="4" t="s">
        <v>249</v>
      </c>
      <c r="C176" s="4" t="s">
        <v>206</v>
      </c>
      <c r="D176" s="4" t="s">
        <v>207</v>
      </c>
      <c r="E176" s="4" t="s">
        <v>19</v>
      </c>
      <c r="F176" s="4" t="s">
        <v>595</v>
      </c>
      <c r="G176" s="4" t="s">
        <v>596</v>
      </c>
    </row>
    <row r="177" customFormat="false" ht="23.85" hidden="false" customHeight="false" outlineLevel="0" collapsed="false">
      <c r="A177" s="4" t="s">
        <v>554</v>
      </c>
      <c r="B177" s="4" t="s">
        <v>292</v>
      </c>
      <c r="C177" s="4" t="s">
        <v>208</v>
      </c>
      <c r="D177" s="4" t="s">
        <v>209</v>
      </c>
      <c r="E177" s="4" t="s">
        <v>171</v>
      </c>
      <c r="F177" s="4" t="s">
        <v>597</v>
      </c>
      <c r="G177" s="4" t="s">
        <v>277</v>
      </c>
    </row>
    <row r="178" customFormat="false" ht="23.85" hidden="false" customHeight="false" outlineLevel="0" collapsed="false">
      <c r="A178" s="4" t="s">
        <v>554</v>
      </c>
      <c r="B178" s="4" t="s">
        <v>292</v>
      </c>
      <c r="C178" s="4" t="s">
        <v>210</v>
      </c>
      <c r="D178" s="4" t="s">
        <v>211</v>
      </c>
      <c r="E178" s="4" t="s">
        <v>19</v>
      </c>
      <c r="F178" s="4" t="s">
        <v>598</v>
      </c>
      <c r="G178" s="4" t="s">
        <v>599</v>
      </c>
    </row>
    <row r="179" customFormat="false" ht="23.85" hidden="false" customHeight="false" outlineLevel="0" collapsed="false">
      <c r="A179" s="4" t="s">
        <v>554</v>
      </c>
      <c r="B179" s="4" t="s">
        <v>292</v>
      </c>
      <c r="C179" s="4" t="s">
        <v>212</v>
      </c>
      <c r="D179" s="4" t="s">
        <v>213</v>
      </c>
      <c r="E179" s="4" t="s">
        <v>171</v>
      </c>
      <c r="F179" s="4" t="s">
        <v>600</v>
      </c>
      <c r="G179" s="4" t="s">
        <v>601</v>
      </c>
    </row>
    <row r="180" customFormat="false" ht="23.85" hidden="false" customHeight="false" outlineLevel="0" collapsed="false">
      <c r="A180" s="4" t="s">
        <v>554</v>
      </c>
      <c r="B180" s="4" t="s">
        <v>292</v>
      </c>
      <c r="C180" s="4" t="s">
        <v>214</v>
      </c>
      <c r="D180" s="4" t="s">
        <v>215</v>
      </c>
      <c r="E180" s="4" t="s">
        <v>171</v>
      </c>
      <c r="F180" s="4" t="s">
        <v>602</v>
      </c>
      <c r="G180" s="4" t="s">
        <v>277</v>
      </c>
    </row>
    <row r="181" customFormat="false" ht="23.85" hidden="false" customHeight="false" outlineLevel="0" collapsed="false">
      <c r="A181" s="4" t="s">
        <v>554</v>
      </c>
      <c r="B181" s="4" t="s">
        <v>292</v>
      </c>
      <c r="C181" s="4" t="s">
        <v>216</v>
      </c>
      <c r="D181" s="4" t="s">
        <v>217</v>
      </c>
      <c r="E181" s="4" t="s">
        <v>19</v>
      </c>
      <c r="F181" s="4" t="s">
        <v>603</v>
      </c>
      <c r="G181" s="4" t="s">
        <v>604</v>
      </c>
    </row>
    <row r="182" customFormat="false" ht="23.85" hidden="false" customHeight="false" outlineLevel="0" collapsed="false">
      <c r="A182" s="4" t="s">
        <v>554</v>
      </c>
      <c r="B182" s="4" t="s">
        <v>292</v>
      </c>
      <c r="C182" s="4" t="s">
        <v>218</v>
      </c>
      <c r="D182" s="4" t="s">
        <v>219</v>
      </c>
      <c r="E182" s="4" t="s">
        <v>171</v>
      </c>
      <c r="F182" s="4" t="s">
        <v>605</v>
      </c>
      <c r="G182" s="4" t="s">
        <v>277</v>
      </c>
    </row>
    <row r="183" customFormat="false" ht="23.85" hidden="false" customHeight="false" outlineLevel="0" collapsed="false">
      <c r="A183" s="4" t="s">
        <v>554</v>
      </c>
      <c r="B183" s="4" t="s">
        <v>292</v>
      </c>
      <c r="C183" s="4" t="s">
        <v>220</v>
      </c>
      <c r="D183" s="4" t="s">
        <v>221</v>
      </c>
      <c r="E183" s="4" t="s">
        <v>19</v>
      </c>
      <c r="F183" s="4" t="s">
        <v>606</v>
      </c>
      <c r="G183" s="4" t="s">
        <v>607</v>
      </c>
    </row>
    <row r="184" customFormat="false" ht="23.85" hidden="false" customHeight="false" outlineLevel="0" collapsed="false">
      <c r="A184" s="4" t="s">
        <v>554</v>
      </c>
      <c r="B184" s="4" t="s">
        <v>292</v>
      </c>
      <c r="C184" s="4" t="s">
        <v>222</v>
      </c>
      <c r="D184" s="4" t="s">
        <v>223</v>
      </c>
      <c r="E184" s="4" t="s">
        <v>19</v>
      </c>
      <c r="F184" s="4" t="s">
        <v>608</v>
      </c>
      <c r="G184" s="4" t="s">
        <v>609</v>
      </c>
    </row>
    <row r="185" customFormat="false" ht="23.85" hidden="false" customHeight="false" outlineLevel="0" collapsed="false">
      <c r="A185" s="4" t="s">
        <v>554</v>
      </c>
      <c r="B185" s="4" t="s">
        <v>292</v>
      </c>
      <c r="C185" s="4" t="s">
        <v>224</v>
      </c>
      <c r="D185" s="4" t="s">
        <v>225</v>
      </c>
      <c r="E185" s="4" t="s">
        <v>19</v>
      </c>
      <c r="F185" s="4" t="s">
        <v>610</v>
      </c>
      <c r="G185" s="4" t="s">
        <v>611</v>
      </c>
    </row>
    <row r="186" customFormat="false" ht="23.85" hidden="false" customHeight="false" outlineLevel="0" collapsed="false">
      <c r="A186" s="4" t="s">
        <v>554</v>
      </c>
      <c r="B186" s="4" t="s">
        <v>292</v>
      </c>
      <c r="C186" s="4" t="s">
        <v>226</v>
      </c>
      <c r="D186" s="4" t="s">
        <v>227</v>
      </c>
      <c r="E186" s="4" t="s">
        <v>19</v>
      </c>
      <c r="F186" s="4" t="s">
        <v>612</v>
      </c>
      <c r="G186" s="4" t="s">
        <v>613</v>
      </c>
    </row>
    <row r="187" customFormat="false" ht="23.85" hidden="false" customHeight="false" outlineLevel="0" collapsed="false">
      <c r="A187" s="4" t="s">
        <v>554</v>
      </c>
      <c r="B187" s="4" t="s">
        <v>292</v>
      </c>
      <c r="C187" s="4" t="s">
        <v>228</v>
      </c>
      <c r="D187" s="4" t="s">
        <v>229</v>
      </c>
      <c r="E187" s="4" t="s">
        <v>171</v>
      </c>
      <c r="F187" s="4" t="s">
        <v>614</v>
      </c>
      <c r="G187" s="4" t="s">
        <v>277</v>
      </c>
    </row>
    <row r="188" customFormat="false" ht="23.85" hidden="false" customHeight="false" outlineLevel="0" collapsed="false">
      <c r="A188" s="4" t="s">
        <v>554</v>
      </c>
      <c r="B188" s="4" t="s">
        <v>313</v>
      </c>
      <c r="C188" s="4" t="s">
        <v>230</v>
      </c>
      <c r="D188" s="4" t="s">
        <v>615</v>
      </c>
      <c r="E188" s="4" t="s">
        <v>171</v>
      </c>
      <c r="F188" s="4" t="s">
        <v>616</v>
      </c>
      <c r="G188" s="4" t="s">
        <v>617</v>
      </c>
    </row>
    <row r="189" customFormat="false" ht="23.85" hidden="false" customHeight="false" outlineLevel="0" collapsed="false">
      <c r="A189" s="4" t="s">
        <v>554</v>
      </c>
      <c r="B189" s="4" t="s">
        <v>313</v>
      </c>
      <c r="C189" s="4" t="s">
        <v>232</v>
      </c>
      <c r="D189" s="4" t="s">
        <v>618</v>
      </c>
      <c r="E189" s="4" t="s">
        <v>171</v>
      </c>
      <c r="F189" s="4" t="s">
        <v>619</v>
      </c>
      <c r="G189" s="4" t="s">
        <v>620</v>
      </c>
    </row>
    <row r="190" customFormat="false" ht="35.05" hidden="false" customHeight="false" outlineLevel="0" collapsed="false">
      <c r="A190" s="4" t="s">
        <v>554</v>
      </c>
      <c r="B190" s="4" t="s">
        <v>313</v>
      </c>
      <c r="C190" s="4" t="s">
        <v>234</v>
      </c>
      <c r="D190" s="4" t="s">
        <v>621</v>
      </c>
      <c r="E190" s="4" t="s">
        <v>19</v>
      </c>
      <c r="F190" s="4" t="s">
        <v>622</v>
      </c>
      <c r="G190" s="4" t="s">
        <v>623</v>
      </c>
    </row>
    <row r="191" customFormat="false" ht="35.05" hidden="false" customHeight="false" outlineLevel="0" collapsed="false">
      <c r="A191" s="4" t="s">
        <v>554</v>
      </c>
      <c r="B191" s="4" t="s">
        <v>313</v>
      </c>
      <c r="C191" s="4" t="s">
        <v>236</v>
      </c>
      <c r="D191" s="4" t="s">
        <v>624</v>
      </c>
      <c r="E191" s="4" t="s">
        <v>19</v>
      </c>
      <c r="F191" s="4" t="s">
        <v>625</v>
      </c>
      <c r="G191" s="4" t="s">
        <v>626</v>
      </c>
    </row>
    <row r="192" customFormat="false" ht="46.25" hidden="false" customHeight="false" outlineLevel="0" collapsed="false">
      <c r="A192" s="4" t="s">
        <v>554</v>
      </c>
      <c r="B192" s="4" t="s">
        <v>313</v>
      </c>
      <c r="C192" s="4" t="s">
        <v>238</v>
      </c>
      <c r="D192" s="4" t="s">
        <v>627</v>
      </c>
      <c r="E192" s="4" t="s">
        <v>19</v>
      </c>
      <c r="F192" s="4" t="s">
        <v>628</v>
      </c>
      <c r="G192" s="4" t="s">
        <v>629</v>
      </c>
    </row>
    <row r="193" customFormat="false" ht="23.85" hidden="false" customHeight="false" outlineLevel="0" collapsed="false">
      <c r="A193" s="4" t="s">
        <v>554</v>
      </c>
      <c r="B193" s="4" t="s">
        <v>329</v>
      </c>
      <c r="C193" s="4"/>
      <c r="D193" s="4" t="s">
        <v>330</v>
      </c>
      <c r="E193" s="4" t="s">
        <v>171</v>
      </c>
      <c r="F193" s="4" t="s">
        <v>630</v>
      </c>
      <c r="G193" s="4"/>
    </row>
    <row r="194" customFormat="false" ht="23.85" hidden="false" customHeight="false" outlineLevel="0" collapsed="false">
      <c r="A194" s="4" t="s">
        <v>554</v>
      </c>
      <c r="B194" s="4" t="s">
        <v>329</v>
      </c>
      <c r="C194" s="4"/>
      <c r="D194" s="4" t="s">
        <v>631</v>
      </c>
      <c r="E194" s="4" t="s">
        <v>333</v>
      </c>
      <c r="F194" s="4" t="s">
        <v>632</v>
      </c>
      <c r="G194" s="4"/>
    </row>
    <row r="195" customFormat="false" ht="57.45" hidden="false" customHeight="false" outlineLevel="0" collapsed="false">
      <c r="A195" s="4" t="s">
        <v>554</v>
      </c>
      <c r="B195" s="4" t="s">
        <v>329</v>
      </c>
      <c r="C195" s="4"/>
      <c r="D195" s="4" t="s">
        <v>446</v>
      </c>
      <c r="E195" s="4" t="s">
        <v>333</v>
      </c>
      <c r="F195" s="4" t="s">
        <v>633</v>
      </c>
      <c r="G195" s="4"/>
    </row>
    <row r="196" customFormat="false" ht="23.85" hidden="false" customHeight="false" outlineLevel="0" collapsed="false">
      <c r="A196" s="4" t="s">
        <v>554</v>
      </c>
      <c r="B196" s="4" t="s">
        <v>329</v>
      </c>
      <c r="C196" s="4"/>
      <c r="D196" s="4" t="s">
        <v>634</v>
      </c>
      <c r="E196" s="4" t="s">
        <v>333</v>
      </c>
      <c r="F196" s="4" t="s">
        <v>635</v>
      </c>
      <c r="G196" s="4"/>
    </row>
    <row r="197" customFormat="false" ht="23.85" hidden="false" customHeight="false" outlineLevel="0" collapsed="false">
      <c r="A197" s="4" t="s">
        <v>554</v>
      </c>
      <c r="B197" s="4" t="s">
        <v>329</v>
      </c>
      <c r="C197" s="4"/>
      <c r="D197" s="4" t="s">
        <v>345</v>
      </c>
      <c r="E197" s="4" t="s">
        <v>171</v>
      </c>
      <c r="F197" s="4" t="s">
        <v>636</v>
      </c>
      <c r="G197" s="4"/>
    </row>
    <row r="198" customFormat="false" ht="23.85" hidden="false" customHeight="false" outlineLevel="0" collapsed="false">
      <c r="A198" s="4" t="s">
        <v>554</v>
      </c>
      <c r="B198" s="4" t="s">
        <v>329</v>
      </c>
      <c r="C198" s="4"/>
      <c r="D198" s="4" t="s">
        <v>347</v>
      </c>
      <c r="E198" s="4" t="s">
        <v>171</v>
      </c>
      <c r="F198" s="4" t="s">
        <v>637</v>
      </c>
      <c r="G198" s="4"/>
    </row>
    <row r="199" customFormat="false" ht="23.85" hidden="false" customHeight="false" outlineLevel="0" collapsed="false">
      <c r="A199" s="4" t="s">
        <v>554</v>
      </c>
      <c r="B199" s="4" t="s">
        <v>329</v>
      </c>
      <c r="C199" s="4"/>
      <c r="D199" s="4" t="s">
        <v>638</v>
      </c>
      <c r="E199" s="4" t="s">
        <v>333</v>
      </c>
      <c r="F199" s="4" t="s">
        <v>639</v>
      </c>
      <c r="G199" s="4"/>
    </row>
    <row r="200" customFormat="false" ht="23.85" hidden="false" customHeight="false" outlineLevel="0" collapsed="false">
      <c r="A200" s="4" t="s">
        <v>554</v>
      </c>
      <c r="B200" s="4" t="s">
        <v>329</v>
      </c>
      <c r="C200" s="4"/>
      <c r="D200" s="4" t="s">
        <v>343</v>
      </c>
      <c r="E200" s="4" t="s">
        <v>171</v>
      </c>
      <c r="F200" s="4" t="s">
        <v>640</v>
      </c>
      <c r="G200" s="4"/>
    </row>
    <row r="201" customFormat="false" ht="23.85" hidden="false" customHeight="false" outlineLevel="0" collapsed="false">
      <c r="A201" s="4" t="s">
        <v>554</v>
      </c>
      <c r="B201" s="4" t="s">
        <v>329</v>
      </c>
      <c r="C201" s="4"/>
      <c r="D201" s="4" t="s">
        <v>547</v>
      </c>
      <c r="E201" s="4" t="s">
        <v>333</v>
      </c>
      <c r="F201" s="4" t="s">
        <v>641</v>
      </c>
      <c r="G201" s="4"/>
    </row>
    <row r="202" customFormat="false" ht="23.85" hidden="false" customHeight="false" outlineLevel="0" collapsed="false">
      <c r="A202" s="4" t="s">
        <v>554</v>
      </c>
      <c r="B202" s="4" t="s">
        <v>329</v>
      </c>
      <c r="C202" s="4"/>
      <c r="D202" s="4" t="s">
        <v>351</v>
      </c>
      <c r="E202" s="4" t="s">
        <v>171</v>
      </c>
      <c r="F202" s="4" t="s">
        <v>642</v>
      </c>
      <c r="G202" s="4"/>
    </row>
    <row r="203" customFormat="false" ht="23.85" hidden="false" customHeight="false" outlineLevel="0" collapsed="false">
      <c r="A203" s="4" t="s">
        <v>554</v>
      </c>
      <c r="B203" s="4" t="s">
        <v>329</v>
      </c>
      <c r="C203" s="4"/>
      <c r="D203" s="4" t="s">
        <v>355</v>
      </c>
      <c r="E203" s="4" t="s">
        <v>333</v>
      </c>
      <c r="F203" s="4" t="s">
        <v>643</v>
      </c>
      <c r="G203" s="4"/>
    </row>
    <row r="204" customFormat="false" ht="23.85" hidden="false" customHeight="false" outlineLevel="0" collapsed="false">
      <c r="A204" s="4" t="s">
        <v>554</v>
      </c>
      <c r="B204" s="4" t="s">
        <v>329</v>
      </c>
      <c r="C204" s="4"/>
      <c r="D204" s="4" t="s">
        <v>552</v>
      </c>
      <c r="E204" s="4" t="s">
        <v>333</v>
      </c>
      <c r="F204" s="4" t="s">
        <v>644</v>
      </c>
      <c r="G204" s="4"/>
    </row>
    <row r="205" customFormat="false" ht="35.05" hidden="false" customHeight="false" outlineLevel="0" collapsed="false">
      <c r="A205" s="4" t="s">
        <v>645</v>
      </c>
      <c r="B205" s="4" t="s">
        <v>249</v>
      </c>
      <c r="C205" s="4" t="s">
        <v>165</v>
      </c>
      <c r="D205" s="4" t="s">
        <v>646</v>
      </c>
      <c r="E205" s="4" t="s">
        <v>19</v>
      </c>
      <c r="F205" s="4" t="s">
        <v>647</v>
      </c>
      <c r="G205" s="4" t="s">
        <v>648</v>
      </c>
    </row>
    <row r="206" customFormat="false" ht="23.85" hidden="false" customHeight="false" outlineLevel="0" collapsed="false">
      <c r="A206" s="4" t="s">
        <v>645</v>
      </c>
      <c r="B206" s="4" t="s">
        <v>249</v>
      </c>
      <c r="C206" s="4" t="s">
        <v>167</v>
      </c>
      <c r="D206" s="4" t="s">
        <v>168</v>
      </c>
      <c r="E206" s="4" t="s">
        <v>19</v>
      </c>
      <c r="F206" s="4" t="s">
        <v>649</v>
      </c>
      <c r="G206" s="4" t="s">
        <v>650</v>
      </c>
    </row>
    <row r="207" customFormat="false" ht="23.85" hidden="false" customHeight="false" outlineLevel="0" collapsed="false">
      <c r="A207" s="4" t="s">
        <v>645</v>
      </c>
      <c r="B207" s="4" t="s">
        <v>249</v>
      </c>
      <c r="C207" s="4" t="s">
        <v>169</v>
      </c>
      <c r="D207" s="4" t="s">
        <v>651</v>
      </c>
      <c r="E207" s="4" t="s">
        <v>171</v>
      </c>
      <c r="F207" s="4" t="s">
        <v>652</v>
      </c>
      <c r="G207" s="4" t="s">
        <v>653</v>
      </c>
    </row>
    <row r="208" customFormat="false" ht="23.85" hidden="false" customHeight="false" outlineLevel="0" collapsed="false">
      <c r="A208" s="4" t="s">
        <v>645</v>
      </c>
      <c r="B208" s="4" t="s">
        <v>249</v>
      </c>
      <c r="C208" s="4" t="s">
        <v>172</v>
      </c>
      <c r="D208" s="4" t="s">
        <v>654</v>
      </c>
      <c r="E208" s="4" t="s">
        <v>19</v>
      </c>
      <c r="F208" s="4" t="s">
        <v>655</v>
      </c>
      <c r="G208" s="4" t="s">
        <v>656</v>
      </c>
    </row>
    <row r="209" customFormat="false" ht="35.05" hidden="false" customHeight="false" outlineLevel="0" collapsed="false">
      <c r="A209" s="4" t="s">
        <v>645</v>
      </c>
      <c r="B209" s="4" t="s">
        <v>249</v>
      </c>
      <c r="C209" s="4" t="s">
        <v>174</v>
      </c>
      <c r="D209" s="4" t="s">
        <v>657</v>
      </c>
      <c r="E209" s="4" t="s">
        <v>19</v>
      </c>
      <c r="F209" s="4" t="s">
        <v>658</v>
      </c>
      <c r="G209" s="4" t="s">
        <v>659</v>
      </c>
    </row>
    <row r="210" customFormat="false" ht="35.05" hidden="false" customHeight="false" outlineLevel="0" collapsed="false">
      <c r="A210" s="4" t="s">
        <v>645</v>
      </c>
      <c r="B210" s="4" t="s">
        <v>249</v>
      </c>
      <c r="C210" s="4" t="s">
        <v>176</v>
      </c>
      <c r="D210" s="4" t="s">
        <v>660</v>
      </c>
      <c r="E210" s="4" t="s">
        <v>19</v>
      </c>
      <c r="F210" s="4" t="s">
        <v>661</v>
      </c>
      <c r="G210" s="4" t="s">
        <v>662</v>
      </c>
    </row>
    <row r="211" customFormat="false" ht="23.85" hidden="false" customHeight="false" outlineLevel="0" collapsed="false">
      <c r="A211" s="4" t="s">
        <v>645</v>
      </c>
      <c r="B211" s="4" t="s">
        <v>249</v>
      </c>
      <c r="C211" s="4" t="s">
        <v>178</v>
      </c>
      <c r="D211" s="4" t="s">
        <v>179</v>
      </c>
      <c r="E211" s="4" t="s">
        <v>19</v>
      </c>
      <c r="F211" s="4" t="s">
        <v>663</v>
      </c>
      <c r="G211" s="4" t="s">
        <v>664</v>
      </c>
    </row>
    <row r="212" customFormat="false" ht="35.05" hidden="false" customHeight="false" outlineLevel="0" collapsed="false">
      <c r="A212" s="4" t="s">
        <v>645</v>
      </c>
      <c r="B212" s="4" t="s">
        <v>249</v>
      </c>
      <c r="C212" s="4" t="s">
        <v>180</v>
      </c>
      <c r="D212" s="4" t="s">
        <v>665</v>
      </c>
      <c r="E212" s="4" t="s">
        <v>19</v>
      </c>
      <c r="F212" s="4" t="s">
        <v>666</v>
      </c>
      <c r="G212" s="4" t="s">
        <v>667</v>
      </c>
    </row>
    <row r="213" customFormat="false" ht="23.85" hidden="false" customHeight="false" outlineLevel="0" collapsed="false">
      <c r="A213" s="4" t="s">
        <v>645</v>
      </c>
      <c r="B213" s="4" t="s">
        <v>249</v>
      </c>
      <c r="C213" s="4" t="s">
        <v>182</v>
      </c>
      <c r="D213" s="4" t="s">
        <v>183</v>
      </c>
      <c r="E213" s="4" t="s">
        <v>171</v>
      </c>
      <c r="F213" s="4" t="s">
        <v>668</v>
      </c>
      <c r="G213" s="4" t="s">
        <v>669</v>
      </c>
    </row>
    <row r="214" customFormat="false" ht="23.85" hidden="false" customHeight="false" outlineLevel="0" collapsed="false">
      <c r="A214" s="4" t="s">
        <v>645</v>
      </c>
      <c r="B214" s="4" t="s">
        <v>249</v>
      </c>
      <c r="C214" s="4" t="s">
        <v>184</v>
      </c>
      <c r="D214" s="4" t="s">
        <v>185</v>
      </c>
      <c r="E214" s="4" t="s">
        <v>20</v>
      </c>
      <c r="F214" s="4" t="s">
        <v>670</v>
      </c>
      <c r="G214" s="4" t="s">
        <v>671</v>
      </c>
    </row>
    <row r="215" customFormat="false" ht="35.05" hidden="false" customHeight="false" outlineLevel="0" collapsed="false">
      <c r="A215" s="4" t="s">
        <v>645</v>
      </c>
      <c r="B215" s="4" t="s">
        <v>249</v>
      </c>
      <c r="C215" s="4" t="s">
        <v>186</v>
      </c>
      <c r="D215" s="4" t="s">
        <v>187</v>
      </c>
      <c r="E215" s="4" t="s">
        <v>19</v>
      </c>
      <c r="F215" s="4" t="s">
        <v>672</v>
      </c>
      <c r="G215" s="4" t="s">
        <v>673</v>
      </c>
    </row>
    <row r="216" customFormat="false" ht="35.05" hidden="false" customHeight="false" outlineLevel="0" collapsed="false">
      <c r="A216" s="4" t="s">
        <v>645</v>
      </c>
      <c r="B216" s="4" t="s">
        <v>249</v>
      </c>
      <c r="C216" s="4" t="s">
        <v>188</v>
      </c>
      <c r="D216" s="4" t="s">
        <v>189</v>
      </c>
      <c r="E216" s="4" t="s">
        <v>20</v>
      </c>
      <c r="F216" s="4" t="s">
        <v>674</v>
      </c>
      <c r="G216" s="4" t="s">
        <v>675</v>
      </c>
    </row>
    <row r="217" customFormat="false" ht="23.85" hidden="false" customHeight="false" outlineLevel="0" collapsed="false">
      <c r="A217" s="4" t="s">
        <v>645</v>
      </c>
      <c r="B217" s="4" t="s">
        <v>249</v>
      </c>
      <c r="C217" s="4" t="s">
        <v>190</v>
      </c>
      <c r="D217" s="4" t="s">
        <v>676</v>
      </c>
      <c r="E217" s="4" t="s">
        <v>20</v>
      </c>
      <c r="F217" s="4" t="s">
        <v>677</v>
      </c>
      <c r="G217" s="4" t="s">
        <v>678</v>
      </c>
    </row>
    <row r="218" customFormat="false" ht="35.05" hidden="false" customHeight="false" outlineLevel="0" collapsed="false">
      <c r="A218" s="4" t="s">
        <v>645</v>
      </c>
      <c r="B218" s="4" t="s">
        <v>249</v>
      </c>
      <c r="C218" s="4" t="s">
        <v>192</v>
      </c>
      <c r="D218" s="4" t="s">
        <v>193</v>
      </c>
      <c r="E218" s="4" t="s">
        <v>171</v>
      </c>
      <c r="F218" s="4" t="s">
        <v>679</v>
      </c>
      <c r="G218" s="4" t="s">
        <v>680</v>
      </c>
    </row>
    <row r="219" customFormat="false" ht="23.85" hidden="false" customHeight="false" outlineLevel="0" collapsed="false">
      <c r="A219" s="4" t="s">
        <v>645</v>
      </c>
      <c r="B219" s="4" t="s">
        <v>249</v>
      </c>
      <c r="C219" s="4" t="s">
        <v>194</v>
      </c>
      <c r="D219" s="4" t="s">
        <v>681</v>
      </c>
      <c r="E219" s="4" t="s">
        <v>19</v>
      </c>
      <c r="F219" s="4" t="s">
        <v>682</v>
      </c>
      <c r="G219" s="4" t="s">
        <v>683</v>
      </c>
    </row>
    <row r="220" customFormat="false" ht="23.85" hidden="false" customHeight="false" outlineLevel="0" collapsed="false">
      <c r="A220" s="4" t="s">
        <v>645</v>
      </c>
      <c r="B220" s="4" t="s">
        <v>249</v>
      </c>
      <c r="C220" s="4" t="s">
        <v>196</v>
      </c>
      <c r="D220" s="4" t="s">
        <v>197</v>
      </c>
      <c r="E220" s="4" t="s">
        <v>20</v>
      </c>
      <c r="F220" s="4" t="s">
        <v>684</v>
      </c>
      <c r="G220" s="4" t="s">
        <v>685</v>
      </c>
    </row>
    <row r="221" customFormat="false" ht="35.05" hidden="false" customHeight="false" outlineLevel="0" collapsed="false">
      <c r="A221" s="4" t="s">
        <v>645</v>
      </c>
      <c r="B221" s="4" t="s">
        <v>249</v>
      </c>
      <c r="C221" s="4" t="s">
        <v>198</v>
      </c>
      <c r="D221" s="4" t="s">
        <v>199</v>
      </c>
      <c r="E221" s="4" t="s">
        <v>19</v>
      </c>
      <c r="F221" s="4" t="s">
        <v>686</v>
      </c>
      <c r="G221" s="4" t="s">
        <v>687</v>
      </c>
    </row>
    <row r="222" customFormat="false" ht="23.85" hidden="false" customHeight="false" outlineLevel="0" collapsed="false">
      <c r="A222" s="4" t="s">
        <v>645</v>
      </c>
      <c r="B222" s="4" t="s">
        <v>249</v>
      </c>
      <c r="C222" s="4" t="s">
        <v>200</v>
      </c>
      <c r="D222" s="4" t="s">
        <v>201</v>
      </c>
      <c r="E222" s="4" t="s">
        <v>20</v>
      </c>
      <c r="F222" s="4" t="s">
        <v>688</v>
      </c>
      <c r="G222" s="4" t="s">
        <v>689</v>
      </c>
    </row>
    <row r="223" customFormat="false" ht="23.85" hidden="false" customHeight="false" outlineLevel="0" collapsed="false">
      <c r="A223" s="4" t="s">
        <v>645</v>
      </c>
      <c r="B223" s="4" t="s">
        <v>249</v>
      </c>
      <c r="C223" s="4" t="s">
        <v>202</v>
      </c>
      <c r="D223" s="4" t="s">
        <v>203</v>
      </c>
      <c r="E223" s="4" t="s">
        <v>19</v>
      </c>
      <c r="F223" s="4" t="s">
        <v>690</v>
      </c>
      <c r="G223" s="4" t="s">
        <v>691</v>
      </c>
    </row>
    <row r="224" customFormat="false" ht="23.85" hidden="false" customHeight="false" outlineLevel="0" collapsed="false">
      <c r="A224" s="4" t="s">
        <v>645</v>
      </c>
      <c r="B224" s="4" t="s">
        <v>249</v>
      </c>
      <c r="C224" s="4" t="s">
        <v>204</v>
      </c>
      <c r="D224" s="4" t="s">
        <v>692</v>
      </c>
      <c r="E224" s="4" t="s">
        <v>20</v>
      </c>
      <c r="F224" s="4" t="s">
        <v>693</v>
      </c>
      <c r="G224" s="4" t="s">
        <v>694</v>
      </c>
    </row>
    <row r="225" customFormat="false" ht="23.85" hidden="false" customHeight="false" outlineLevel="0" collapsed="false">
      <c r="A225" s="4" t="s">
        <v>645</v>
      </c>
      <c r="B225" s="4" t="s">
        <v>249</v>
      </c>
      <c r="C225" s="4" t="s">
        <v>206</v>
      </c>
      <c r="D225" s="4" t="s">
        <v>695</v>
      </c>
      <c r="E225" s="4" t="s">
        <v>19</v>
      </c>
      <c r="F225" s="4" t="s">
        <v>696</v>
      </c>
      <c r="G225" s="4" t="s">
        <v>697</v>
      </c>
    </row>
    <row r="226" customFormat="false" ht="23.85" hidden="false" customHeight="false" outlineLevel="0" collapsed="false">
      <c r="A226" s="4" t="s">
        <v>645</v>
      </c>
      <c r="B226" s="4" t="s">
        <v>292</v>
      </c>
      <c r="C226" s="4" t="s">
        <v>208</v>
      </c>
      <c r="D226" s="4" t="s">
        <v>209</v>
      </c>
      <c r="E226" s="4" t="s">
        <v>171</v>
      </c>
      <c r="F226" s="4" t="s">
        <v>698</v>
      </c>
      <c r="G226" s="4" t="s">
        <v>699</v>
      </c>
    </row>
    <row r="227" customFormat="false" ht="23.85" hidden="false" customHeight="false" outlineLevel="0" collapsed="false">
      <c r="A227" s="4" t="s">
        <v>645</v>
      </c>
      <c r="B227" s="4" t="s">
        <v>292</v>
      </c>
      <c r="C227" s="4" t="s">
        <v>210</v>
      </c>
      <c r="D227" s="4" t="s">
        <v>211</v>
      </c>
      <c r="E227" s="4" t="s">
        <v>171</v>
      </c>
      <c r="F227" s="4" t="s">
        <v>700</v>
      </c>
      <c r="G227" s="4" t="s">
        <v>701</v>
      </c>
    </row>
    <row r="228" customFormat="false" ht="15" hidden="false" customHeight="false" outlineLevel="0" collapsed="false">
      <c r="A228" s="4" t="s">
        <v>645</v>
      </c>
      <c r="B228" s="4" t="s">
        <v>292</v>
      </c>
      <c r="C228" s="4" t="s">
        <v>212</v>
      </c>
      <c r="D228" s="4" t="s">
        <v>213</v>
      </c>
      <c r="E228" s="4" t="s">
        <v>19</v>
      </c>
      <c r="F228" s="4" t="s">
        <v>702</v>
      </c>
      <c r="G228" s="4" t="s">
        <v>703</v>
      </c>
    </row>
    <row r="229" customFormat="false" ht="23.85" hidden="false" customHeight="false" outlineLevel="0" collapsed="false">
      <c r="A229" s="4" t="s">
        <v>645</v>
      </c>
      <c r="B229" s="4" t="s">
        <v>292</v>
      </c>
      <c r="C229" s="4" t="s">
        <v>214</v>
      </c>
      <c r="D229" s="4" t="s">
        <v>215</v>
      </c>
      <c r="E229" s="4" t="s">
        <v>19</v>
      </c>
      <c r="F229" s="4" t="s">
        <v>704</v>
      </c>
      <c r="G229" s="4" t="s">
        <v>705</v>
      </c>
    </row>
    <row r="230" customFormat="false" ht="15" hidden="false" customHeight="false" outlineLevel="0" collapsed="false">
      <c r="A230" s="4" t="s">
        <v>645</v>
      </c>
      <c r="B230" s="4" t="s">
        <v>292</v>
      </c>
      <c r="C230" s="4" t="s">
        <v>216</v>
      </c>
      <c r="D230" s="4" t="s">
        <v>217</v>
      </c>
      <c r="E230" s="4" t="s">
        <v>19</v>
      </c>
      <c r="F230" s="4" t="s">
        <v>706</v>
      </c>
      <c r="G230" s="4" t="s">
        <v>707</v>
      </c>
    </row>
    <row r="231" customFormat="false" ht="23.85" hidden="false" customHeight="false" outlineLevel="0" collapsed="false">
      <c r="A231" s="4" t="s">
        <v>645</v>
      </c>
      <c r="B231" s="4" t="s">
        <v>292</v>
      </c>
      <c r="C231" s="4" t="s">
        <v>218</v>
      </c>
      <c r="D231" s="4" t="s">
        <v>219</v>
      </c>
      <c r="E231" s="4" t="s">
        <v>19</v>
      </c>
      <c r="F231" s="4" t="s">
        <v>708</v>
      </c>
      <c r="G231" s="4" t="s">
        <v>709</v>
      </c>
    </row>
    <row r="232" customFormat="false" ht="15" hidden="false" customHeight="false" outlineLevel="0" collapsed="false">
      <c r="A232" s="4" t="s">
        <v>645</v>
      </c>
      <c r="B232" s="4" t="s">
        <v>292</v>
      </c>
      <c r="C232" s="4" t="s">
        <v>220</v>
      </c>
      <c r="D232" s="4" t="s">
        <v>221</v>
      </c>
      <c r="E232" s="4" t="s">
        <v>20</v>
      </c>
      <c r="F232" s="4" t="s">
        <v>710</v>
      </c>
      <c r="G232" s="4" t="s">
        <v>711</v>
      </c>
    </row>
    <row r="233" customFormat="false" ht="23.85" hidden="false" customHeight="false" outlineLevel="0" collapsed="false">
      <c r="A233" s="4" t="s">
        <v>645</v>
      </c>
      <c r="B233" s="4" t="s">
        <v>292</v>
      </c>
      <c r="C233" s="4" t="s">
        <v>222</v>
      </c>
      <c r="D233" s="4" t="s">
        <v>223</v>
      </c>
      <c r="E233" s="4" t="s">
        <v>19</v>
      </c>
      <c r="F233" s="4" t="s">
        <v>712</v>
      </c>
      <c r="G233" s="4" t="s">
        <v>713</v>
      </c>
    </row>
    <row r="234" customFormat="false" ht="23.85" hidden="false" customHeight="false" outlineLevel="0" collapsed="false">
      <c r="A234" s="4" t="s">
        <v>645</v>
      </c>
      <c r="B234" s="4" t="s">
        <v>292</v>
      </c>
      <c r="C234" s="4" t="s">
        <v>224</v>
      </c>
      <c r="D234" s="4" t="s">
        <v>225</v>
      </c>
      <c r="E234" s="4" t="s">
        <v>20</v>
      </c>
      <c r="F234" s="4" t="s">
        <v>714</v>
      </c>
      <c r="G234" s="4" t="s">
        <v>715</v>
      </c>
    </row>
    <row r="235" customFormat="false" ht="15" hidden="false" customHeight="false" outlineLevel="0" collapsed="false">
      <c r="A235" s="4" t="s">
        <v>645</v>
      </c>
      <c r="B235" s="4" t="s">
        <v>292</v>
      </c>
      <c r="C235" s="4" t="s">
        <v>226</v>
      </c>
      <c r="D235" s="4" t="s">
        <v>227</v>
      </c>
      <c r="E235" s="4" t="s">
        <v>19</v>
      </c>
      <c r="F235" s="4" t="s">
        <v>716</v>
      </c>
      <c r="G235" s="4" t="s">
        <v>717</v>
      </c>
    </row>
    <row r="236" customFormat="false" ht="23.85" hidden="false" customHeight="false" outlineLevel="0" collapsed="false">
      <c r="A236" s="4" t="s">
        <v>645</v>
      </c>
      <c r="B236" s="4" t="s">
        <v>292</v>
      </c>
      <c r="C236" s="4" t="s">
        <v>228</v>
      </c>
      <c r="D236" s="4" t="s">
        <v>229</v>
      </c>
      <c r="E236" s="4" t="s">
        <v>171</v>
      </c>
      <c r="F236" s="4" t="s">
        <v>718</v>
      </c>
      <c r="G236" s="4" t="s">
        <v>719</v>
      </c>
    </row>
    <row r="237" customFormat="false" ht="23.85" hidden="false" customHeight="false" outlineLevel="0" collapsed="false">
      <c r="A237" s="4" t="s">
        <v>645</v>
      </c>
      <c r="B237" s="4" t="s">
        <v>313</v>
      </c>
      <c r="C237" s="4" t="s">
        <v>230</v>
      </c>
      <c r="D237" s="4" t="s">
        <v>720</v>
      </c>
      <c r="E237" s="4" t="s">
        <v>20</v>
      </c>
      <c r="F237" s="4" t="s">
        <v>721</v>
      </c>
      <c r="G237" s="4" t="s">
        <v>722</v>
      </c>
    </row>
    <row r="238" customFormat="false" ht="46.25" hidden="false" customHeight="false" outlineLevel="0" collapsed="false">
      <c r="A238" s="4" t="s">
        <v>645</v>
      </c>
      <c r="B238" s="4" t="s">
        <v>313</v>
      </c>
      <c r="C238" s="4" t="s">
        <v>232</v>
      </c>
      <c r="D238" s="4" t="s">
        <v>723</v>
      </c>
      <c r="E238" s="4" t="s">
        <v>171</v>
      </c>
      <c r="F238" s="4" t="s">
        <v>724</v>
      </c>
      <c r="G238" s="4" t="s">
        <v>725</v>
      </c>
    </row>
    <row r="239" customFormat="false" ht="35.05" hidden="false" customHeight="false" outlineLevel="0" collapsed="false">
      <c r="A239" s="4" t="s">
        <v>645</v>
      </c>
      <c r="B239" s="4" t="s">
        <v>313</v>
      </c>
      <c r="C239" s="4" t="s">
        <v>234</v>
      </c>
      <c r="D239" s="4" t="s">
        <v>726</v>
      </c>
      <c r="E239" s="4" t="s">
        <v>19</v>
      </c>
      <c r="F239" s="4" t="s">
        <v>727</v>
      </c>
      <c r="G239" s="4" t="s">
        <v>728</v>
      </c>
    </row>
    <row r="240" customFormat="false" ht="46.25" hidden="false" customHeight="false" outlineLevel="0" collapsed="false">
      <c r="A240" s="4" t="s">
        <v>645</v>
      </c>
      <c r="B240" s="4" t="s">
        <v>313</v>
      </c>
      <c r="C240" s="4" t="s">
        <v>236</v>
      </c>
      <c r="D240" s="4" t="s">
        <v>729</v>
      </c>
      <c r="E240" s="4" t="s">
        <v>19</v>
      </c>
      <c r="F240" s="4" t="s">
        <v>730</v>
      </c>
      <c r="G240" s="4" t="s">
        <v>731</v>
      </c>
    </row>
    <row r="241" customFormat="false" ht="35.05" hidden="false" customHeight="false" outlineLevel="0" collapsed="false">
      <c r="A241" s="4" t="s">
        <v>645</v>
      </c>
      <c r="B241" s="4" t="s">
        <v>313</v>
      </c>
      <c r="C241" s="4" t="s">
        <v>238</v>
      </c>
      <c r="D241" s="4" t="s">
        <v>732</v>
      </c>
      <c r="E241" s="4" t="s">
        <v>19</v>
      </c>
      <c r="F241" s="4" t="s">
        <v>733</v>
      </c>
      <c r="G241" s="4" t="s">
        <v>734</v>
      </c>
    </row>
    <row r="242" customFormat="false" ht="35.05" hidden="false" customHeight="false" outlineLevel="0" collapsed="false">
      <c r="A242" s="4" t="s">
        <v>645</v>
      </c>
      <c r="B242" s="4" t="s">
        <v>329</v>
      </c>
      <c r="C242" s="4"/>
      <c r="D242" s="4" t="s">
        <v>735</v>
      </c>
      <c r="E242" s="4" t="s">
        <v>333</v>
      </c>
      <c r="F242" s="4" t="s">
        <v>736</v>
      </c>
      <c r="G242" s="4"/>
    </row>
    <row r="243" customFormat="false" ht="35.05" hidden="false" customHeight="false" outlineLevel="0" collapsed="false">
      <c r="A243" s="4" t="s">
        <v>645</v>
      </c>
      <c r="B243" s="4" t="s">
        <v>329</v>
      </c>
      <c r="C243" s="4"/>
      <c r="D243" s="4" t="s">
        <v>737</v>
      </c>
      <c r="E243" s="4" t="s">
        <v>333</v>
      </c>
      <c r="F243" s="4" t="s">
        <v>738</v>
      </c>
      <c r="G243" s="4"/>
    </row>
    <row r="244" customFormat="false" ht="23.85" hidden="false" customHeight="false" outlineLevel="0" collapsed="false">
      <c r="A244" s="4" t="s">
        <v>645</v>
      </c>
      <c r="B244" s="4" t="s">
        <v>329</v>
      </c>
      <c r="C244" s="4"/>
      <c r="D244" s="4" t="s">
        <v>739</v>
      </c>
      <c r="E244" s="4" t="s">
        <v>333</v>
      </c>
      <c r="F244" s="4" t="s">
        <v>740</v>
      </c>
      <c r="G244" s="4"/>
    </row>
    <row r="245" customFormat="false" ht="23.85" hidden="false" customHeight="false" outlineLevel="0" collapsed="false">
      <c r="A245" s="4" t="s">
        <v>645</v>
      </c>
      <c r="B245" s="4" t="s">
        <v>329</v>
      </c>
      <c r="C245" s="4"/>
      <c r="D245" s="4" t="s">
        <v>741</v>
      </c>
      <c r="E245" s="4" t="s">
        <v>171</v>
      </c>
      <c r="F245" s="4" t="s">
        <v>742</v>
      </c>
      <c r="G245" s="4"/>
    </row>
    <row r="246" customFormat="false" ht="57.45" hidden="false" customHeight="false" outlineLevel="0" collapsed="false">
      <c r="A246" s="4" t="s">
        <v>645</v>
      </c>
      <c r="B246" s="4" t="s">
        <v>329</v>
      </c>
      <c r="C246" s="4"/>
      <c r="D246" s="4" t="s">
        <v>743</v>
      </c>
      <c r="E246" s="4" t="s">
        <v>333</v>
      </c>
      <c r="F246" s="4" t="s">
        <v>744</v>
      </c>
      <c r="G246" s="4"/>
    </row>
    <row r="247" customFormat="false" ht="23.85" hidden="false" customHeight="false" outlineLevel="0" collapsed="false">
      <c r="A247" s="4" t="s">
        <v>645</v>
      </c>
      <c r="B247" s="4" t="s">
        <v>329</v>
      </c>
      <c r="C247" s="4"/>
      <c r="D247" s="4" t="s">
        <v>745</v>
      </c>
      <c r="E247" s="4" t="s">
        <v>333</v>
      </c>
      <c r="F247" s="4" t="s">
        <v>746</v>
      </c>
      <c r="G247" s="4"/>
    </row>
    <row r="248" customFormat="false" ht="23.85" hidden="false" customHeight="false" outlineLevel="0" collapsed="false">
      <c r="A248" s="4" t="s">
        <v>645</v>
      </c>
      <c r="B248" s="4" t="s">
        <v>329</v>
      </c>
      <c r="C248" s="4"/>
      <c r="D248" s="4" t="s">
        <v>747</v>
      </c>
      <c r="E248" s="4" t="s">
        <v>333</v>
      </c>
      <c r="F248" s="4" t="s">
        <v>748</v>
      </c>
      <c r="G248" s="4"/>
    </row>
    <row r="249" customFormat="false" ht="23.85" hidden="false" customHeight="false" outlineLevel="0" collapsed="false">
      <c r="A249" s="4" t="s">
        <v>645</v>
      </c>
      <c r="B249" s="4" t="s">
        <v>329</v>
      </c>
      <c r="C249" s="4"/>
      <c r="D249" s="4" t="s">
        <v>749</v>
      </c>
      <c r="E249" s="4" t="s">
        <v>171</v>
      </c>
      <c r="F249" s="4" t="s">
        <v>750</v>
      </c>
      <c r="G249" s="4"/>
    </row>
    <row r="250" customFormat="false" ht="23.85" hidden="false" customHeight="false" outlineLevel="0" collapsed="false">
      <c r="A250" s="4" t="s">
        <v>645</v>
      </c>
      <c r="B250" s="4" t="s">
        <v>329</v>
      </c>
      <c r="C250" s="4"/>
      <c r="D250" s="4" t="s">
        <v>751</v>
      </c>
      <c r="E250" s="4" t="s">
        <v>333</v>
      </c>
      <c r="F250" s="4" t="s">
        <v>752</v>
      </c>
      <c r="G250" s="4"/>
    </row>
    <row r="251" customFormat="false" ht="23.85" hidden="false" customHeight="false" outlineLevel="0" collapsed="false">
      <c r="A251" s="4" t="s">
        <v>645</v>
      </c>
      <c r="B251" s="4" t="s">
        <v>329</v>
      </c>
      <c r="C251" s="4"/>
      <c r="D251" s="4" t="s">
        <v>753</v>
      </c>
      <c r="E251" s="4" t="s">
        <v>171</v>
      </c>
      <c r="F251" s="4" t="s">
        <v>754</v>
      </c>
      <c r="G251" s="4"/>
    </row>
    <row r="252" customFormat="false" ht="23.85" hidden="false" customHeight="false" outlineLevel="0" collapsed="false">
      <c r="A252" s="4" t="s">
        <v>645</v>
      </c>
      <c r="B252" s="4" t="s">
        <v>329</v>
      </c>
      <c r="C252" s="4"/>
      <c r="D252" s="4" t="s">
        <v>347</v>
      </c>
      <c r="E252" s="4" t="s">
        <v>171</v>
      </c>
      <c r="F252" s="4" t="s">
        <v>755</v>
      </c>
      <c r="G252" s="4"/>
    </row>
    <row r="253" customFormat="false" ht="23.85" hidden="false" customHeight="false" outlineLevel="0" collapsed="false">
      <c r="A253" s="4" t="s">
        <v>645</v>
      </c>
      <c r="B253" s="4" t="s">
        <v>329</v>
      </c>
      <c r="C253" s="4"/>
      <c r="D253" s="4" t="s">
        <v>756</v>
      </c>
      <c r="E253" s="4" t="s">
        <v>333</v>
      </c>
      <c r="F253" s="4" t="s">
        <v>757</v>
      </c>
      <c r="G253" s="4"/>
    </row>
    <row r="254" customFormat="false" ht="23.85" hidden="false" customHeight="false" outlineLevel="0" collapsed="false">
      <c r="A254" s="4" t="s">
        <v>645</v>
      </c>
      <c r="B254" s="4" t="s">
        <v>329</v>
      </c>
      <c r="C254" s="4"/>
      <c r="D254" s="4" t="s">
        <v>343</v>
      </c>
      <c r="E254" s="4" t="s">
        <v>171</v>
      </c>
      <c r="F254" s="4" t="s">
        <v>758</v>
      </c>
      <c r="G254" s="4"/>
    </row>
    <row r="255" customFormat="false" ht="23.85" hidden="false" customHeight="false" outlineLevel="0" collapsed="false">
      <c r="A255" s="4" t="s">
        <v>645</v>
      </c>
      <c r="B255" s="4" t="s">
        <v>329</v>
      </c>
      <c r="C255" s="4"/>
      <c r="D255" s="4" t="s">
        <v>345</v>
      </c>
      <c r="E255" s="4" t="s">
        <v>171</v>
      </c>
      <c r="F255" s="4" t="s">
        <v>759</v>
      </c>
      <c r="G255" s="4"/>
    </row>
    <row r="256" customFormat="false" ht="23.85" hidden="false" customHeight="false" outlineLevel="0" collapsed="false">
      <c r="A256" s="4" t="s">
        <v>645</v>
      </c>
      <c r="B256" s="4" t="s">
        <v>329</v>
      </c>
      <c r="C256" s="4"/>
      <c r="D256" s="4" t="s">
        <v>760</v>
      </c>
      <c r="E256" s="4" t="s">
        <v>333</v>
      </c>
      <c r="F256" s="4" t="s">
        <v>761</v>
      </c>
      <c r="G256" s="4"/>
    </row>
    <row r="257" customFormat="false" ht="23.85" hidden="false" customHeight="false" outlineLevel="0" collapsed="false">
      <c r="A257" s="4" t="s">
        <v>645</v>
      </c>
      <c r="B257" s="4" t="s">
        <v>329</v>
      </c>
      <c r="C257" s="4"/>
      <c r="D257" s="4" t="s">
        <v>205</v>
      </c>
      <c r="E257" s="4" t="s">
        <v>444</v>
      </c>
      <c r="F257" s="4" t="s">
        <v>762</v>
      </c>
      <c r="G257" s="4"/>
    </row>
    <row r="258" customFormat="false" ht="23.85" hidden="false" customHeight="false" outlineLevel="0" collapsed="false">
      <c r="A258" s="4" t="s">
        <v>645</v>
      </c>
      <c r="B258" s="4" t="s">
        <v>329</v>
      </c>
      <c r="C258" s="4"/>
      <c r="D258" s="4" t="s">
        <v>763</v>
      </c>
      <c r="E258" s="4" t="s">
        <v>333</v>
      </c>
      <c r="F258" s="4" t="s">
        <v>764</v>
      </c>
      <c r="G258" s="4"/>
    </row>
    <row r="259" customFormat="false" ht="23.85" hidden="false" customHeight="false" outlineLevel="0" collapsed="false">
      <c r="A259" s="4" t="s">
        <v>645</v>
      </c>
      <c r="B259" s="4" t="s">
        <v>329</v>
      </c>
      <c r="C259" s="4"/>
      <c r="D259" s="4" t="s">
        <v>355</v>
      </c>
      <c r="E259" s="4" t="s">
        <v>333</v>
      </c>
      <c r="F259" s="4" t="s">
        <v>765</v>
      </c>
      <c r="G259" s="4"/>
    </row>
    <row r="260" customFormat="false" ht="35.05" hidden="false" customHeight="false" outlineLevel="0" collapsed="false">
      <c r="A260" s="4" t="s">
        <v>766</v>
      </c>
      <c r="B260" s="4" t="s">
        <v>249</v>
      </c>
      <c r="C260" s="4" t="s">
        <v>165</v>
      </c>
      <c r="D260" s="4" t="s">
        <v>646</v>
      </c>
      <c r="E260" s="4" t="s">
        <v>19</v>
      </c>
      <c r="F260" s="4" t="s">
        <v>767</v>
      </c>
      <c r="G260" s="4" t="s">
        <v>768</v>
      </c>
    </row>
    <row r="261" customFormat="false" ht="23.85" hidden="false" customHeight="false" outlineLevel="0" collapsed="false">
      <c r="A261" s="4" t="s">
        <v>766</v>
      </c>
      <c r="B261" s="4" t="s">
        <v>249</v>
      </c>
      <c r="C261" s="4" t="s">
        <v>167</v>
      </c>
      <c r="D261" s="4" t="s">
        <v>168</v>
      </c>
      <c r="E261" s="4" t="s">
        <v>19</v>
      </c>
      <c r="F261" s="4" t="s">
        <v>769</v>
      </c>
      <c r="G261" s="4" t="s">
        <v>770</v>
      </c>
    </row>
    <row r="262" customFormat="false" ht="15" hidden="false" customHeight="false" outlineLevel="0" collapsed="false">
      <c r="A262" s="4" t="s">
        <v>766</v>
      </c>
      <c r="B262" s="4" t="s">
        <v>249</v>
      </c>
      <c r="C262" s="4" t="s">
        <v>169</v>
      </c>
      <c r="D262" s="4" t="s">
        <v>651</v>
      </c>
      <c r="E262" s="4" t="s">
        <v>171</v>
      </c>
      <c r="F262" s="4" t="s">
        <v>771</v>
      </c>
      <c r="G262" s="4" t="s">
        <v>772</v>
      </c>
    </row>
    <row r="263" customFormat="false" ht="23.85" hidden="false" customHeight="false" outlineLevel="0" collapsed="false">
      <c r="A263" s="4" t="s">
        <v>766</v>
      </c>
      <c r="B263" s="4" t="s">
        <v>249</v>
      </c>
      <c r="C263" s="4" t="s">
        <v>172</v>
      </c>
      <c r="D263" s="4" t="s">
        <v>654</v>
      </c>
      <c r="E263" s="4" t="s">
        <v>171</v>
      </c>
      <c r="F263" s="4" t="s">
        <v>773</v>
      </c>
      <c r="G263" s="4" t="s">
        <v>774</v>
      </c>
    </row>
    <row r="264" customFormat="false" ht="23.85" hidden="false" customHeight="false" outlineLevel="0" collapsed="false">
      <c r="A264" s="4" t="s">
        <v>766</v>
      </c>
      <c r="B264" s="4" t="s">
        <v>249</v>
      </c>
      <c r="C264" s="4" t="s">
        <v>174</v>
      </c>
      <c r="D264" s="4" t="s">
        <v>657</v>
      </c>
      <c r="E264" s="4" t="s">
        <v>19</v>
      </c>
      <c r="F264" s="4" t="s">
        <v>775</v>
      </c>
      <c r="G264" s="4" t="s">
        <v>776</v>
      </c>
    </row>
    <row r="265" customFormat="false" ht="35.05" hidden="false" customHeight="false" outlineLevel="0" collapsed="false">
      <c r="A265" s="4" t="s">
        <v>766</v>
      </c>
      <c r="B265" s="4" t="s">
        <v>249</v>
      </c>
      <c r="C265" s="4" t="s">
        <v>176</v>
      </c>
      <c r="D265" s="4" t="s">
        <v>660</v>
      </c>
      <c r="E265" s="4" t="s">
        <v>19</v>
      </c>
      <c r="F265" s="4" t="s">
        <v>777</v>
      </c>
      <c r="G265" s="4" t="s">
        <v>778</v>
      </c>
    </row>
    <row r="266" customFormat="false" ht="23.85" hidden="false" customHeight="false" outlineLevel="0" collapsed="false">
      <c r="A266" s="4" t="s">
        <v>766</v>
      </c>
      <c r="B266" s="4" t="s">
        <v>249</v>
      </c>
      <c r="C266" s="4" t="s">
        <v>178</v>
      </c>
      <c r="D266" s="4" t="s">
        <v>179</v>
      </c>
      <c r="E266" s="4" t="s">
        <v>171</v>
      </c>
      <c r="F266" s="4" t="s">
        <v>779</v>
      </c>
      <c r="G266" s="4" t="s">
        <v>774</v>
      </c>
    </row>
    <row r="267" customFormat="false" ht="23.85" hidden="false" customHeight="false" outlineLevel="0" collapsed="false">
      <c r="A267" s="4" t="s">
        <v>766</v>
      </c>
      <c r="B267" s="4" t="s">
        <v>249</v>
      </c>
      <c r="C267" s="4" t="s">
        <v>180</v>
      </c>
      <c r="D267" s="4" t="s">
        <v>665</v>
      </c>
      <c r="E267" s="4" t="s">
        <v>19</v>
      </c>
      <c r="F267" s="4" t="s">
        <v>780</v>
      </c>
      <c r="G267" s="4" t="s">
        <v>781</v>
      </c>
    </row>
    <row r="268" customFormat="false" ht="23.85" hidden="false" customHeight="false" outlineLevel="0" collapsed="false">
      <c r="A268" s="4" t="s">
        <v>766</v>
      </c>
      <c r="B268" s="4" t="s">
        <v>249</v>
      </c>
      <c r="C268" s="4" t="s">
        <v>182</v>
      </c>
      <c r="D268" s="4" t="s">
        <v>183</v>
      </c>
      <c r="E268" s="4" t="s">
        <v>171</v>
      </c>
      <c r="F268" s="4" t="s">
        <v>782</v>
      </c>
      <c r="G268" s="4" t="s">
        <v>783</v>
      </c>
    </row>
    <row r="269" customFormat="false" ht="23.85" hidden="false" customHeight="false" outlineLevel="0" collapsed="false">
      <c r="A269" s="4" t="s">
        <v>766</v>
      </c>
      <c r="B269" s="4" t="s">
        <v>249</v>
      </c>
      <c r="C269" s="4" t="s">
        <v>184</v>
      </c>
      <c r="D269" s="4" t="s">
        <v>185</v>
      </c>
      <c r="E269" s="4" t="s">
        <v>20</v>
      </c>
      <c r="F269" s="4" t="s">
        <v>784</v>
      </c>
      <c r="G269" s="4" t="s">
        <v>785</v>
      </c>
    </row>
    <row r="270" customFormat="false" ht="15" hidden="false" customHeight="false" outlineLevel="0" collapsed="false">
      <c r="A270" s="4" t="s">
        <v>766</v>
      </c>
      <c r="B270" s="4" t="s">
        <v>249</v>
      </c>
      <c r="C270" s="4" t="s">
        <v>186</v>
      </c>
      <c r="D270" s="4" t="s">
        <v>187</v>
      </c>
      <c r="E270" s="4" t="s">
        <v>19</v>
      </c>
      <c r="F270" s="4" t="s">
        <v>786</v>
      </c>
      <c r="G270" s="4" t="s">
        <v>787</v>
      </c>
    </row>
    <row r="271" customFormat="false" ht="23.85" hidden="false" customHeight="false" outlineLevel="0" collapsed="false">
      <c r="A271" s="4" t="s">
        <v>766</v>
      </c>
      <c r="B271" s="4" t="s">
        <v>249</v>
      </c>
      <c r="C271" s="4" t="s">
        <v>188</v>
      </c>
      <c r="D271" s="4" t="s">
        <v>189</v>
      </c>
      <c r="E271" s="4" t="s">
        <v>171</v>
      </c>
      <c r="F271" s="4" t="s">
        <v>788</v>
      </c>
      <c r="G271" s="4" t="s">
        <v>789</v>
      </c>
    </row>
    <row r="272" customFormat="false" ht="35.05" hidden="false" customHeight="false" outlineLevel="0" collapsed="false">
      <c r="A272" s="4" t="s">
        <v>766</v>
      </c>
      <c r="B272" s="4" t="s">
        <v>249</v>
      </c>
      <c r="C272" s="4" t="s">
        <v>190</v>
      </c>
      <c r="D272" s="4" t="s">
        <v>676</v>
      </c>
      <c r="E272" s="4" t="s">
        <v>19</v>
      </c>
      <c r="F272" s="4" t="s">
        <v>790</v>
      </c>
      <c r="G272" s="4" t="s">
        <v>791</v>
      </c>
    </row>
    <row r="273" customFormat="false" ht="35.05" hidden="false" customHeight="false" outlineLevel="0" collapsed="false">
      <c r="A273" s="4" t="s">
        <v>766</v>
      </c>
      <c r="B273" s="4" t="s">
        <v>249</v>
      </c>
      <c r="C273" s="4" t="s">
        <v>192</v>
      </c>
      <c r="D273" s="4" t="s">
        <v>193</v>
      </c>
      <c r="E273" s="4" t="s">
        <v>171</v>
      </c>
      <c r="F273" s="4" t="s">
        <v>792</v>
      </c>
      <c r="G273" s="4" t="s">
        <v>774</v>
      </c>
    </row>
    <row r="274" customFormat="false" ht="15" hidden="false" customHeight="false" outlineLevel="0" collapsed="false">
      <c r="A274" s="4" t="s">
        <v>766</v>
      </c>
      <c r="B274" s="4" t="s">
        <v>249</v>
      </c>
      <c r="C274" s="4" t="s">
        <v>194</v>
      </c>
      <c r="D274" s="4" t="s">
        <v>681</v>
      </c>
      <c r="E274" s="4" t="s">
        <v>19</v>
      </c>
      <c r="F274" s="4" t="s">
        <v>793</v>
      </c>
      <c r="G274" s="4" t="s">
        <v>794</v>
      </c>
    </row>
    <row r="275" customFormat="false" ht="15" hidden="false" customHeight="false" outlineLevel="0" collapsed="false">
      <c r="A275" s="4" t="s">
        <v>766</v>
      </c>
      <c r="B275" s="4" t="s">
        <v>249</v>
      </c>
      <c r="C275" s="4" t="s">
        <v>196</v>
      </c>
      <c r="D275" s="4" t="s">
        <v>197</v>
      </c>
      <c r="E275" s="4" t="s">
        <v>171</v>
      </c>
      <c r="F275" s="4" t="s">
        <v>795</v>
      </c>
      <c r="G275" s="4" t="s">
        <v>796</v>
      </c>
    </row>
    <row r="276" customFormat="false" ht="35.05" hidden="false" customHeight="false" outlineLevel="0" collapsed="false">
      <c r="A276" s="4" t="s">
        <v>766</v>
      </c>
      <c r="B276" s="4" t="s">
        <v>249</v>
      </c>
      <c r="C276" s="4" t="s">
        <v>198</v>
      </c>
      <c r="D276" s="4" t="s">
        <v>199</v>
      </c>
      <c r="E276" s="4" t="s">
        <v>19</v>
      </c>
      <c r="F276" s="4" t="s">
        <v>797</v>
      </c>
      <c r="G276" s="4" t="s">
        <v>798</v>
      </c>
    </row>
    <row r="277" customFormat="false" ht="15" hidden="false" customHeight="false" outlineLevel="0" collapsed="false">
      <c r="A277" s="4" t="s">
        <v>766</v>
      </c>
      <c r="B277" s="4" t="s">
        <v>249</v>
      </c>
      <c r="C277" s="4" t="s">
        <v>200</v>
      </c>
      <c r="D277" s="4" t="s">
        <v>201</v>
      </c>
      <c r="E277" s="4" t="s">
        <v>20</v>
      </c>
      <c r="F277" s="4" t="s">
        <v>799</v>
      </c>
      <c r="G277" s="4" t="s">
        <v>800</v>
      </c>
    </row>
    <row r="278" customFormat="false" ht="23.85" hidden="false" customHeight="false" outlineLevel="0" collapsed="false">
      <c r="A278" s="4" t="s">
        <v>766</v>
      </c>
      <c r="B278" s="4" t="s">
        <v>249</v>
      </c>
      <c r="C278" s="4" t="s">
        <v>202</v>
      </c>
      <c r="D278" s="4" t="s">
        <v>203</v>
      </c>
      <c r="E278" s="4" t="s">
        <v>19</v>
      </c>
      <c r="F278" s="4" t="s">
        <v>801</v>
      </c>
      <c r="G278" s="4" t="s">
        <v>802</v>
      </c>
    </row>
    <row r="279" customFormat="false" ht="35.05" hidden="false" customHeight="false" outlineLevel="0" collapsed="false">
      <c r="A279" s="4" t="s">
        <v>766</v>
      </c>
      <c r="B279" s="4" t="s">
        <v>249</v>
      </c>
      <c r="C279" s="4" t="s">
        <v>204</v>
      </c>
      <c r="D279" s="4" t="s">
        <v>692</v>
      </c>
      <c r="E279" s="4" t="s">
        <v>20</v>
      </c>
      <c r="F279" s="4" t="s">
        <v>803</v>
      </c>
      <c r="G279" s="4" t="s">
        <v>804</v>
      </c>
    </row>
    <row r="280" customFormat="false" ht="15" hidden="false" customHeight="false" outlineLevel="0" collapsed="false">
      <c r="A280" s="4" t="s">
        <v>766</v>
      </c>
      <c r="B280" s="4" t="s">
        <v>249</v>
      </c>
      <c r="C280" s="4" t="s">
        <v>206</v>
      </c>
      <c r="D280" s="4" t="s">
        <v>695</v>
      </c>
      <c r="E280" s="4" t="s">
        <v>171</v>
      </c>
      <c r="F280" s="4" t="s">
        <v>805</v>
      </c>
      <c r="G280" s="4" t="s">
        <v>806</v>
      </c>
    </row>
    <row r="281" customFormat="false" ht="23.85" hidden="false" customHeight="false" outlineLevel="0" collapsed="false">
      <c r="A281" s="4" t="s">
        <v>766</v>
      </c>
      <c r="B281" s="4" t="s">
        <v>292</v>
      </c>
      <c r="C281" s="4" t="s">
        <v>208</v>
      </c>
      <c r="D281" s="4" t="s">
        <v>209</v>
      </c>
      <c r="E281" s="4" t="s">
        <v>171</v>
      </c>
      <c r="F281" s="4" t="s">
        <v>807</v>
      </c>
      <c r="G281" s="4" t="s">
        <v>808</v>
      </c>
    </row>
    <row r="282" customFormat="false" ht="15" hidden="false" customHeight="false" outlineLevel="0" collapsed="false">
      <c r="A282" s="4" t="s">
        <v>766</v>
      </c>
      <c r="B282" s="4" t="s">
        <v>292</v>
      </c>
      <c r="C282" s="4" t="s">
        <v>210</v>
      </c>
      <c r="D282" s="4" t="s">
        <v>211</v>
      </c>
      <c r="E282" s="4" t="s">
        <v>171</v>
      </c>
      <c r="F282" s="4" t="s">
        <v>809</v>
      </c>
      <c r="G282" s="4" t="s">
        <v>810</v>
      </c>
    </row>
    <row r="283" customFormat="false" ht="15" hidden="false" customHeight="false" outlineLevel="0" collapsed="false">
      <c r="A283" s="4" t="s">
        <v>766</v>
      </c>
      <c r="B283" s="4" t="s">
        <v>292</v>
      </c>
      <c r="C283" s="4" t="s">
        <v>212</v>
      </c>
      <c r="D283" s="4" t="s">
        <v>213</v>
      </c>
      <c r="E283" s="4" t="s">
        <v>19</v>
      </c>
      <c r="F283" s="4" t="s">
        <v>811</v>
      </c>
      <c r="G283" s="4" t="s">
        <v>812</v>
      </c>
    </row>
    <row r="284" customFormat="false" ht="15" hidden="false" customHeight="false" outlineLevel="0" collapsed="false">
      <c r="A284" s="4" t="s">
        <v>766</v>
      </c>
      <c r="B284" s="4" t="s">
        <v>292</v>
      </c>
      <c r="C284" s="4" t="s">
        <v>214</v>
      </c>
      <c r="D284" s="4" t="s">
        <v>215</v>
      </c>
      <c r="E284" s="4" t="s">
        <v>171</v>
      </c>
      <c r="F284" s="4" t="s">
        <v>813</v>
      </c>
      <c r="G284" s="4" t="s">
        <v>814</v>
      </c>
    </row>
    <row r="285" customFormat="false" ht="15" hidden="false" customHeight="false" outlineLevel="0" collapsed="false">
      <c r="A285" s="4" t="s">
        <v>766</v>
      </c>
      <c r="B285" s="4" t="s">
        <v>292</v>
      </c>
      <c r="C285" s="4" t="s">
        <v>216</v>
      </c>
      <c r="D285" s="4" t="s">
        <v>217</v>
      </c>
      <c r="E285" s="4" t="s">
        <v>19</v>
      </c>
      <c r="F285" s="4" t="s">
        <v>815</v>
      </c>
      <c r="G285" s="4" t="s">
        <v>816</v>
      </c>
    </row>
    <row r="286" customFormat="false" ht="23.85" hidden="false" customHeight="false" outlineLevel="0" collapsed="false">
      <c r="A286" s="4" t="s">
        <v>766</v>
      </c>
      <c r="B286" s="4" t="s">
        <v>292</v>
      </c>
      <c r="C286" s="4" t="s">
        <v>218</v>
      </c>
      <c r="D286" s="4" t="s">
        <v>219</v>
      </c>
      <c r="E286" s="4" t="s">
        <v>19</v>
      </c>
      <c r="F286" s="4" t="s">
        <v>817</v>
      </c>
      <c r="G286" s="4" t="s">
        <v>818</v>
      </c>
    </row>
    <row r="287" customFormat="false" ht="15" hidden="false" customHeight="false" outlineLevel="0" collapsed="false">
      <c r="A287" s="4" t="s">
        <v>766</v>
      </c>
      <c r="B287" s="4" t="s">
        <v>292</v>
      </c>
      <c r="C287" s="4" t="s">
        <v>220</v>
      </c>
      <c r="D287" s="4" t="s">
        <v>221</v>
      </c>
      <c r="E287" s="4" t="s">
        <v>20</v>
      </c>
      <c r="F287" s="4" t="s">
        <v>819</v>
      </c>
      <c r="G287" s="4" t="s">
        <v>820</v>
      </c>
    </row>
    <row r="288" customFormat="false" ht="15" hidden="false" customHeight="false" outlineLevel="0" collapsed="false">
      <c r="A288" s="4" t="s">
        <v>766</v>
      </c>
      <c r="B288" s="4" t="s">
        <v>292</v>
      </c>
      <c r="C288" s="4" t="s">
        <v>222</v>
      </c>
      <c r="D288" s="4" t="s">
        <v>223</v>
      </c>
      <c r="E288" s="4" t="s">
        <v>19</v>
      </c>
      <c r="F288" s="4" t="s">
        <v>821</v>
      </c>
      <c r="G288" s="4" t="s">
        <v>822</v>
      </c>
    </row>
    <row r="289" customFormat="false" ht="15" hidden="false" customHeight="false" outlineLevel="0" collapsed="false">
      <c r="A289" s="4" t="s">
        <v>766</v>
      </c>
      <c r="B289" s="4" t="s">
        <v>292</v>
      </c>
      <c r="C289" s="4" t="s">
        <v>224</v>
      </c>
      <c r="D289" s="4" t="s">
        <v>225</v>
      </c>
      <c r="E289" s="4" t="s">
        <v>20</v>
      </c>
      <c r="F289" s="4" t="s">
        <v>823</v>
      </c>
      <c r="G289" s="4" t="s">
        <v>824</v>
      </c>
    </row>
    <row r="290" customFormat="false" ht="15" hidden="false" customHeight="false" outlineLevel="0" collapsed="false">
      <c r="A290" s="4" t="s">
        <v>766</v>
      </c>
      <c r="B290" s="4" t="s">
        <v>292</v>
      </c>
      <c r="C290" s="4" t="s">
        <v>226</v>
      </c>
      <c r="D290" s="4" t="s">
        <v>227</v>
      </c>
      <c r="E290" s="4" t="s">
        <v>19</v>
      </c>
      <c r="F290" s="4" t="s">
        <v>825</v>
      </c>
      <c r="G290" s="4" t="s">
        <v>826</v>
      </c>
    </row>
    <row r="291" customFormat="false" ht="15" hidden="false" customHeight="false" outlineLevel="0" collapsed="false">
      <c r="A291" s="4" t="s">
        <v>766</v>
      </c>
      <c r="B291" s="4" t="s">
        <v>292</v>
      </c>
      <c r="C291" s="4" t="s">
        <v>228</v>
      </c>
      <c r="D291" s="4" t="s">
        <v>229</v>
      </c>
      <c r="E291" s="4" t="s">
        <v>171</v>
      </c>
      <c r="F291" s="4" t="s">
        <v>827</v>
      </c>
      <c r="G291" s="4" t="s">
        <v>774</v>
      </c>
    </row>
    <row r="292" customFormat="false" ht="35.05" hidden="false" customHeight="false" outlineLevel="0" collapsed="false">
      <c r="A292" s="4" t="s">
        <v>766</v>
      </c>
      <c r="B292" s="4" t="s">
        <v>313</v>
      </c>
      <c r="C292" s="4" t="s">
        <v>230</v>
      </c>
      <c r="D292" s="4" t="s">
        <v>828</v>
      </c>
      <c r="E292" s="4" t="s">
        <v>19</v>
      </c>
      <c r="F292" s="4" t="s">
        <v>829</v>
      </c>
      <c r="G292" s="4" t="s">
        <v>830</v>
      </c>
    </row>
    <row r="293" customFormat="false" ht="23.85" hidden="false" customHeight="false" outlineLevel="0" collapsed="false">
      <c r="A293" s="4" t="s">
        <v>766</v>
      </c>
      <c r="B293" s="4" t="s">
        <v>313</v>
      </c>
      <c r="C293" s="4" t="s">
        <v>232</v>
      </c>
      <c r="D293" s="4" t="s">
        <v>831</v>
      </c>
      <c r="E293" s="4" t="s">
        <v>20</v>
      </c>
      <c r="F293" s="4" t="s">
        <v>832</v>
      </c>
      <c r="G293" s="4" t="s">
        <v>833</v>
      </c>
    </row>
    <row r="294" customFormat="false" ht="23.85" hidden="false" customHeight="false" outlineLevel="0" collapsed="false">
      <c r="A294" s="4" t="s">
        <v>766</v>
      </c>
      <c r="B294" s="4" t="s">
        <v>313</v>
      </c>
      <c r="C294" s="4" t="s">
        <v>234</v>
      </c>
      <c r="D294" s="4" t="s">
        <v>834</v>
      </c>
      <c r="E294" s="4" t="s">
        <v>19</v>
      </c>
      <c r="F294" s="4" t="s">
        <v>835</v>
      </c>
      <c r="G294" s="4" t="s">
        <v>836</v>
      </c>
    </row>
    <row r="295" customFormat="false" ht="35.05" hidden="false" customHeight="false" outlineLevel="0" collapsed="false">
      <c r="A295" s="4" t="s">
        <v>766</v>
      </c>
      <c r="B295" s="4" t="s">
        <v>313</v>
      </c>
      <c r="C295" s="4" t="s">
        <v>236</v>
      </c>
      <c r="D295" s="4" t="s">
        <v>837</v>
      </c>
      <c r="E295" s="4" t="s">
        <v>171</v>
      </c>
      <c r="F295" s="4" t="s">
        <v>838</v>
      </c>
      <c r="G295" s="4" t="s">
        <v>774</v>
      </c>
    </row>
    <row r="296" customFormat="false" ht="46.25" hidden="false" customHeight="false" outlineLevel="0" collapsed="false">
      <c r="A296" s="4" t="s">
        <v>766</v>
      </c>
      <c r="B296" s="4" t="s">
        <v>313</v>
      </c>
      <c r="C296" s="4" t="s">
        <v>238</v>
      </c>
      <c r="D296" s="4" t="s">
        <v>839</v>
      </c>
      <c r="E296" s="4" t="s">
        <v>19</v>
      </c>
      <c r="F296" s="4" t="s">
        <v>840</v>
      </c>
      <c r="G296" s="4" t="s">
        <v>841</v>
      </c>
    </row>
    <row r="297" customFormat="false" ht="23.85" hidden="false" customHeight="false" outlineLevel="0" collapsed="false">
      <c r="A297" s="4" t="s">
        <v>766</v>
      </c>
      <c r="B297" s="4" t="s">
        <v>329</v>
      </c>
      <c r="C297" s="4"/>
      <c r="D297" s="4" t="s">
        <v>842</v>
      </c>
      <c r="E297" s="4" t="s">
        <v>171</v>
      </c>
      <c r="F297" s="4" t="s">
        <v>843</v>
      </c>
      <c r="G297" s="4"/>
    </row>
    <row r="298" customFormat="false" ht="23.85" hidden="false" customHeight="false" outlineLevel="0" collapsed="false">
      <c r="A298" s="4" t="s">
        <v>766</v>
      </c>
      <c r="B298" s="4" t="s">
        <v>329</v>
      </c>
      <c r="C298" s="4"/>
      <c r="D298" s="4" t="s">
        <v>844</v>
      </c>
      <c r="E298" s="4" t="s">
        <v>171</v>
      </c>
      <c r="F298" s="4" t="s">
        <v>845</v>
      </c>
      <c r="G298" s="4"/>
    </row>
    <row r="299" customFormat="false" ht="23.85" hidden="false" customHeight="false" outlineLevel="0" collapsed="false">
      <c r="A299" s="4" t="s">
        <v>766</v>
      </c>
      <c r="B299" s="4" t="s">
        <v>329</v>
      </c>
      <c r="C299" s="4"/>
      <c r="D299" s="4" t="s">
        <v>846</v>
      </c>
      <c r="E299" s="4" t="s">
        <v>333</v>
      </c>
      <c r="F299" s="4" t="s">
        <v>847</v>
      </c>
      <c r="G299" s="4"/>
    </row>
    <row r="300" customFormat="false" ht="35.05" hidden="false" customHeight="false" outlineLevel="0" collapsed="false">
      <c r="A300" s="4" t="s">
        <v>766</v>
      </c>
      <c r="B300" s="4" t="s">
        <v>329</v>
      </c>
      <c r="C300" s="4"/>
      <c r="D300" s="4" t="s">
        <v>848</v>
      </c>
      <c r="E300" s="4" t="s">
        <v>444</v>
      </c>
      <c r="F300" s="4" t="s">
        <v>849</v>
      </c>
      <c r="G300" s="4"/>
    </row>
    <row r="301" customFormat="false" ht="23.85" hidden="false" customHeight="false" outlineLevel="0" collapsed="false">
      <c r="A301" s="4" t="s">
        <v>766</v>
      </c>
      <c r="B301" s="4" t="s">
        <v>329</v>
      </c>
      <c r="C301" s="4"/>
      <c r="D301" s="4" t="s">
        <v>850</v>
      </c>
      <c r="E301" s="4" t="s">
        <v>333</v>
      </c>
      <c r="F301" s="4" t="s">
        <v>851</v>
      </c>
      <c r="G301" s="4"/>
    </row>
    <row r="302" customFormat="false" ht="23.85" hidden="false" customHeight="false" outlineLevel="0" collapsed="false">
      <c r="A302" s="4" t="s">
        <v>766</v>
      </c>
      <c r="B302" s="4" t="s">
        <v>329</v>
      </c>
      <c r="C302" s="4"/>
      <c r="D302" s="4" t="s">
        <v>852</v>
      </c>
      <c r="E302" s="4" t="s">
        <v>171</v>
      </c>
      <c r="F302" s="4" t="s">
        <v>853</v>
      </c>
      <c r="G302" s="4"/>
    </row>
    <row r="303" customFormat="false" ht="23.85" hidden="false" customHeight="false" outlineLevel="0" collapsed="false">
      <c r="A303" s="4" t="s">
        <v>766</v>
      </c>
      <c r="B303" s="4" t="s">
        <v>329</v>
      </c>
      <c r="C303" s="4"/>
      <c r="D303" s="4" t="s">
        <v>854</v>
      </c>
      <c r="E303" s="4" t="s">
        <v>333</v>
      </c>
      <c r="F303" s="4" t="s">
        <v>855</v>
      </c>
      <c r="G303" s="4"/>
    </row>
    <row r="304" customFormat="false" ht="23.85" hidden="false" customHeight="false" outlineLevel="0" collapsed="false">
      <c r="A304" s="4" t="s">
        <v>766</v>
      </c>
      <c r="B304" s="4" t="s">
        <v>329</v>
      </c>
      <c r="C304" s="4"/>
      <c r="D304" s="4" t="s">
        <v>856</v>
      </c>
      <c r="E304" s="4" t="s">
        <v>333</v>
      </c>
      <c r="F304" s="4" t="s">
        <v>857</v>
      </c>
      <c r="G304" s="4"/>
    </row>
    <row r="305" customFormat="false" ht="23.85" hidden="false" customHeight="false" outlineLevel="0" collapsed="false">
      <c r="A305" s="4" t="s">
        <v>766</v>
      </c>
      <c r="B305" s="4" t="s">
        <v>329</v>
      </c>
      <c r="C305" s="4"/>
      <c r="D305" s="4" t="s">
        <v>858</v>
      </c>
      <c r="E305" s="4" t="s">
        <v>333</v>
      </c>
      <c r="F305" s="4" t="s">
        <v>859</v>
      </c>
      <c r="G305" s="4"/>
    </row>
    <row r="306" customFormat="false" ht="23.85" hidden="false" customHeight="false" outlineLevel="0" collapsed="false">
      <c r="A306" s="4" t="s">
        <v>766</v>
      </c>
      <c r="B306" s="4" t="s">
        <v>329</v>
      </c>
      <c r="C306" s="4"/>
      <c r="D306" s="4" t="s">
        <v>749</v>
      </c>
      <c r="E306" s="4" t="s">
        <v>171</v>
      </c>
      <c r="F306" s="4" t="s">
        <v>860</v>
      </c>
      <c r="G306" s="4"/>
    </row>
    <row r="307" customFormat="false" ht="23.85" hidden="false" customHeight="false" outlineLevel="0" collapsed="false">
      <c r="A307" s="4" t="s">
        <v>766</v>
      </c>
      <c r="B307" s="4" t="s">
        <v>329</v>
      </c>
      <c r="C307" s="4"/>
      <c r="D307" s="4" t="s">
        <v>751</v>
      </c>
      <c r="E307" s="4" t="s">
        <v>333</v>
      </c>
      <c r="F307" s="4" t="s">
        <v>861</v>
      </c>
      <c r="G307" s="4"/>
    </row>
    <row r="308" customFormat="false" ht="23.85" hidden="false" customHeight="false" outlineLevel="0" collapsed="false">
      <c r="A308" s="4" t="s">
        <v>766</v>
      </c>
      <c r="B308" s="4" t="s">
        <v>329</v>
      </c>
      <c r="C308" s="4"/>
      <c r="D308" s="4" t="s">
        <v>862</v>
      </c>
      <c r="E308" s="4" t="s">
        <v>171</v>
      </c>
      <c r="F308" s="4" t="s">
        <v>863</v>
      </c>
      <c r="G308" s="4"/>
    </row>
    <row r="309" customFormat="false" ht="23.85" hidden="false" customHeight="false" outlineLevel="0" collapsed="false">
      <c r="A309" s="4" t="s">
        <v>766</v>
      </c>
      <c r="B309" s="4" t="s">
        <v>329</v>
      </c>
      <c r="C309" s="4"/>
      <c r="D309" s="4" t="s">
        <v>347</v>
      </c>
      <c r="E309" s="4" t="s">
        <v>171</v>
      </c>
      <c r="F309" s="4" t="s">
        <v>864</v>
      </c>
      <c r="G309" s="4"/>
    </row>
    <row r="310" customFormat="false" ht="23.85" hidden="false" customHeight="false" outlineLevel="0" collapsed="false">
      <c r="A310" s="4" t="s">
        <v>766</v>
      </c>
      <c r="B310" s="4" t="s">
        <v>329</v>
      </c>
      <c r="C310" s="4"/>
      <c r="D310" s="4" t="s">
        <v>343</v>
      </c>
      <c r="E310" s="4" t="s">
        <v>171</v>
      </c>
      <c r="F310" s="4" t="s">
        <v>865</v>
      </c>
      <c r="G310" s="4"/>
    </row>
    <row r="311" customFormat="false" ht="23.85" hidden="false" customHeight="false" outlineLevel="0" collapsed="false">
      <c r="A311" s="4" t="s">
        <v>766</v>
      </c>
      <c r="B311" s="4" t="s">
        <v>329</v>
      </c>
      <c r="C311" s="4"/>
      <c r="D311" s="4" t="s">
        <v>866</v>
      </c>
      <c r="E311" s="4" t="s">
        <v>171</v>
      </c>
      <c r="F311" s="4" t="s">
        <v>867</v>
      </c>
      <c r="G311" s="4"/>
    </row>
    <row r="312" customFormat="false" ht="35.05" hidden="false" customHeight="false" outlineLevel="0" collapsed="false">
      <c r="A312" s="4" t="s">
        <v>766</v>
      </c>
      <c r="B312" s="4" t="s">
        <v>329</v>
      </c>
      <c r="C312" s="4"/>
      <c r="D312" s="4" t="s">
        <v>868</v>
      </c>
      <c r="E312" s="4" t="s">
        <v>333</v>
      </c>
      <c r="F312" s="4" t="s">
        <v>869</v>
      </c>
      <c r="G312" s="4"/>
    </row>
    <row r="313" customFormat="false" ht="23.85" hidden="false" customHeight="false" outlineLevel="0" collapsed="false">
      <c r="A313" s="4" t="s">
        <v>766</v>
      </c>
      <c r="B313" s="4" t="s">
        <v>329</v>
      </c>
      <c r="C313" s="4"/>
      <c r="D313" s="4" t="s">
        <v>452</v>
      </c>
      <c r="E313" s="4" t="s">
        <v>171</v>
      </c>
      <c r="F313" s="4" t="s">
        <v>870</v>
      </c>
      <c r="G313" s="4"/>
    </row>
    <row r="314" customFormat="false" ht="23.85" hidden="false" customHeight="false" outlineLevel="0" collapsed="false">
      <c r="A314" s="4" t="s">
        <v>766</v>
      </c>
      <c r="B314" s="4" t="s">
        <v>329</v>
      </c>
      <c r="C314" s="4"/>
      <c r="D314" s="4" t="s">
        <v>205</v>
      </c>
      <c r="E314" s="4" t="s">
        <v>444</v>
      </c>
      <c r="F314" s="4" t="s">
        <v>871</v>
      </c>
      <c r="G314" s="4"/>
    </row>
    <row r="315" customFormat="false" ht="23.85" hidden="false" customHeight="false" outlineLevel="0" collapsed="false">
      <c r="A315" s="4" t="s">
        <v>766</v>
      </c>
      <c r="B315" s="4" t="s">
        <v>329</v>
      </c>
      <c r="C315" s="4"/>
      <c r="D315" s="4" t="s">
        <v>872</v>
      </c>
      <c r="E315" s="4" t="s">
        <v>333</v>
      </c>
      <c r="F315" s="4" t="s">
        <v>873</v>
      </c>
      <c r="G315" s="4"/>
    </row>
    <row r="316" customFormat="false" ht="35.05" hidden="false" customHeight="false" outlineLevel="0" collapsed="false">
      <c r="A316" s="4" t="s">
        <v>874</v>
      </c>
      <c r="B316" s="4" t="s">
        <v>249</v>
      </c>
      <c r="C316" s="4" t="s">
        <v>165</v>
      </c>
      <c r="D316" s="4" t="s">
        <v>646</v>
      </c>
      <c r="E316" s="4" t="s">
        <v>19</v>
      </c>
      <c r="F316" s="4" t="s">
        <v>875</v>
      </c>
      <c r="G316" s="4" t="s">
        <v>876</v>
      </c>
    </row>
    <row r="317" customFormat="false" ht="35.05" hidden="false" customHeight="false" outlineLevel="0" collapsed="false">
      <c r="A317" s="4" t="s">
        <v>874</v>
      </c>
      <c r="B317" s="4" t="s">
        <v>249</v>
      </c>
      <c r="C317" s="4" t="s">
        <v>167</v>
      </c>
      <c r="D317" s="4" t="s">
        <v>168</v>
      </c>
      <c r="E317" s="4" t="s">
        <v>19</v>
      </c>
      <c r="F317" s="4" t="s">
        <v>877</v>
      </c>
      <c r="G317" s="4" t="s">
        <v>878</v>
      </c>
    </row>
    <row r="318" customFormat="false" ht="35.05" hidden="false" customHeight="false" outlineLevel="0" collapsed="false">
      <c r="A318" s="4" t="s">
        <v>874</v>
      </c>
      <c r="B318" s="4" t="s">
        <v>249</v>
      </c>
      <c r="C318" s="4" t="s">
        <v>169</v>
      </c>
      <c r="D318" s="4" t="s">
        <v>651</v>
      </c>
      <c r="E318" s="4" t="s">
        <v>171</v>
      </c>
      <c r="F318" s="4" t="s">
        <v>879</v>
      </c>
      <c r="G318" s="4" t="s">
        <v>774</v>
      </c>
    </row>
    <row r="319" customFormat="false" ht="35.05" hidden="false" customHeight="false" outlineLevel="0" collapsed="false">
      <c r="A319" s="4" t="s">
        <v>874</v>
      </c>
      <c r="B319" s="4" t="s">
        <v>249</v>
      </c>
      <c r="C319" s="4" t="s">
        <v>172</v>
      </c>
      <c r="D319" s="4" t="s">
        <v>654</v>
      </c>
      <c r="E319" s="4" t="s">
        <v>171</v>
      </c>
      <c r="F319" s="4" t="s">
        <v>880</v>
      </c>
      <c r="G319" s="4" t="s">
        <v>881</v>
      </c>
    </row>
    <row r="320" customFormat="false" ht="35.05" hidden="false" customHeight="false" outlineLevel="0" collapsed="false">
      <c r="A320" s="4" t="s">
        <v>874</v>
      </c>
      <c r="B320" s="4" t="s">
        <v>249</v>
      </c>
      <c r="C320" s="4" t="s">
        <v>174</v>
      </c>
      <c r="D320" s="4" t="s">
        <v>657</v>
      </c>
      <c r="E320" s="4" t="s">
        <v>19</v>
      </c>
      <c r="F320" s="4" t="s">
        <v>882</v>
      </c>
      <c r="G320" s="4" t="s">
        <v>883</v>
      </c>
    </row>
    <row r="321" customFormat="false" ht="35.05" hidden="false" customHeight="false" outlineLevel="0" collapsed="false">
      <c r="A321" s="4" t="s">
        <v>874</v>
      </c>
      <c r="B321" s="4" t="s">
        <v>249</v>
      </c>
      <c r="C321" s="4" t="s">
        <v>176</v>
      </c>
      <c r="D321" s="4" t="s">
        <v>660</v>
      </c>
      <c r="E321" s="4" t="s">
        <v>19</v>
      </c>
      <c r="F321" s="4" t="s">
        <v>884</v>
      </c>
      <c r="G321" s="4" t="s">
        <v>885</v>
      </c>
    </row>
    <row r="322" customFormat="false" ht="35.05" hidden="false" customHeight="false" outlineLevel="0" collapsed="false">
      <c r="A322" s="4" t="s">
        <v>874</v>
      </c>
      <c r="B322" s="4" t="s">
        <v>249</v>
      </c>
      <c r="C322" s="4" t="s">
        <v>178</v>
      </c>
      <c r="D322" s="4" t="s">
        <v>179</v>
      </c>
      <c r="E322" s="4" t="s">
        <v>171</v>
      </c>
      <c r="F322" s="4" t="s">
        <v>886</v>
      </c>
      <c r="G322" s="4" t="s">
        <v>774</v>
      </c>
    </row>
    <row r="323" customFormat="false" ht="35.05" hidden="false" customHeight="false" outlineLevel="0" collapsed="false">
      <c r="A323" s="4" t="s">
        <v>874</v>
      </c>
      <c r="B323" s="4" t="s">
        <v>249</v>
      </c>
      <c r="C323" s="4" t="s">
        <v>180</v>
      </c>
      <c r="D323" s="4" t="s">
        <v>665</v>
      </c>
      <c r="E323" s="4" t="s">
        <v>171</v>
      </c>
      <c r="F323" s="4" t="s">
        <v>887</v>
      </c>
      <c r="G323" s="4" t="s">
        <v>888</v>
      </c>
    </row>
    <row r="324" customFormat="false" ht="35.05" hidden="false" customHeight="false" outlineLevel="0" collapsed="false">
      <c r="A324" s="4" t="s">
        <v>874</v>
      </c>
      <c r="B324" s="4" t="s">
        <v>249</v>
      </c>
      <c r="C324" s="4" t="s">
        <v>182</v>
      </c>
      <c r="D324" s="4" t="s">
        <v>183</v>
      </c>
      <c r="E324" s="4" t="s">
        <v>171</v>
      </c>
      <c r="F324" s="4" t="s">
        <v>889</v>
      </c>
      <c r="G324" s="4" t="s">
        <v>783</v>
      </c>
    </row>
    <row r="325" customFormat="false" ht="35.05" hidden="false" customHeight="false" outlineLevel="0" collapsed="false">
      <c r="A325" s="4" t="s">
        <v>874</v>
      </c>
      <c r="B325" s="4" t="s">
        <v>249</v>
      </c>
      <c r="C325" s="4" t="s">
        <v>184</v>
      </c>
      <c r="D325" s="4" t="s">
        <v>185</v>
      </c>
      <c r="E325" s="4" t="s">
        <v>19</v>
      </c>
      <c r="F325" s="4" t="s">
        <v>890</v>
      </c>
      <c r="G325" s="4" t="s">
        <v>891</v>
      </c>
    </row>
    <row r="326" customFormat="false" ht="35.05" hidden="false" customHeight="false" outlineLevel="0" collapsed="false">
      <c r="A326" s="4" t="s">
        <v>874</v>
      </c>
      <c r="B326" s="4" t="s">
        <v>249</v>
      </c>
      <c r="C326" s="4" t="s">
        <v>186</v>
      </c>
      <c r="D326" s="4" t="s">
        <v>187</v>
      </c>
      <c r="E326" s="4" t="s">
        <v>19</v>
      </c>
      <c r="F326" s="4" t="s">
        <v>892</v>
      </c>
      <c r="G326" s="4" t="s">
        <v>893</v>
      </c>
    </row>
    <row r="327" customFormat="false" ht="35.05" hidden="false" customHeight="false" outlineLevel="0" collapsed="false">
      <c r="A327" s="4" t="s">
        <v>874</v>
      </c>
      <c r="B327" s="4" t="s">
        <v>249</v>
      </c>
      <c r="C327" s="4" t="s">
        <v>188</v>
      </c>
      <c r="D327" s="4" t="s">
        <v>189</v>
      </c>
      <c r="E327" s="4" t="s">
        <v>20</v>
      </c>
      <c r="F327" s="4" t="s">
        <v>483</v>
      </c>
      <c r="G327" s="4" t="s">
        <v>894</v>
      </c>
    </row>
    <row r="328" customFormat="false" ht="35.05" hidden="false" customHeight="false" outlineLevel="0" collapsed="false">
      <c r="A328" s="4" t="s">
        <v>874</v>
      </c>
      <c r="B328" s="4" t="s">
        <v>249</v>
      </c>
      <c r="C328" s="4" t="s">
        <v>190</v>
      </c>
      <c r="D328" s="4" t="s">
        <v>676</v>
      </c>
      <c r="E328" s="4" t="s">
        <v>19</v>
      </c>
      <c r="F328" s="4" t="s">
        <v>895</v>
      </c>
      <c r="G328" s="4" t="s">
        <v>896</v>
      </c>
    </row>
    <row r="329" customFormat="false" ht="35.05" hidden="false" customHeight="false" outlineLevel="0" collapsed="false">
      <c r="A329" s="4" t="s">
        <v>874</v>
      </c>
      <c r="B329" s="4" t="s">
        <v>249</v>
      </c>
      <c r="C329" s="4" t="s">
        <v>192</v>
      </c>
      <c r="D329" s="4" t="s">
        <v>193</v>
      </c>
      <c r="E329" s="4" t="s">
        <v>171</v>
      </c>
      <c r="F329" s="4" t="s">
        <v>897</v>
      </c>
      <c r="G329" s="4" t="s">
        <v>774</v>
      </c>
    </row>
    <row r="330" customFormat="false" ht="35.05" hidden="false" customHeight="false" outlineLevel="0" collapsed="false">
      <c r="A330" s="4" t="s">
        <v>874</v>
      </c>
      <c r="B330" s="4" t="s">
        <v>249</v>
      </c>
      <c r="C330" s="4" t="s">
        <v>194</v>
      </c>
      <c r="D330" s="4" t="s">
        <v>681</v>
      </c>
      <c r="E330" s="4" t="s">
        <v>19</v>
      </c>
      <c r="F330" s="4" t="s">
        <v>898</v>
      </c>
      <c r="G330" s="4" t="s">
        <v>899</v>
      </c>
    </row>
    <row r="331" customFormat="false" ht="35.05" hidden="false" customHeight="false" outlineLevel="0" collapsed="false">
      <c r="A331" s="4" t="s">
        <v>874</v>
      </c>
      <c r="B331" s="4" t="s">
        <v>249</v>
      </c>
      <c r="C331" s="4" t="s">
        <v>196</v>
      </c>
      <c r="D331" s="4" t="s">
        <v>197</v>
      </c>
      <c r="E331" s="4" t="s">
        <v>19</v>
      </c>
      <c r="F331" s="4" t="s">
        <v>900</v>
      </c>
      <c r="G331" s="4" t="s">
        <v>901</v>
      </c>
    </row>
    <row r="332" customFormat="false" ht="35.05" hidden="false" customHeight="false" outlineLevel="0" collapsed="false">
      <c r="A332" s="4" t="s">
        <v>874</v>
      </c>
      <c r="B332" s="4" t="s">
        <v>249</v>
      </c>
      <c r="C332" s="4" t="s">
        <v>198</v>
      </c>
      <c r="D332" s="4" t="s">
        <v>199</v>
      </c>
      <c r="E332" s="4" t="s">
        <v>19</v>
      </c>
      <c r="F332" s="4" t="s">
        <v>902</v>
      </c>
      <c r="G332" s="4" t="s">
        <v>903</v>
      </c>
    </row>
    <row r="333" customFormat="false" ht="35.05" hidden="false" customHeight="false" outlineLevel="0" collapsed="false">
      <c r="A333" s="4" t="s">
        <v>874</v>
      </c>
      <c r="B333" s="4" t="s">
        <v>249</v>
      </c>
      <c r="C333" s="4" t="s">
        <v>200</v>
      </c>
      <c r="D333" s="4" t="s">
        <v>201</v>
      </c>
      <c r="E333" s="4" t="s">
        <v>20</v>
      </c>
      <c r="F333" s="4" t="s">
        <v>904</v>
      </c>
      <c r="G333" s="4" t="s">
        <v>905</v>
      </c>
    </row>
    <row r="334" customFormat="false" ht="35.05" hidden="false" customHeight="false" outlineLevel="0" collapsed="false">
      <c r="A334" s="4" t="s">
        <v>874</v>
      </c>
      <c r="B334" s="4" t="s">
        <v>249</v>
      </c>
      <c r="C334" s="4" t="s">
        <v>202</v>
      </c>
      <c r="D334" s="4" t="s">
        <v>203</v>
      </c>
      <c r="E334" s="4" t="s">
        <v>19</v>
      </c>
      <c r="F334" s="4" t="s">
        <v>906</v>
      </c>
      <c r="G334" s="4" t="s">
        <v>907</v>
      </c>
    </row>
    <row r="335" customFormat="false" ht="35.05" hidden="false" customHeight="false" outlineLevel="0" collapsed="false">
      <c r="A335" s="4" t="s">
        <v>874</v>
      </c>
      <c r="B335" s="4" t="s">
        <v>249</v>
      </c>
      <c r="C335" s="4" t="s">
        <v>204</v>
      </c>
      <c r="D335" s="4" t="s">
        <v>692</v>
      </c>
      <c r="E335" s="4" t="s">
        <v>20</v>
      </c>
      <c r="F335" s="4" t="s">
        <v>908</v>
      </c>
      <c r="G335" s="4" t="s">
        <v>909</v>
      </c>
    </row>
    <row r="336" customFormat="false" ht="35.05" hidden="false" customHeight="false" outlineLevel="0" collapsed="false">
      <c r="A336" s="4" t="s">
        <v>874</v>
      </c>
      <c r="B336" s="4" t="s">
        <v>249</v>
      </c>
      <c r="C336" s="4" t="s">
        <v>206</v>
      </c>
      <c r="D336" s="4" t="s">
        <v>695</v>
      </c>
      <c r="E336" s="4" t="s">
        <v>171</v>
      </c>
      <c r="F336" s="4" t="s">
        <v>910</v>
      </c>
      <c r="G336" s="4" t="s">
        <v>911</v>
      </c>
    </row>
    <row r="337" customFormat="false" ht="35.05" hidden="false" customHeight="false" outlineLevel="0" collapsed="false">
      <c r="A337" s="4" t="s">
        <v>874</v>
      </c>
      <c r="B337" s="4" t="s">
        <v>292</v>
      </c>
      <c r="C337" s="4" t="s">
        <v>208</v>
      </c>
      <c r="D337" s="4" t="s">
        <v>209</v>
      </c>
      <c r="E337" s="4" t="s">
        <v>171</v>
      </c>
      <c r="F337" s="4" t="s">
        <v>912</v>
      </c>
      <c r="G337" s="4" t="s">
        <v>913</v>
      </c>
    </row>
    <row r="338" customFormat="false" ht="35.05" hidden="false" customHeight="false" outlineLevel="0" collapsed="false">
      <c r="A338" s="4" t="s">
        <v>874</v>
      </c>
      <c r="B338" s="4" t="s">
        <v>292</v>
      </c>
      <c r="C338" s="4" t="s">
        <v>210</v>
      </c>
      <c r="D338" s="4" t="s">
        <v>211</v>
      </c>
      <c r="E338" s="4" t="s">
        <v>171</v>
      </c>
      <c r="F338" s="4" t="s">
        <v>914</v>
      </c>
      <c r="G338" s="4" t="s">
        <v>774</v>
      </c>
    </row>
    <row r="339" customFormat="false" ht="35.05" hidden="false" customHeight="false" outlineLevel="0" collapsed="false">
      <c r="A339" s="4" t="s">
        <v>874</v>
      </c>
      <c r="B339" s="4" t="s">
        <v>292</v>
      </c>
      <c r="C339" s="4" t="s">
        <v>212</v>
      </c>
      <c r="D339" s="4" t="s">
        <v>213</v>
      </c>
      <c r="E339" s="4" t="s">
        <v>19</v>
      </c>
      <c r="F339" s="4" t="s">
        <v>915</v>
      </c>
      <c r="G339" s="4" t="s">
        <v>916</v>
      </c>
    </row>
    <row r="340" customFormat="false" ht="35.05" hidden="false" customHeight="false" outlineLevel="0" collapsed="false">
      <c r="A340" s="4" t="s">
        <v>874</v>
      </c>
      <c r="B340" s="4" t="s">
        <v>292</v>
      </c>
      <c r="C340" s="4" t="s">
        <v>214</v>
      </c>
      <c r="D340" s="4" t="s">
        <v>215</v>
      </c>
      <c r="E340" s="4" t="s">
        <v>171</v>
      </c>
      <c r="F340" s="4" t="s">
        <v>917</v>
      </c>
      <c r="G340" s="4" t="s">
        <v>918</v>
      </c>
    </row>
    <row r="341" customFormat="false" ht="35.05" hidden="false" customHeight="false" outlineLevel="0" collapsed="false">
      <c r="A341" s="4" t="s">
        <v>874</v>
      </c>
      <c r="B341" s="4" t="s">
        <v>292</v>
      </c>
      <c r="C341" s="4" t="s">
        <v>216</v>
      </c>
      <c r="D341" s="4" t="s">
        <v>217</v>
      </c>
      <c r="E341" s="4" t="s">
        <v>19</v>
      </c>
      <c r="F341" s="4" t="s">
        <v>919</v>
      </c>
      <c r="G341" s="4" t="s">
        <v>920</v>
      </c>
    </row>
    <row r="342" customFormat="false" ht="35.05" hidden="false" customHeight="false" outlineLevel="0" collapsed="false">
      <c r="A342" s="4" t="s">
        <v>874</v>
      </c>
      <c r="B342" s="4" t="s">
        <v>292</v>
      </c>
      <c r="C342" s="4" t="s">
        <v>218</v>
      </c>
      <c r="D342" s="4" t="s">
        <v>219</v>
      </c>
      <c r="E342" s="4" t="s">
        <v>171</v>
      </c>
      <c r="F342" s="4" t="s">
        <v>921</v>
      </c>
      <c r="G342" s="4" t="s">
        <v>922</v>
      </c>
    </row>
    <row r="343" customFormat="false" ht="35.05" hidden="false" customHeight="false" outlineLevel="0" collapsed="false">
      <c r="A343" s="4" t="s">
        <v>874</v>
      </c>
      <c r="B343" s="4" t="s">
        <v>292</v>
      </c>
      <c r="C343" s="4" t="s">
        <v>220</v>
      </c>
      <c r="D343" s="4" t="s">
        <v>221</v>
      </c>
      <c r="E343" s="4" t="s">
        <v>19</v>
      </c>
      <c r="F343" s="4" t="s">
        <v>923</v>
      </c>
      <c r="G343" s="4" t="s">
        <v>924</v>
      </c>
    </row>
    <row r="344" customFormat="false" ht="35.05" hidden="false" customHeight="false" outlineLevel="0" collapsed="false">
      <c r="A344" s="4" t="s">
        <v>874</v>
      </c>
      <c r="B344" s="4" t="s">
        <v>292</v>
      </c>
      <c r="C344" s="4" t="s">
        <v>222</v>
      </c>
      <c r="D344" s="4" t="s">
        <v>223</v>
      </c>
      <c r="E344" s="4" t="s">
        <v>19</v>
      </c>
      <c r="F344" s="4" t="s">
        <v>925</v>
      </c>
      <c r="G344" s="4" t="s">
        <v>926</v>
      </c>
    </row>
    <row r="345" customFormat="false" ht="35.05" hidden="false" customHeight="false" outlineLevel="0" collapsed="false">
      <c r="A345" s="4" t="s">
        <v>874</v>
      </c>
      <c r="B345" s="4" t="s">
        <v>292</v>
      </c>
      <c r="C345" s="4" t="s">
        <v>224</v>
      </c>
      <c r="D345" s="4" t="s">
        <v>225</v>
      </c>
      <c r="E345" s="4" t="s">
        <v>19</v>
      </c>
      <c r="F345" s="4" t="s">
        <v>927</v>
      </c>
      <c r="G345" s="4" t="s">
        <v>928</v>
      </c>
    </row>
    <row r="346" customFormat="false" ht="35.05" hidden="false" customHeight="false" outlineLevel="0" collapsed="false">
      <c r="A346" s="4" t="s">
        <v>874</v>
      </c>
      <c r="B346" s="4" t="s">
        <v>292</v>
      </c>
      <c r="C346" s="4" t="s">
        <v>226</v>
      </c>
      <c r="D346" s="4" t="s">
        <v>227</v>
      </c>
      <c r="E346" s="4" t="s">
        <v>19</v>
      </c>
      <c r="F346" s="4" t="s">
        <v>929</v>
      </c>
      <c r="G346" s="4" t="s">
        <v>930</v>
      </c>
    </row>
    <row r="347" customFormat="false" ht="35.05" hidden="false" customHeight="false" outlineLevel="0" collapsed="false">
      <c r="A347" s="4" t="s">
        <v>874</v>
      </c>
      <c r="B347" s="4" t="s">
        <v>292</v>
      </c>
      <c r="C347" s="4" t="s">
        <v>228</v>
      </c>
      <c r="D347" s="4" t="s">
        <v>229</v>
      </c>
      <c r="E347" s="4" t="s">
        <v>171</v>
      </c>
      <c r="F347" s="4" t="s">
        <v>931</v>
      </c>
      <c r="G347" s="4" t="s">
        <v>774</v>
      </c>
    </row>
    <row r="348" customFormat="false" ht="35.05" hidden="false" customHeight="false" outlineLevel="0" collapsed="false">
      <c r="A348" s="4" t="s">
        <v>874</v>
      </c>
      <c r="B348" s="4" t="s">
        <v>313</v>
      </c>
      <c r="C348" s="4" t="s">
        <v>230</v>
      </c>
      <c r="D348" s="4" t="s">
        <v>932</v>
      </c>
      <c r="E348" s="4" t="s">
        <v>19</v>
      </c>
      <c r="F348" s="4" t="s">
        <v>933</v>
      </c>
      <c r="G348" s="4" t="s">
        <v>934</v>
      </c>
    </row>
    <row r="349" customFormat="false" ht="35.05" hidden="false" customHeight="false" outlineLevel="0" collapsed="false">
      <c r="A349" s="4" t="s">
        <v>874</v>
      </c>
      <c r="B349" s="4" t="s">
        <v>313</v>
      </c>
      <c r="C349" s="4" t="s">
        <v>232</v>
      </c>
      <c r="D349" s="4" t="s">
        <v>935</v>
      </c>
      <c r="E349" s="4" t="s">
        <v>19</v>
      </c>
      <c r="F349" s="4" t="s">
        <v>936</v>
      </c>
      <c r="G349" s="4" t="s">
        <v>937</v>
      </c>
    </row>
    <row r="350" customFormat="false" ht="35.05" hidden="false" customHeight="false" outlineLevel="0" collapsed="false">
      <c r="A350" s="4" t="s">
        <v>874</v>
      </c>
      <c r="B350" s="4" t="s">
        <v>313</v>
      </c>
      <c r="C350" s="4" t="s">
        <v>234</v>
      </c>
      <c r="D350" s="4" t="s">
        <v>938</v>
      </c>
      <c r="E350" s="4" t="s">
        <v>19</v>
      </c>
      <c r="F350" s="4" t="s">
        <v>939</v>
      </c>
      <c r="G350" s="4" t="s">
        <v>940</v>
      </c>
    </row>
    <row r="351" customFormat="false" ht="35.05" hidden="false" customHeight="false" outlineLevel="0" collapsed="false">
      <c r="A351" s="4" t="s">
        <v>874</v>
      </c>
      <c r="B351" s="4" t="s">
        <v>313</v>
      </c>
      <c r="C351" s="4" t="s">
        <v>236</v>
      </c>
      <c r="D351" s="4" t="s">
        <v>941</v>
      </c>
      <c r="E351" s="4" t="s">
        <v>19</v>
      </c>
      <c r="F351" s="4" t="s">
        <v>942</v>
      </c>
      <c r="G351" s="4" t="s">
        <v>943</v>
      </c>
    </row>
    <row r="352" customFormat="false" ht="35.05" hidden="false" customHeight="false" outlineLevel="0" collapsed="false">
      <c r="A352" s="4" t="s">
        <v>874</v>
      </c>
      <c r="B352" s="4" t="s">
        <v>313</v>
      </c>
      <c r="C352" s="4" t="s">
        <v>238</v>
      </c>
      <c r="D352" s="4" t="s">
        <v>944</v>
      </c>
      <c r="E352" s="4" t="s">
        <v>171</v>
      </c>
      <c r="F352" s="4" t="s">
        <v>945</v>
      </c>
      <c r="G352" s="4" t="s">
        <v>946</v>
      </c>
    </row>
    <row r="353" customFormat="false" ht="35.05" hidden="false" customHeight="false" outlineLevel="0" collapsed="false">
      <c r="A353" s="4" t="s">
        <v>874</v>
      </c>
      <c r="B353" s="4" t="s">
        <v>329</v>
      </c>
      <c r="C353" s="4"/>
      <c r="D353" s="4" t="s">
        <v>947</v>
      </c>
      <c r="E353" s="4" t="s">
        <v>171</v>
      </c>
      <c r="F353" s="4" t="s">
        <v>948</v>
      </c>
      <c r="G353" s="4"/>
    </row>
    <row r="354" customFormat="false" ht="35.05" hidden="false" customHeight="false" outlineLevel="0" collapsed="false">
      <c r="A354" s="4" t="s">
        <v>874</v>
      </c>
      <c r="B354" s="4" t="s">
        <v>329</v>
      </c>
      <c r="C354" s="4"/>
      <c r="D354" s="4" t="s">
        <v>949</v>
      </c>
      <c r="E354" s="4" t="s">
        <v>171</v>
      </c>
      <c r="F354" s="4" t="s">
        <v>950</v>
      </c>
      <c r="G354" s="4"/>
    </row>
    <row r="355" customFormat="false" ht="35.05" hidden="false" customHeight="false" outlineLevel="0" collapsed="false">
      <c r="A355" s="4" t="s">
        <v>874</v>
      </c>
      <c r="B355" s="4" t="s">
        <v>329</v>
      </c>
      <c r="C355" s="4"/>
      <c r="D355" s="4" t="s">
        <v>951</v>
      </c>
      <c r="E355" s="4" t="s">
        <v>333</v>
      </c>
      <c r="F355" s="4" t="s">
        <v>952</v>
      </c>
      <c r="G355" s="4"/>
    </row>
    <row r="356" customFormat="false" ht="35.05" hidden="false" customHeight="false" outlineLevel="0" collapsed="false">
      <c r="A356" s="4" t="s">
        <v>874</v>
      </c>
      <c r="B356" s="4" t="s">
        <v>329</v>
      </c>
      <c r="C356" s="4"/>
      <c r="D356" s="4" t="s">
        <v>953</v>
      </c>
      <c r="E356" s="4" t="s">
        <v>333</v>
      </c>
      <c r="F356" s="4" t="s">
        <v>954</v>
      </c>
      <c r="G356" s="4"/>
    </row>
    <row r="357" customFormat="false" ht="35.05" hidden="false" customHeight="false" outlineLevel="0" collapsed="false">
      <c r="A357" s="4" t="s">
        <v>874</v>
      </c>
      <c r="B357" s="4" t="s">
        <v>329</v>
      </c>
      <c r="C357" s="4"/>
      <c r="D357" s="4" t="s">
        <v>955</v>
      </c>
      <c r="E357" s="4" t="s">
        <v>333</v>
      </c>
      <c r="F357" s="4" t="s">
        <v>956</v>
      </c>
      <c r="G357" s="4"/>
    </row>
    <row r="358" customFormat="false" ht="35.05" hidden="false" customHeight="false" outlineLevel="0" collapsed="false">
      <c r="A358" s="4" t="s">
        <v>874</v>
      </c>
      <c r="B358" s="4" t="s">
        <v>329</v>
      </c>
      <c r="C358" s="4"/>
      <c r="D358" s="4" t="s">
        <v>957</v>
      </c>
      <c r="E358" s="4" t="s">
        <v>171</v>
      </c>
      <c r="F358" s="4" t="s">
        <v>958</v>
      </c>
      <c r="G358" s="4"/>
    </row>
    <row r="359" customFormat="false" ht="35.05" hidden="false" customHeight="false" outlineLevel="0" collapsed="false">
      <c r="A359" s="4" t="s">
        <v>874</v>
      </c>
      <c r="B359" s="4" t="s">
        <v>329</v>
      </c>
      <c r="C359" s="4"/>
      <c r="D359" s="4" t="s">
        <v>866</v>
      </c>
      <c r="E359" s="4" t="s">
        <v>333</v>
      </c>
      <c r="F359" s="4" t="s">
        <v>959</v>
      </c>
      <c r="G359" s="4"/>
    </row>
    <row r="360" customFormat="false" ht="35.05" hidden="false" customHeight="false" outlineLevel="0" collapsed="false">
      <c r="A360" s="4" t="s">
        <v>874</v>
      </c>
      <c r="B360" s="4" t="s">
        <v>329</v>
      </c>
      <c r="C360" s="4"/>
      <c r="D360" s="4" t="s">
        <v>960</v>
      </c>
      <c r="E360" s="4" t="s">
        <v>171</v>
      </c>
      <c r="F360" s="4" t="s">
        <v>961</v>
      </c>
      <c r="G360" s="4"/>
    </row>
    <row r="361" customFormat="false" ht="35.05" hidden="false" customHeight="false" outlineLevel="0" collapsed="false">
      <c r="A361" s="4" t="s">
        <v>874</v>
      </c>
      <c r="B361" s="4" t="s">
        <v>329</v>
      </c>
      <c r="C361" s="4"/>
      <c r="D361" s="4" t="s">
        <v>962</v>
      </c>
      <c r="E361" s="4" t="s">
        <v>333</v>
      </c>
      <c r="F361" s="4" t="s">
        <v>963</v>
      </c>
      <c r="G361" s="4"/>
    </row>
    <row r="362" customFormat="false" ht="35.05" hidden="false" customHeight="false" outlineLevel="0" collapsed="false">
      <c r="A362" s="4" t="s">
        <v>874</v>
      </c>
      <c r="B362" s="4" t="s">
        <v>329</v>
      </c>
      <c r="C362" s="4"/>
      <c r="D362" s="4" t="s">
        <v>858</v>
      </c>
      <c r="E362" s="4" t="s">
        <v>333</v>
      </c>
      <c r="F362" s="4" t="s">
        <v>964</v>
      </c>
      <c r="G362" s="4"/>
    </row>
    <row r="363" customFormat="false" ht="35.05" hidden="false" customHeight="false" outlineLevel="0" collapsed="false">
      <c r="A363" s="4" t="s">
        <v>874</v>
      </c>
      <c r="B363" s="4" t="s">
        <v>329</v>
      </c>
      <c r="C363" s="4"/>
      <c r="D363" s="4" t="s">
        <v>749</v>
      </c>
      <c r="E363" s="4" t="s">
        <v>171</v>
      </c>
      <c r="F363" s="4" t="s">
        <v>965</v>
      </c>
      <c r="G363" s="4"/>
    </row>
    <row r="364" customFormat="false" ht="35.05" hidden="false" customHeight="false" outlineLevel="0" collapsed="false">
      <c r="A364" s="4" t="s">
        <v>874</v>
      </c>
      <c r="B364" s="4" t="s">
        <v>329</v>
      </c>
      <c r="C364" s="4"/>
      <c r="D364" s="4" t="s">
        <v>751</v>
      </c>
      <c r="E364" s="4" t="s">
        <v>171</v>
      </c>
      <c r="F364" s="4" t="s">
        <v>966</v>
      </c>
      <c r="G364" s="4"/>
    </row>
    <row r="365" customFormat="false" ht="35.05" hidden="false" customHeight="false" outlineLevel="0" collapsed="false">
      <c r="A365" s="4" t="s">
        <v>874</v>
      </c>
      <c r="B365" s="4" t="s">
        <v>329</v>
      </c>
      <c r="C365" s="4"/>
      <c r="D365" s="4" t="s">
        <v>862</v>
      </c>
      <c r="E365" s="4" t="s">
        <v>171</v>
      </c>
      <c r="F365" s="4" t="s">
        <v>967</v>
      </c>
      <c r="G365" s="4"/>
    </row>
    <row r="366" customFormat="false" ht="35.05" hidden="false" customHeight="false" outlineLevel="0" collapsed="false">
      <c r="A366" s="4" t="s">
        <v>874</v>
      </c>
      <c r="B366" s="4" t="s">
        <v>329</v>
      </c>
      <c r="C366" s="4"/>
      <c r="D366" s="4" t="s">
        <v>343</v>
      </c>
      <c r="E366" s="4" t="s">
        <v>171</v>
      </c>
      <c r="F366" s="4" t="s">
        <v>968</v>
      </c>
      <c r="G366" s="4"/>
    </row>
    <row r="367" customFormat="false" ht="35.05" hidden="false" customHeight="false" outlineLevel="0" collapsed="false">
      <c r="A367" s="4" t="s">
        <v>874</v>
      </c>
      <c r="B367" s="4" t="s">
        <v>329</v>
      </c>
      <c r="C367" s="4"/>
      <c r="D367" s="4" t="s">
        <v>852</v>
      </c>
      <c r="E367" s="4" t="s">
        <v>171</v>
      </c>
      <c r="F367" s="4" t="s">
        <v>969</v>
      </c>
      <c r="G367" s="4"/>
    </row>
    <row r="368" customFormat="false" ht="35.05" hidden="false" customHeight="false" outlineLevel="0" collapsed="false">
      <c r="A368" s="4" t="s">
        <v>874</v>
      </c>
      <c r="B368" s="4" t="s">
        <v>329</v>
      </c>
      <c r="C368" s="4"/>
      <c r="D368" s="4" t="s">
        <v>970</v>
      </c>
      <c r="E368" s="4" t="s">
        <v>444</v>
      </c>
      <c r="F368" s="4" t="s">
        <v>971</v>
      </c>
      <c r="G368" s="4"/>
    </row>
    <row r="369" customFormat="false" ht="46.25" hidden="false" customHeight="false" outlineLevel="0" collapsed="false">
      <c r="A369" s="4" t="s">
        <v>972</v>
      </c>
      <c r="B369" s="4" t="s">
        <v>249</v>
      </c>
      <c r="C369" s="4" t="s">
        <v>165</v>
      </c>
      <c r="D369" s="4" t="s">
        <v>646</v>
      </c>
      <c r="E369" s="4" t="s">
        <v>19</v>
      </c>
      <c r="F369" s="4" t="s">
        <v>973</v>
      </c>
      <c r="G369" s="4" t="s">
        <v>974</v>
      </c>
    </row>
    <row r="370" customFormat="false" ht="46.25" hidden="false" customHeight="false" outlineLevel="0" collapsed="false">
      <c r="A370" s="4" t="s">
        <v>972</v>
      </c>
      <c r="B370" s="4" t="s">
        <v>249</v>
      </c>
      <c r="C370" s="4" t="s">
        <v>167</v>
      </c>
      <c r="D370" s="4" t="s">
        <v>168</v>
      </c>
      <c r="E370" s="4" t="s">
        <v>19</v>
      </c>
      <c r="F370" s="4" t="s">
        <v>975</v>
      </c>
      <c r="G370" s="4" t="s">
        <v>976</v>
      </c>
    </row>
    <row r="371" customFormat="false" ht="46.25" hidden="false" customHeight="false" outlineLevel="0" collapsed="false">
      <c r="A371" s="4" t="s">
        <v>972</v>
      </c>
      <c r="B371" s="4" t="s">
        <v>249</v>
      </c>
      <c r="C371" s="4" t="s">
        <v>169</v>
      </c>
      <c r="D371" s="4" t="s">
        <v>651</v>
      </c>
      <c r="E371" s="4" t="s">
        <v>171</v>
      </c>
      <c r="F371" s="4" t="s">
        <v>977</v>
      </c>
      <c r="G371" s="4" t="s">
        <v>978</v>
      </c>
    </row>
    <row r="372" customFormat="false" ht="46.25" hidden="false" customHeight="false" outlineLevel="0" collapsed="false">
      <c r="A372" s="4" t="s">
        <v>972</v>
      </c>
      <c r="B372" s="4" t="s">
        <v>249</v>
      </c>
      <c r="C372" s="4" t="s">
        <v>172</v>
      </c>
      <c r="D372" s="4" t="s">
        <v>654</v>
      </c>
      <c r="E372" s="4" t="s">
        <v>19</v>
      </c>
      <c r="F372" s="4" t="s">
        <v>979</v>
      </c>
      <c r="G372" s="4" t="s">
        <v>980</v>
      </c>
    </row>
    <row r="373" customFormat="false" ht="46.25" hidden="false" customHeight="false" outlineLevel="0" collapsed="false">
      <c r="A373" s="4" t="s">
        <v>972</v>
      </c>
      <c r="B373" s="4" t="s">
        <v>249</v>
      </c>
      <c r="C373" s="4" t="s">
        <v>174</v>
      </c>
      <c r="D373" s="4" t="s">
        <v>657</v>
      </c>
      <c r="E373" s="4" t="s">
        <v>19</v>
      </c>
      <c r="F373" s="4" t="s">
        <v>981</v>
      </c>
      <c r="G373" s="4" t="s">
        <v>982</v>
      </c>
    </row>
    <row r="374" customFormat="false" ht="46.25" hidden="false" customHeight="false" outlineLevel="0" collapsed="false">
      <c r="A374" s="4" t="s">
        <v>972</v>
      </c>
      <c r="B374" s="4" t="s">
        <v>249</v>
      </c>
      <c r="C374" s="4" t="s">
        <v>176</v>
      </c>
      <c r="D374" s="4" t="s">
        <v>660</v>
      </c>
      <c r="E374" s="4" t="s">
        <v>19</v>
      </c>
      <c r="F374" s="4" t="s">
        <v>983</v>
      </c>
      <c r="G374" s="4" t="s">
        <v>984</v>
      </c>
    </row>
    <row r="375" customFormat="false" ht="46.25" hidden="false" customHeight="false" outlineLevel="0" collapsed="false">
      <c r="A375" s="4" t="s">
        <v>972</v>
      </c>
      <c r="B375" s="4" t="s">
        <v>249</v>
      </c>
      <c r="C375" s="4" t="s">
        <v>178</v>
      </c>
      <c r="D375" s="4" t="s">
        <v>179</v>
      </c>
      <c r="E375" s="4" t="s">
        <v>19</v>
      </c>
      <c r="F375" s="4" t="s">
        <v>985</v>
      </c>
      <c r="G375" s="4" t="s">
        <v>986</v>
      </c>
    </row>
    <row r="376" customFormat="false" ht="46.25" hidden="false" customHeight="false" outlineLevel="0" collapsed="false">
      <c r="A376" s="4" t="s">
        <v>972</v>
      </c>
      <c r="B376" s="4" t="s">
        <v>249</v>
      </c>
      <c r="C376" s="4" t="s">
        <v>180</v>
      </c>
      <c r="D376" s="4" t="s">
        <v>665</v>
      </c>
      <c r="E376" s="4" t="s">
        <v>19</v>
      </c>
      <c r="F376" s="4" t="s">
        <v>987</v>
      </c>
      <c r="G376" s="4" t="s">
        <v>988</v>
      </c>
    </row>
    <row r="377" customFormat="false" ht="46.25" hidden="false" customHeight="false" outlineLevel="0" collapsed="false">
      <c r="A377" s="4" t="s">
        <v>972</v>
      </c>
      <c r="B377" s="4" t="s">
        <v>249</v>
      </c>
      <c r="C377" s="4" t="s">
        <v>182</v>
      </c>
      <c r="D377" s="4" t="s">
        <v>183</v>
      </c>
      <c r="E377" s="4" t="s">
        <v>171</v>
      </c>
      <c r="F377" s="4" t="s">
        <v>989</v>
      </c>
      <c r="G377" s="4" t="s">
        <v>783</v>
      </c>
    </row>
    <row r="378" customFormat="false" ht="46.25" hidden="false" customHeight="false" outlineLevel="0" collapsed="false">
      <c r="A378" s="4" t="s">
        <v>972</v>
      </c>
      <c r="B378" s="4" t="s">
        <v>249</v>
      </c>
      <c r="C378" s="4" t="s">
        <v>184</v>
      </c>
      <c r="D378" s="4" t="s">
        <v>185</v>
      </c>
      <c r="E378" s="4" t="s">
        <v>19</v>
      </c>
      <c r="F378" s="4" t="s">
        <v>990</v>
      </c>
      <c r="G378" s="4" t="s">
        <v>991</v>
      </c>
    </row>
    <row r="379" customFormat="false" ht="46.25" hidden="false" customHeight="false" outlineLevel="0" collapsed="false">
      <c r="A379" s="4" t="s">
        <v>972</v>
      </c>
      <c r="B379" s="4" t="s">
        <v>249</v>
      </c>
      <c r="C379" s="4" t="s">
        <v>186</v>
      </c>
      <c r="D379" s="4" t="s">
        <v>187</v>
      </c>
      <c r="E379" s="4" t="s">
        <v>19</v>
      </c>
      <c r="F379" s="4" t="s">
        <v>992</v>
      </c>
      <c r="G379" s="4" t="s">
        <v>993</v>
      </c>
    </row>
    <row r="380" customFormat="false" ht="46.25" hidden="false" customHeight="false" outlineLevel="0" collapsed="false">
      <c r="A380" s="4" t="s">
        <v>972</v>
      </c>
      <c r="B380" s="4" t="s">
        <v>249</v>
      </c>
      <c r="C380" s="4" t="s">
        <v>188</v>
      </c>
      <c r="D380" s="4" t="s">
        <v>189</v>
      </c>
      <c r="E380" s="4" t="s">
        <v>171</v>
      </c>
      <c r="F380" s="4" t="s">
        <v>994</v>
      </c>
      <c r="G380" s="4" t="s">
        <v>995</v>
      </c>
    </row>
    <row r="381" customFormat="false" ht="46.25" hidden="false" customHeight="false" outlineLevel="0" collapsed="false">
      <c r="A381" s="4" t="s">
        <v>972</v>
      </c>
      <c r="B381" s="4" t="s">
        <v>249</v>
      </c>
      <c r="C381" s="4" t="s">
        <v>190</v>
      </c>
      <c r="D381" s="4" t="s">
        <v>676</v>
      </c>
      <c r="E381" s="4" t="s">
        <v>19</v>
      </c>
      <c r="F381" s="4" t="s">
        <v>996</v>
      </c>
      <c r="G381" s="4" t="s">
        <v>997</v>
      </c>
    </row>
    <row r="382" customFormat="false" ht="46.25" hidden="false" customHeight="false" outlineLevel="0" collapsed="false">
      <c r="A382" s="4" t="s">
        <v>972</v>
      </c>
      <c r="B382" s="4" t="s">
        <v>249</v>
      </c>
      <c r="C382" s="4" t="s">
        <v>192</v>
      </c>
      <c r="D382" s="4" t="s">
        <v>193</v>
      </c>
      <c r="E382" s="4" t="s">
        <v>171</v>
      </c>
      <c r="F382" s="4" t="s">
        <v>998</v>
      </c>
      <c r="G382" s="4" t="s">
        <v>999</v>
      </c>
    </row>
    <row r="383" customFormat="false" ht="46.25" hidden="false" customHeight="false" outlineLevel="0" collapsed="false">
      <c r="A383" s="4" t="s">
        <v>972</v>
      </c>
      <c r="B383" s="4" t="s">
        <v>249</v>
      </c>
      <c r="C383" s="4" t="s">
        <v>194</v>
      </c>
      <c r="D383" s="4" t="s">
        <v>681</v>
      </c>
      <c r="E383" s="4" t="s">
        <v>19</v>
      </c>
      <c r="F383" s="4" t="s">
        <v>1000</v>
      </c>
      <c r="G383" s="4" t="s">
        <v>1001</v>
      </c>
    </row>
    <row r="384" customFormat="false" ht="46.25" hidden="false" customHeight="false" outlineLevel="0" collapsed="false">
      <c r="A384" s="4" t="s">
        <v>972</v>
      </c>
      <c r="B384" s="4" t="s">
        <v>249</v>
      </c>
      <c r="C384" s="4" t="s">
        <v>196</v>
      </c>
      <c r="D384" s="4" t="s">
        <v>197</v>
      </c>
      <c r="E384" s="4" t="s">
        <v>19</v>
      </c>
      <c r="F384" s="4" t="s">
        <v>1002</v>
      </c>
      <c r="G384" s="4" t="s">
        <v>1003</v>
      </c>
    </row>
    <row r="385" customFormat="false" ht="46.25" hidden="false" customHeight="false" outlineLevel="0" collapsed="false">
      <c r="A385" s="4" t="s">
        <v>972</v>
      </c>
      <c r="B385" s="4" t="s">
        <v>249</v>
      </c>
      <c r="C385" s="4" t="s">
        <v>198</v>
      </c>
      <c r="D385" s="4" t="s">
        <v>199</v>
      </c>
      <c r="E385" s="4" t="s">
        <v>19</v>
      </c>
      <c r="F385" s="4" t="s">
        <v>1004</v>
      </c>
      <c r="G385" s="4" t="s">
        <v>1005</v>
      </c>
    </row>
    <row r="386" customFormat="false" ht="46.25" hidden="false" customHeight="false" outlineLevel="0" collapsed="false">
      <c r="A386" s="4" t="s">
        <v>972</v>
      </c>
      <c r="B386" s="4" t="s">
        <v>249</v>
      </c>
      <c r="C386" s="4" t="s">
        <v>200</v>
      </c>
      <c r="D386" s="4" t="s">
        <v>201</v>
      </c>
      <c r="E386" s="4" t="s">
        <v>20</v>
      </c>
      <c r="F386" s="4" t="s">
        <v>1006</v>
      </c>
      <c r="G386" s="4" t="s">
        <v>1007</v>
      </c>
    </row>
    <row r="387" customFormat="false" ht="46.25" hidden="false" customHeight="false" outlineLevel="0" collapsed="false">
      <c r="A387" s="4" t="s">
        <v>972</v>
      </c>
      <c r="B387" s="4" t="s">
        <v>249</v>
      </c>
      <c r="C387" s="4" t="s">
        <v>202</v>
      </c>
      <c r="D387" s="4" t="s">
        <v>203</v>
      </c>
      <c r="E387" s="4" t="s">
        <v>19</v>
      </c>
      <c r="F387" s="4" t="s">
        <v>1008</v>
      </c>
      <c r="G387" s="4" t="s">
        <v>1009</v>
      </c>
    </row>
    <row r="388" customFormat="false" ht="46.25" hidden="false" customHeight="false" outlineLevel="0" collapsed="false">
      <c r="A388" s="4" t="s">
        <v>972</v>
      </c>
      <c r="B388" s="4" t="s">
        <v>249</v>
      </c>
      <c r="C388" s="4" t="s">
        <v>204</v>
      </c>
      <c r="D388" s="4" t="s">
        <v>692</v>
      </c>
      <c r="E388" s="4" t="s">
        <v>20</v>
      </c>
      <c r="F388" s="4" t="s">
        <v>1010</v>
      </c>
      <c r="G388" s="4" t="s">
        <v>1011</v>
      </c>
    </row>
    <row r="389" customFormat="false" ht="46.25" hidden="false" customHeight="false" outlineLevel="0" collapsed="false">
      <c r="A389" s="4" t="s">
        <v>972</v>
      </c>
      <c r="B389" s="4" t="s">
        <v>249</v>
      </c>
      <c r="C389" s="4" t="s">
        <v>206</v>
      </c>
      <c r="D389" s="4" t="s">
        <v>695</v>
      </c>
      <c r="E389" s="4" t="s">
        <v>19</v>
      </c>
      <c r="F389" s="4" t="s">
        <v>1012</v>
      </c>
      <c r="G389" s="4" t="s">
        <v>1013</v>
      </c>
    </row>
    <row r="390" customFormat="false" ht="46.25" hidden="false" customHeight="false" outlineLevel="0" collapsed="false">
      <c r="A390" s="4" t="s">
        <v>972</v>
      </c>
      <c r="B390" s="4" t="s">
        <v>292</v>
      </c>
      <c r="C390" s="4" t="s">
        <v>208</v>
      </c>
      <c r="D390" s="4" t="s">
        <v>209</v>
      </c>
      <c r="E390" s="4" t="s">
        <v>171</v>
      </c>
      <c r="F390" s="4" t="s">
        <v>1014</v>
      </c>
      <c r="G390" s="4" t="s">
        <v>1015</v>
      </c>
    </row>
    <row r="391" customFormat="false" ht="46.25" hidden="false" customHeight="false" outlineLevel="0" collapsed="false">
      <c r="A391" s="4" t="s">
        <v>972</v>
      </c>
      <c r="B391" s="4" t="s">
        <v>292</v>
      </c>
      <c r="C391" s="4" t="s">
        <v>210</v>
      </c>
      <c r="D391" s="4" t="s">
        <v>211</v>
      </c>
      <c r="E391" s="4" t="s">
        <v>19</v>
      </c>
      <c r="F391" s="4" t="s">
        <v>1016</v>
      </c>
      <c r="G391" s="4" t="s">
        <v>1017</v>
      </c>
    </row>
    <row r="392" customFormat="false" ht="46.25" hidden="false" customHeight="false" outlineLevel="0" collapsed="false">
      <c r="A392" s="4" t="s">
        <v>972</v>
      </c>
      <c r="B392" s="4" t="s">
        <v>292</v>
      </c>
      <c r="C392" s="4" t="s">
        <v>212</v>
      </c>
      <c r="D392" s="4" t="s">
        <v>213</v>
      </c>
      <c r="E392" s="4" t="s">
        <v>19</v>
      </c>
      <c r="F392" s="4" t="s">
        <v>1018</v>
      </c>
      <c r="G392" s="4" t="s">
        <v>1019</v>
      </c>
    </row>
    <row r="393" customFormat="false" ht="46.25" hidden="false" customHeight="false" outlineLevel="0" collapsed="false">
      <c r="A393" s="4" t="s">
        <v>972</v>
      </c>
      <c r="B393" s="4" t="s">
        <v>292</v>
      </c>
      <c r="C393" s="4" t="s">
        <v>214</v>
      </c>
      <c r="D393" s="4" t="s">
        <v>215</v>
      </c>
      <c r="E393" s="4" t="s">
        <v>19</v>
      </c>
      <c r="F393" s="4" t="s">
        <v>1020</v>
      </c>
      <c r="G393" s="4" t="s">
        <v>1021</v>
      </c>
    </row>
    <row r="394" customFormat="false" ht="46.25" hidden="false" customHeight="false" outlineLevel="0" collapsed="false">
      <c r="A394" s="4" t="s">
        <v>972</v>
      </c>
      <c r="B394" s="4" t="s">
        <v>292</v>
      </c>
      <c r="C394" s="4" t="s">
        <v>216</v>
      </c>
      <c r="D394" s="4" t="s">
        <v>217</v>
      </c>
      <c r="E394" s="4" t="s">
        <v>19</v>
      </c>
      <c r="F394" s="4" t="s">
        <v>1022</v>
      </c>
      <c r="G394" s="4" t="s">
        <v>1023</v>
      </c>
    </row>
    <row r="395" customFormat="false" ht="46.25" hidden="false" customHeight="false" outlineLevel="0" collapsed="false">
      <c r="A395" s="4" t="s">
        <v>972</v>
      </c>
      <c r="B395" s="4" t="s">
        <v>292</v>
      </c>
      <c r="C395" s="4" t="s">
        <v>218</v>
      </c>
      <c r="D395" s="4" t="s">
        <v>219</v>
      </c>
      <c r="E395" s="4" t="s">
        <v>19</v>
      </c>
      <c r="F395" s="4" t="s">
        <v>1024</v>
      </c>
      <c r="G395" s="4" t="s">
        <v>1025</v>
      </c>
    </row>
    <row r="396" customFormat="false" ht="46.25" hidden="false" customHeight="false" outlineLevel="0" collapsed="false">
      <c r="A396" s="4" t="s">
        <v>972</v>
      </c>
      <c r="B396" s="4" t="s">
        <v>292</v>
      </c>
      <c r="C396" s="4" t="s">
        <v>220</v>
      </c>
      <c r="D396" s="4" t="s">
        <v>221</v>
      </c>
      <c r="E396" s="4" t="s">
        <v>19</v>
      </c>
      <c r="F396" s="4" t="s">
        <v>1026</v>
      </c>
      <c r="G396" s="4" t="s">
        <v>1027</v>
      </c>
    </row>
    <row r="397" customFormat="false" ht="46.25" hidden="false" customHeight="false" outlineLevel="0" collapsed="false">
      <c r="A397" s="4" t="s">
        <v>972</v>
      </c>
      <c r="B397" s="4" t="s">
        <v>292</v>
      </c>
      <c r="C397" s="4" t="s">
        <v>222</v>
      </c>
      <c r="D397" s="4" t="s">
        <v>223</v>
      </c>
      <c r="E397" s="4" t="s">
        <v>19</v>
      </c>
      <c r="F397" s="4" t="s">
        <v>1028</v>
      </c>
      <c r="G397" s="4" t="s">
        <v>609</v>
      </c>
    </row>
    <row r="398" customFormat="false" ht="46.25" hidden="false" customHeight="false" outlineLevel="0" collapsed="false">
      <c r="A398" s="4" t="s">
        <v>972</v>
      </c>
      <c r="B398" s="4" t="s">
        <v>292</v>
      </c>
      <c r="C398" s="4" t="s">
        <v>224</v>
      </c>
      <c r="D398" s="4" t="s">
        <v>225</v>
      </c>
      <c r="E398" s="4" t="s">
        <v>19</v>
      </c>
      <c r="F398" s="4" t="s">
        <v>1029</v>
      </c>
      <c r="G398" s="4" t="s">
        <v>1030</v>
      </c>
    </row>
    <row r="399" customFormat="false" ht="46.25" hidden="false" customHeight="false" outlineLevel="0" collapsed="false">
      <c r="A399" s="4" t="s">
        <v>972</v>
      </c>
      <c r="B399" s="4" t="s">
        <v>292</v>
      </c>
      <c r="C399" s="4" t="s">
        <v>226</v>
      </c>
      <c r="D399" s="4" t="s">
        <v>227</v>
      </c>
      <c r="E399" s="4" t="s">
        <v>19</v>
      </c>
      <c r="F399" s="4" t="s">
        <v>1031</v>
      </c>
      <c r="G399" s="4" t="s">
        <v>1032</v>
      </c>
    </row>
    <row r="400" customFormat="false" ht="46.25" hidden="false" customHeight="false" outlineLevel="0" collapsed="false">
      <c r="A400" s="4" t="s">
        <v>972</v>
      </c>
      <c r="B400" s="4" t="s">
        <v>292</v>
      </c>
      <c r="C400" s="4" t="s">
        <v>228</v>
      </c>
      <c r="D400" s="4" t="s">
        <v>229</v>
      </c>
      <c r="E400" s="4" t="s">
        <v>171</v>
      </c>
      <c r="F400" s="4" t="s">
        <v>1033</v>
      </c>
      <c r="G400" s="4" t="s">
        <v>774</v>
      </c>
    </row>
    <row r="401" customFormat="false" ht="46.25" hidden="false" customHeight="false" outlineLevel="0" collapsed="false">
      <c r="A401" s="4" t="s">
        <v>972</v>
      </c>
      <c r="B401" s="4" t="s">
        <v>313</v>
      </c>
      <c r="C401" s="4" t="s">
        <v>230</v>
      </c>
      <c r="D401" s="4" t="s">
        <v>1034</v>
      </c>
      <c r="E401" s="4" t="s">
        <v>19</v>
      </c>
      <c r="F401" s="4" t="s">
        <v>1035</v>
      </c>
      <c r="G401" s="4" t="s">
        <v>1036</v>
      </c>
    </row>
    <row r="402" customFormat="false" ht="46.25" hidden="false" customHeight="false" outlineLevel="0" collapsed="false">
      <c r="A402" s="4" t="s">
        <v>972</v>
      </c>
      <c r="B402" s="4" t="s">
        <v>313</v>
      </c>
      <c r="C402" s="4" t="s">
        <v>232</v>
      </c>
      <c r="D402" s="4" t="s">
        <v>1037</v>
      </c>
      <c r="E402" s="4" t="s">
        <v>19</v>
      </c>
      <c r="F402" s="4" t="s">
        <v>1038</v>
      </c>
      <c r="G402" s="4" t="s">
        <v>1039</v>
      </c>
    </row>
    <row r="403" customFormat="false" ht="46.25" hidden="false" customHeight="false" outlineLevel="0" collapsed="false">
      <c r="A403" s="4" t="s">
        <v>972</v>
      </c>
      <c r="B403" s="4" t="s">
        <v>313</v>
      </c>
      <c r="C403" s="4" t="s">
        <v>234</v>
      </c>
      <c r="D403" s="4" t="s">
        <v>1040</v>
      </c>
      <c r="E403" s="4" t="s">
        <v>19</v>
      </c>
      <c r="F403" s="4" t="s">
        <v>1041</v>
      </c>
      <c r="G403" s="4" t="s">
        <v>1042</v>
      </c>
    </row>
    <row r="404" customFormat="false" ht="46.25" hidden="false" customHeight="false" outlineLevel="0" collapsed="false">
      <c r="A404" s="4" t="s">
        <v>972</v>
      </c>
      <c r="B404" s="4" t="s">
        <v>313</v>
      </c>
      <c r="C404" s="4" t="s">
        <v>236</v>
      </c>
      <c r="D404" s="4" t="s">
        <v>1043</v>
      </c>
      <c r="E404" s="4" t="s">
        <v>19</v>
      </c>
      <c r="F404" s="4" t="s">
        <v>1044</v>
      </c>
      <c r="G404" s="4" t="s">
        <v>1045</v>
      </c>
    </row>
    <row r="405" customFormat="false" ht="46.25" hidden="false" customHeight="false" outlineLevel="0" collapsed="false">
      <c r="A405" s="4" t="s">
        <v>972</v>
      </c>
      <c r="B405" s="4" t="s">
        <v>313</v>
      </c>
      <c r="C405" s="4" t="s">
        <v>238</v>
      </c>
      <c r="D405" s="4" t="s">
        <v>1046</v>
      </c>
      <c r="E405" s="4" t="s">
        <v>171</v>
      </c>
      <c r="F405" s="4" t="s">
        <v>1047</v>
      </c>
      <c r="G405" s="4" t="s">
        <v>1048</v>
      </c>
    </row>
    <row r="406" customFormat="false" ht="46.25" hidden="false" customHeight="false" outlineLevel="0" collapsed="false">
      <c r="A406" s="4" t="s">
        <v>972</v>
      </c>
      <c r="B406" s="4" t="s">
        <v>329</v>
      </c>
      <c r="C406" s="4"/>
      <c r="D406" s="4" t="s">
        <v>947</v>
      </c>
      <c r="E406" s="4" t="s">
        <v>444</v>
      </c>
      <c r="F406" s="4" t="s">
        <v>1049</v>
      </c>
      <c r="G406" s="4"/>
    </row>
    <row r="407" customFormat="false" ht="46.25" hidden="false" customHeight="false" outlineLevel="0" collapsed="false">
      <c r="A407" s="4" t="s">
        <v>972</v>
      </c>
      <c r="B407" s="4" t="s">
        <v>329</v>
      </c>
      <c r="C407" s="4"/>
      <c r="D407" s="4" t="s">
        <v>1050</v>
      </c>
      <c r="E407" s="4" t="s">
        <v>333</v>
      </c>
      <c r="F407" s="4" t="s">
        <v>1051</v>
      </c>
      <c r="G407" s="4"/>
    </row>
    <row r="408" customFormat="false" ht="46.25" hidden="false" customHeight="false" outlineLevel="0" collapsed="false">
      <c r="A408" s="4" t="s">
        <v>972</v>
      </c>
      <c r="B408" s="4" t="s">
        <v>329</v>
      </c>
      <c r="C408" s="4"/>
      <c r="D408" s="4" t="s">
        <v>1052</v>
      </c>
      <c r="E408" s="4" t="s">
        <v>171</v>
      </c>
      <c r="F408" s="4" t="s">
        <v>1053</v>
      </c>
      <c r="G408" s="4"/>
    </row>
    <row r="409" customFormat="false" ht="46.25" hidden="false" customHeight="false" outlineLevel="0" collapsed="false">
      <c r="A409" s="4" t="s">
        <v>972</v>
      </c>
      <c r="B409" s="4" t="s">
        <v>329</v>
      </c>
      <c r="C409" s="4"/>
      <c r="D409" s="4" t="s">
        <v>1054</v>
      </c>
      <c r="E409" s="4" t="s">
        <v>444</v>
      </c>
      <c r="F409" s="4" t="s">
        <v>1055</v>
      </c>
      <c r="G409" s="4"/>
    </row>
    <row r="410" customFormat="false" ht="46.25" hidden="false" customHeight="false" outlineLevel="0" collapsed="false">
      <c r="A410" s="4" t="s">
        <v>972</v>
      </c>
      <c r="B410" s="4" t="s">
        <v>329</v>
      </c>
      <c r="C410" s="4"/>
      <c r="D410" s="4" t="s">
        <v>955</v>
      </c>
      <c r="E410" s="4" t="s">
        <v>333</v>
      </c>
      <c r="F410" s="4" t="s">
        <v>1056</v>
      </c>
      <c r="G410" s="4"/>
    </row>
    <row r="411" customFormat="false" ht="46.25" hidden="false" customHeight="false" outlineLevel="0" collapsed="false">
      <c r="A411" s="4" t="s">
        <v>972</v>
      </c>
      <c r="B411" s="4" t="s">
        <v>329</v>
      </c>
      <c r="C411" s="4"/>
      <c r="D411" s="4" t="s">
        <v>741</v>
      </c>
      <c r="E411" s="4" t="s">
        <v>333</v>
      </c>
      <c r="F411" s="4" t="s">
        <v>1057</v>
      </c>
      <c r="G411" s="4"/>
    </row>
    <row r="412" customFormat="false" ht="46.25" hidden="false" customHeight="false" outlineLevel="0" collapsed="false">
      <c r="A412" s="4" t="s">
        <v>972</v>
      </c>
      <c r="B412" s="4" t="s">
        <v>329</v>
      </c>
      <c r="C412" s="4"/>
      <c r="D412" s="4" t="s">
        <v>1058</v>
      </c>
      <c r="E412" s="4" t="s">
        <v>333</v>
      </c>
      <c r="F412" s="4" t="s">
        <v>1059</v>
      </c>
      <c r="G412" s="4"/>
    </row>
    <row r="413" customFormat="false" ht="46.25" hidden="false" customHeight="false" outlineLevel="0" collapsed="false">
      <c r="A413" s="4" t="s">
        <v>972</v>
      </c>
      <c r="B413" s="4" t="s">
        <v>329</v>
      </c>
      <c r="C413" s="4"/>
      <c r="D413" s="4" t="s">
        <v>1060</v>
      </c>
      <c r="E413" s="4" t="s">
        <v>333</v>
      </c>
      <c r="F413" s="4" t="s">
        <v>1061</v>
      </c>
      <c r="G413" s="4"/>
    </row>
    <row r="414" customFormat="false" ht="46.25" hidden="false" customHeight="false" outlineLevel="0" collapsed="false">
      <c r="A414" s="4" t="s">
        <v>972</v>
      </c>
      <c r="B414" s="4" t="s">
        <v>329</v>
      </c>
      <c r="C414" s="4"/>
      <c r="D414" s="4" t="s">
        <v>858</v>
      </c>
      <c r="E414" s="4" t="s">
        <v>333</v>
      </c>
      <c r="F414" s="4" t="s">
        <v>1062</v>
      </c>
      <c r="G414" s="4"/>
    </row>
    <row r="415" customFormat="false" ht="46.25" hidden="false" customHeight="false" outlineLevel="0" collapsed="false">
      <c r="A415" s="4" t="s">
        <v>972</v>
      </c>
      <c r="B415" s="4" t="s">
        <v>329</v>
      </c>
      <c r="C415" s="4"/>
      <c r="D415" s="4" t="s">
        <v>749</v>
      </c>
      <c r="E415" s="4" t="s">
        <v>171</v>
      </c>
      <c r="F415" s="4" t="s">
        <v>1063</v>
      </c>
      <c r="G415" s="4"/>
    </row>
    <row r="416" customFormat="false" ht="46.25" hidden="false" customHeight="false" outlineLevel="0" collapsed="false">
      <c r="A416" s="4" t="s">
        <v>972</v>
      </c>
      <c r="B416" s="4" t="s">
        <v>329</v>
      </c>
      <c r="C416" s="4"/>
      <c r="D416" s="4" t="s">
        <v>751</v>
      </c>
      <c r="E416" s="4" t="s">
        <v>333</v>
      </c>
      <c r="F416" s="4" t="s">
        <v>1064</v>
      </c>
      <c r="G416" s="4"/>
    </row>
    <row r="417" customFormat="false" ht="46.25" hidden="false" customHeight="false" outlineLevel="0" collapsed="false">
      <c r="A417" s="4" t="s">
        <v>972</v>
      </c>
      <c r="B417" s="4" t="s">
        <v>329</v>
      </c>
      <c r="C417" s="4"/>
      <c r="D417" s="4" t="s">
        <v>347</v>
      </c>
      <c r="E417" s="4" t="s">
        <v>171</v>
      </c>
      <c r="F417" s="4" t="s">
        <v>1065</v>
      </c>
      <c r="G417" s="4"/>
    </row>
    <row r="418" customFormat="false" ht="46.25" hidden="false" customHeight="false" outlineLevel="0" collapsed="false">
      <c r="A418" s="4" t="s">
        <v>972</v>
      </c>
      <c r="B418" s="4" t="s">
        <v>329</v>
      </c>
      <c r="C418" s="4"/>
      <c r="D418" s="4" t="s">
        <v>1066</v>
      </c>
      <c r="E418" s="4" t="s">
        <v>171</v>
      </c>
      <c r="F418" s="4" t="s">
        <v>1067</v>
      </c>
      <c r="G418" s="4"/>
    </row>
    <row r="419" customFormat="false" ht="46.25" hidden="false" customHeight="false" outlineLevel="0" collapsed="false">
      <c r="A419" s="4" t="s">
        <v>972</v>
      </c>
      <c r="B419" s="4" t="s">
        <v>329</v>
      </c>
      <c r="C419" s="4"/>
      <c r="D419" s="4" t="s">
        <v>343</v>
      </c>
      <c r="E419" s="4" t="s">
        <v>171</v>
      </c>
      <c r="F419" s="4" t="s">
        <v>1068</v>
      </c>
      <c r="G419" s="4"/>
    </row>
    <row r="420" customFormat="false" ht="46.25" hidden="false" customHeight="false" outlineLevel="0" collapsed="false">
      <c r="A420" s="4" t="s">
        <v>972</v>
      </c>
      <c r="B420" s="4" t="s">
        <v>329</v>
      </c>
      <c r="C420" s="4"/>
      <c r="D420" s="4" t="s">
        <v>866</v>
      </c>
      <c r="E420" s="4" t="s">
        <v>171</v>
      </c>
      <c r="F420" s="4" t="s">
        <v>1069</v>
      </c>
      <c r="G420" s="4"/>
    </row>
    <row r="421" customFormat="false" ht="46.25" hidden="false" customHeight="false" outlineLevel="0" collapsed="false">
      <c r="A421" s="4" t="s">
        <v>972</v>
      </c>
      <c r="B421" s="4" t="s">
        <v>329</v>
      </c>
      <c r="C421" s="4"/>
      <c r="D421" s="4" t="s">
        <v>852</v>
      </c>
      <c r="E421" s="4" t="s">
        <v>171</v>
      </c>
      <c r="F421" s="4" t="s">
        <v>1070</v>
      </c>
      <c r="G421" s="4"/>
    </row>
    <row r="422" customFormat="false" ht="46.25" hidden="false" customHeight="false" outlineLevel="0" collapsed="false">
      <c r="A422" s="4" t="s">
        <v>972</v>
      </c>
      <c r="B422" s="4" t="s">
        <v>329</v>
      </c>
      <c r="C422" s="4"/>
      <c r="D422" s="4" t="s">
        <v>205</v>
      </c>
      <c r="E422" s="4" t="s">
        <v>444</v>
      </c>
      <c r="F422" s="4" t="s">
        <v>1071</v>
      </c>
      <c r="G422" s="4"/>
    </row>
    <row r="423" customFormat="false" ht="35.05" hidden="false" customHeight="false" outlineLevel="0" collapsed="false">
      <c r="A423" s="4" t="s">
        <v>1072</v>
      </c>
      <c r="B423" s="4" t="s">
        <v>249</v>
      </c>
      <c r="C423" s="4" t="s">
        <v>165</v>
      </c>
      <c r="D423" s="4" t="s">
        <v>1073</v>
      </c>
      <c r="E423" s="4" t="s">
        <v>19</v>
      </c>
      <c r="F423" s="4" t="s">
        <v>1074</v>
      </c>
      <c r="G423" s="4" t="s">
        <v>1075</v>
      </c>
    </row>
    <row r="424" customFormat="false" ht="35.05" hidden="false" customHeight="false" outlineLevel="0" collapsed="false">
      <c r="A424" s="4" t="s">
        <v>1072</v>
      </c>
      <c r="B424" s="4" t="s">
        <v>249</v>
      </c>
      <c r="C424" s="4" t="s">
        <v>167</v>
      </c>
      <c r="D424" s="4" t="s">
        <v>168</v>
      </c>
      <c r="E424" s="4" t="s">
        <v>19</v>
      </c>
      <c r="F424" s="4" t="s">
        <v>1076</v>
      </c>
      <c r="G424" s="4" t="s">
        <v>1077</v>
      </c>
    </row>
    <row r="425" customFormat="false" ht="23.85" hidden="false" customHeight="false" outlineLevel="0" collapsed="false">
      <c r="A425" s="4" t="s">
        <v>1072</v>
      </c>
      <c r="B425" s="4" t="s">
        <v>249</v>
      </c>
      <c r="C425" s="4" t="s">
        <v>169</v>
      </c>
      <c r="D425" s="4" t="s">
        <v>651</v>
      </c>
      <c r="E425" s="4" t="s">
        <v>171</v>
      </c>
      <c r="F425" s="4" t="s">
        <v>1078</v>
      </c>
      <c r="G425" s="4" t="s">
        <v>1079</v>
      </c>
    </row>
    <row r="426" customFormat="false" ht="23.85" hidden="false" customHeight="false" outlineLevel="0" collapsed="false">
      <c r="A426" s="4" t="s">
        <v>1072</v>
      </c>
      <c r="B426" s="4" t="s">
        <v>249</v>
      </c>
      <c r="C426" s="4" t="s">
        <v>172</v>
      </c>
      <c r="D426" s="4" t="s">
        <v>654</v>
      </c>
      <c r="E426" s="4" t="s">
        <v>171</v>
      </c>
      <c r="F426" s="4" t="s">
        <v>1080</v>
      </c>
      <c r="G426" s="4" t="s">
        <v>1081</v>
      </c>
    </row>
    <row r="427" customFormat="false" ht="35.05" hidden="false" customHeight="false" outlineLevel="0" collapsed="false">
      <c r="A427" s="4" t="s">
        <v>1072</v>
      </c>
      <c r="B427" s="4" t="s">
        <v>249</v>
      </c>
      <c r="C427" s="4" t="s">
        <v>174</v>
      </c>
      <c r="D427" s="4" t="s">
        <v>1082</v>
      </c>
      <c r="E427" s="4" t="s">
        <v>19</v>
      </c>
      <c r="F427" s="4" t="s">
        <v>1083</v>
      </c>
      <c r="G427" s="4" t="s">
        <v>1084</v>
      </c>
    </row>
    <row r="428" customFormat="false" ht="46.25" hidden="false" customHeight="false" outlineLevel="0" collapsed="false">
      <c r="A428" s="4" t="s">
        <v>1072</v>
      </c>
      <c r="B428" s="4" t="s">
        <v>249</v>
      </c>
      <c r="C428" s="4" t="s">
        <v>176</v>
      </c>
      <c r="D428" s="4" t="s">
        <v>177</v>
      </c>
      <c r="E428" s="4" t="s">
        <v>19</v>
      </c>
      <c r="F428" s="4" t="s">
        <v>1085</v>
      </c>
      <c r="G428" s="4" t="s">
        <v>1086</v>
      </c>
    </row>
    <row r="429" customFormat="false" ht="23.85" hidden="false" customHeight="false" outlineLevel="0" collapsed="false">
      <c r="A429" s="4" t="s">
        <v>1072</v>
      </c>
      <c r="B429" s="4" t="s">
        <v>249</v>
      </c>
      <c r="C429" s="4" t="s">
        <v>178</v>
      </c>
      <c r="D429" s="4" t="s">
        <v>179</v>
      </c>
      <c r="E429" s="4" t="s">
        <v>171</v>
      </c>
      <c r="F429" s="4" t="s">
        <v>1087</v>
      </c>
      <c r="G429" s="4" t="s">
        <v>1088</v>
      </c>
    </row>
    <row r="430" customFormat="false" ht="35.05" hidden="false" customHeight="false" outlineLevel="0" collapsed="false">
      <c r="A430" s="4" t="s">
        <v>1072</v>
      </c>
      <c r="B430" s="4" t="s">
        <v>249</v>
      </c>
      <c r="C430" s="4" t="s">
        <v>180</v>
      </c>
      <c r="D430" s="4" t="s">
        <v>1089</v>
      </c>
      <c r="E430" s="4" t="s">
        <v>171</v>
      </c>
      <c r="F430" s="4" t="s">
        <v>1090</v>
      </c>
      <c r="G430" s="4" t="s">
        <v>1091</v>
      </c>
    </row>
    <row r="431" customFormat="false" ht="23.85" hidden="false" customHeight="false" outlineLevel="0" collapsed="false">
      <c r="A431" s="4" t="s">
        <v>1072</v>
      </c>
      <c r="B431" s="4" t="s">
        <v>249</v>
      </c>
      <c r="C431" s="4" t="s">
        <v>182</v>
      </c>
      <c r="D431" s="4" t="s">
        <v>183</v>
      </c>
      <c r="E431" s="4" t="s">
        <v>171</v>
      </c>
      <c r="F431" s="4" t="s">
        <v>1092</v>
      </c>
      <c r="G431" s="4" t="s">
        <v>1093</v>
      </c>
    </row>
    <row r="432" customFormat="false" ht="35.05" hidden="false" customHeight="false" outlineLevel="0" collapsed="false">
      <c r="A432" s="4" t="s">
        <v>1072</v>
      </c>
      <c r="B432" s="4" t="s">
        <v>249</v>
      </c>
      <c r="C432" s="4" t="s">
        <v>184</v>
      </c>
      <c r="D432" s="4" t="s">
        <v>185</v>
      </c>
      <c r="E432" s="4" t="s">
        <v>20</v>
      </c>
      <c r="F432" s="4" t="s">
        <v>1094</v>
      </c>
      <c r="G432" s="4" t="s">
        <v>1095</v>
      </c>
    </row>
    <row r="433" customFormat="false" ht="23.85" hidden="false" customHeight="false" outlineLevel="0" collapsed="false">
      <c r="A433" s="4" t="s">
        <v>1072</v>
      </c>
      <c r="B433" s="4" t="s">
        <v>249</v>
      </c>
      <c r="C433" s="4" t="s">
        <v>186</v>
      </c>
      <c r="D433" s="4" t="s">
        <v>1096</v>
      </c>
      <c r="E433" s="4" t="s">
        <v>19</v>
      </c>
      <c r="F433" s="4" t="s">
        <v>1097</v>
      </c>
      <c r="G433" s="4" t="s">
        <v>1098</v>
      </c>
    </row>
    <row r="434" customFormat="false" ht="23.85" hidden="false" customHeight="false" outlineLevel="0" collapsed="false">
      <c r="A434" s="4" t="s">
        <v>1072</v>
      </c>
      <c r="B434" s="4" t="s">
        <v>249</v>
      </c>
      <c r="C434" s="4" t="s">
        <v>188</v>
      </c>
      <c r="D434" s="4" t="s">
        <v>189</v>
      </c>
      <c r="E434" s="4" t="s">
        <v>19</v>
      </c>
      <c r="F434" s="4" t="s">
        <v>1099</v>
      </c>
      <c r="G434" s="4" t="s">
        <v>1100</v>
      </c>
    </row>
    <row r="435" customFormat="false" ht="23.85" hidden="false" customHeight="false" outlineLevel="0" collapsed="false">
      <c r="A435" s="4" t="s">
        <v>1072</v>
      </c>
      <c r="B435" s="4" t="s">
        <v>249</v>
      </c>
      <c r="C435" s="4" t="s">
        <v>190</v>
      </c>
      <c r="D435" s="4" t="s">
        <v>676</v>
      </c>
      <c r="E435" s="4" t="s">
        <v>19</v>
      </c>
      <c r="F435" s="4" t="s">
        <v>1101</v>
      </c>
      <c r="G435" s="4" t="s">
        <v>1102</v>
      </c>
    </row>
    <row r="436" customFormat="false" ht="35.05" hidden="false" customHeight="false" outlineLevel="0" collapsed="false">
      <c r="A436" s="4" t="s">
        <v>1072</v>
      </c>
      <c r="B436" s="4" t="s">
        <v>249</v>
      </c>
      <c r="C436" s="4" t="s">
        <v>192</v>
      </c>
      <c r="D436" s="4" t="s">
        <v>193</v>
      </c>
      <c r="E436" s="4" t="s">
        <v>171</v>
      </c>
      <c r="F436" s="4" t="s">
        <v>1103</v>
      </c>
      <c r="G436" s="4" t="s">
        <v>277</v>
      </c>
    </row>
    <row r="437" customFormat="false" ht="23.85" hidden="false" customHeight="false" outlineLevel="0" collapsed="false">
      <c r="A437" s="4" t="s">
        <v>1072</v>
      </c>
      <c r="B437" s="4" t="s">
        <v>249</v>
      </c>
      <c r="C437" s="4" t="s">
        <v>194</v>
      </c>
      <c r="D437" s="4" t="s">
        <v>195</v>
      </c>
      <c r="E437" s="4" t="s">
        <v>19</v>
      </c>
      <c r="F437" s="4" t="s">
        <v>1104</v>
      </c>
      <c r="G437" s="4" t="s">
        <v>1105</v>
      </c>
    </row>
    <row r="438" customFormat="false" ht="23.85" hidden="false" customHeight="false" outlineLevel="0" collapsed="false">
      <c r="A438" s="4" t="s">
        <v>1072</v>
      </c>
      <c r="B438" s="4" t="s">
        <v>249</v>
      </c>
      <c r="C438" s="4" t="s">
        <v>196</v>
      </c>
      <c r="D438" s="4" t="s">
        <v>197</v>
      </c>
      <c r="E438" s="4" t="s">
        <v>19</v>
      </c>
      <c r="F438" s="4" t="s">
        <v>1106</v>
      </c>
      <c r="G438" s="4" t="s">
        <v>1107</v>
      </c>
    </row>
    <row r="439" customFormat="false" ht="35.05" hidden="false" customHeight="false" outlineLevel="0" collapsed="false">
      <c r="A439" s="4" t="s">
        <v>1072</v>
      </c>
      <c r="B439" s="4" t="s">
        <v>249</v>
      </c>
      <c r="C439" s="4" t="s">
        <v>198</v>
      </c>
      <c r="D439" s="4" t="s">
        <v>199</v>
      </c>
      <c r="E439" s="4" t="s">
        <v>19</v>
      </c>
      <c r="F439" s="4" t="s">
        <v>1108</v>
      </c>
      <c r="G439" s="4" t="s">
        <v>1109</v>
      </c>
    </row>
    <row r="440" customFormat="false" ht="23.85" hidden="false" customHeight="false" outlineLevel="0" collapsed="false">
      <c r="A440" s="4" t="s">
        <v>1072</v>
      </c>
      <c r="B440" s="4" t="s">
        <v>249</v>
      </c>
      <c r="C440" s="4" t="s">
        <v>200</v>
      </c>
      <c r="D440" s="4" t="s">
        <v>201</v>
      </c>
      <c r="E440" s="4" t="s">
        <v>20</v>
      </c>
      <c r="F440" s="4" t="s">
        <v>1110</v>
      </c>
      <c r="G440" s="4" t="s">
        <v>1111</v>
      </c>
    </row>
    <row r="441" customFormat="false" ht="23.85" hidden="false" customHeight="false" outlineLevel="0" collapsed="false">
      <c r="A441" s="4" t="s">
        <v>1072</v>
      </c>
      <c r="B441" s="4" t="s">
        <v>249</v>
      </c>
      <c r="C441" s="4" t="s">
        <v>202</v>
      </c>
      <c r="D441" s="4" t="s">
        <v>203</v>
      </c>
      <c r="E441" s="4" t="s">
        <v>19</v>
      </c>
      <c r="F441" s="4" t="s">
        <v>1112</v>
      </c>
      <c r="G441" s="4" t="s">
        <v>1113</v>
      </c>
    </row>
    <row r="442" customFormat="false" ht="35.05" hidden="false" customHeight="false" outlineLevel="0" collapsed="false">
      <c r="A442" s="4" t="s">
        <v>1072</v>
      </c>
      <c r="B442" s="4" t="s">
        <v>249</v>
      </c>
      <c r="C442" s="4" t="s">
        <v>204</v>
      </c>
      <c r="D442" s="4" t="s">
        <v>205</v>
      </c>
      <c r="E442" s="4" t="s">
        <v>20</v>
      </c>
      <c r="F442" s="4" t="s">
        <v>1114</v>
      </c>
      <c r="G442" s="4" t="s">
        <v>1115</v>
      </c>
    </row>
    <row r="443" customFormat="false" ht="23.85" hidden="false" customHeight="false" outlineLevel="0" collapsed="false">
      <c r="A443" s="4" t="s">
        <v>1072</v>
      </c>
      <c r="B443" s="4" t="s">
        <v>249</v>
      </c>
      <c r="C443" s="4" t="s">
        <v>206</v>
      </c>
      <c r="D443" s="4" t="s">
        <v>1116</v>
      </c>
      <c r="E443" s="4" t="s">
        <v>171</v>
      </c>
      <c r="F443" s="4" t="s">
        <v>1117</v>
      </c>
      <c r="G443" s="4" t="s">
        <v>1118</v>
      </c>
    </row>
    <row r="444" customFormat="false" ht="15" hidden="false" customHeight="false" outlineLevel="0" collapsed="false">
      <c r="A444" s="4" t="s">
        <v>1072</v>
      </c>
      <c r="B444" s="4" t="s">
        <v>292</v>
      </c>
      <c r="C444" s="4" t="s">
        <v>208</v>
      </c>
      <c r="D444" s="4" t="s">
        <v>209</v>
      </c>
      <c r="E444" s="4" t="s">
        <v>171</v>
      </c>
      <c r="F444" s="4" t="s">
        <v>1119</v>
      </c>
      <c r="G444" s="4" t="s">
        <v>277</v>
      </c>
    </row>
    <row r="445" customFormat="false" ht="15" hidden="false" customHeight="false" outlineLevel="0" collapsed="false">
      <c r="A445" s="4" t="s">
        <v>1072</v>
      </c>
      <c r="B445" s="4" t="s">
        <v>292</v>
      </c>
      <c r="C445" s="4" t="s">
        <v>210</v>
      </c>
      <c r="D445" s="4" t="s">
        <v>211</v>
      </c>
      <c r="E445" s="4" t="s">
        <v>171</v>
      </c>
      <c r="F445" s="4" t="s">
        <v>1120</v>
      </c>
      <c r="G445" s="4" t="s">
        <v>277</v>
      </c>
    </row>
    <row r="446" customFormat="false" ht="15" hidden="false" customHeight="false" outlineLevel="0" collapsed="false">
      <c r="A446" s="4" t="s">
        <v>1072</v>
      </c>
      <c r="B446" s="4" t="s">
        <v>292</v>
      </c>
      <c r="C446" s="4" t="s">
        <v>212</v>
      </c>
      <c r="D446" s="4" t="s">
        <v>213</v>
      </c>
      <c r="E446" s="4" t="s">
        <v>19</v>
      </c>
      <c r="F446" s="4" t="s">
        <v>1121</v>
      </c>
      <c r="G446" s="4" t="s">
        <v>1122</v>
      </c>
    </row>
    <row r="447" customFormat="false" ht="15" hidden="false" customHeight="false" outlineLevel="0" collapsed="false">
      <c r="A447" s="4" t="s">
        <v>1072</v>
      </c>
      <c r="B447" s="4" t="s">
        <v>292</v>
      </c>
      <c r="C447" s="4" t="s">
        <v>214</v>
      </c>
      <c r="D447" s="4" t="s">
        <v>215</v>
      </c>
      <c r="E447" s="4" t="s">
        <v>171</v>
      </c>
      <c r="F447" s="4" t="s">
        <v>1123</v>
      </c>
      <c r="G447" s="4" t="s">
        <v>1124</v>
      </c>
    </row>
    <row r="448" customFormat="false" ht="15" hidden="false" customHeight="false" outlineLevel="0" collapsed="false">
      <c r="A448" s="4" t="s">
        <v>1072</v>
      </c>
      <c r="B448" s="4" t="s">
        <v>292</v>
      </c>
      <c r="C448" s="4" t="s">
        <v>216</v>
      </c>
      <c r="D448" s="4" t="s">
        <v>217</v>
      </c>
      <c r="E448" s="4" t="s">
        <v>19</v>
      </c>
      <c r="F448" s="4" t="s">
        <v>1125</v>
      </c>
      <c r="G448" s="4" t="s">
        <v>1126</v>
      </c>
    </row>
    <row r="449" customFormat="false" ht="15" hidden="false" customHeight="false" outlineLevel="0" collapsed="false">
      <c r="A449" s="4" t="s">
        <v>1072</v>
      </c>
      <c r="B449" s="4" t="s">
        <v>292</v>
      </c>
      <c r="C449" s="4" t="s">
        <v>218</v>
      </c>
      <c r="D449" s="4" t="s">
        <v>219</v>
      </c>
      <c r="E449" s="4" t="s">
        <v>171</v>
      </c>
      <c r="F449" s="4" t="s">
        <v>1127</v>
      </c>
      <c r="G449" s="4" t="s">
        <v>277</v>
      </c>
    </row>
    <row r="450" customFormat="false" ht="15" hidden="false" customHeight="false" outlineLevel="0" collapsed="false">
      <c r="A450" s="4" t="s">
        <v>1072</v>
      </c>
      <c r="B450" s="4" t="s">
        <v>292</v>
      </c>
      <c r="C450" s="4" t="s">
        <v>220</v>
      </c>
      <c r="D450" s="4" t="s">
        <v>221</v>
      </c>
      <c r="E450" s="4" t="s">
        <v>20</v>
      </c>
      <c r="F450" s="4" t="s">
        <v>1128</v>
      </c>
      <c r="G450" s="4" t="s">
        <v>1129</v>
      </c>
    </row>
    <row r="451" customFormat="false" ht="23.85" hidden="false" customHeight="false" outlineLevel="0" collapsed="false">
      <c r="A451" s="4" t="s">
        <v>1072</v>
      </c>
      <c r="B451" s="4" t="s">
        <v>292</v>
      </c>
      <c r="C451" s="4" t="s">
        <v>222</v>
      </c>
      <c r="D451" s="4" t="s">
        <v>223</v>
      </c>
      <c r="E451" s="4" t="s">
        <v>19</v>
      </c>
      <c r="F451" s="4" t="s">
        <v>1130</v>
      </c>
      <c r="G451" s="4" t="s">
        <v>1131</v>
      </c>
    </row>
    <row r="452" customFormat="false" ht="15" hidden="false" customHeight="false" outlineLevel="0" collapsed="false">
      <c r="A452" s="4" t="s">
        <v>1072</v>
      </c>
      <c r="B452" s="4" t="s">
        <v>292</v>
      </c>
      <c r="C452" s="4" t="s">
        <v>224</v>
      </c>
      <c r="D452" s="4" t="s">
        <v>225</v>
      </c>
      <c r="E452" s="4" t="s">
        <v>19</v>
      </c>
      <c r="F452" s="4" t="s">
        <v>1132</v>
      </c>
      <c r="G452" s="4" t="s">
        <v>1133</v>
      </c>
    </row>
    <row r="453" customFormat="false" ht="23.85" hidden="false" customHeight="false" outlineLevel="0" collapsed="false">
      <c r="A453" s="4" t="s">
        <v>1072</v>
      </c>
      <c r="B453" s="4" t="s">
        <v>292</v>
      </c>
      <c r="C453" s="4" t="s">
        <v>226</v>
      </c>
      <c r="D453" s="4" t="s">
        <v>227</v>
      </c>
      <c r="E453" s="4" t="s">
        <v>19</v>
      </c>
      <c r="F453" s="4" t="s">
        <v>1134</v>
      </c>
      <c r="G453" s="4" t="s">
        <v>1135</v>
      </c>
    </row>
    <row r="454" customFormat="false" ht="15" hidden="false" customHeight="false" outlineLevel="0" collapsed="false">
      <c r="A454" s="4" t="s">
        <v>1072</v>
      </c>
      <c r="B454" s="4" t="s">
        <v>292</v>
      </c>
      <c r="C454" s="4" t="s">
        <v>228</v>
      </c>
      <c r="D454" s="4" t="s">
        <v>229</v>
      </c>
      <c r="E454" s="4" t="s">
        <v>171</v>
      </c>
      <c r="F454" s="4" t="s">
        <v>1136</v>
      </c>
      <c r="G454" s="4" t="s">
        <v>277</v>
      </c>
    </row>
    <row r="455" customFormat="false" ht="35.05" hidden="false" customHeight="false" outlineLevel="0" collapsed="false">
      <c r="A455" s="4" t="s">
        <v>1072</v>
      </c>
      <c r="B455" s="4" t="s">
        <v>313</v>
      </c>
      <c r="C455" s="4" t="s">
        <v>230</v>
      </c>
      <c r="D455" s="4" t="s">
        <v>1137</v>
      </c>
      <c r="E455" s="4" t="s">
        <v>19</v>
      </c>
      <c r="F455" s="4" t="s">
        <v>1138</v>
      </c>
      <c r="G455" s="4" t="s">
        <v>1139</v>
      </c>
    </row>
    <row r="456" customFormat="false" ht="23.85" hidden="false" customHeight="false" outlineLevel="0" collapsed="false">
      <c r="A456" s="4" t="s">
        <v>1072</v>
      </c>
      <c r="B456" s="4" t="s">
        <v>313</v>
      </c>
      <c r="C456" s="4" t="s">
        <v>232</v>
      </c>
      <c r="D456" s="4" t="s">
        <v>1140</v>
      </c>
      <c r="E456" s="4" t="s">
        <v>171</v>
      </c>
      <c r="F456" s="4" t="s">
        <v>1141</v>
      </c>
      <c r="G456" s="4" t="s">
        <v>1142</v>
      </c>
    </row>
    <row r="457" customFormat="false" ht="23.85" hidden="false" customHeight="false" outlineLevel="0" collapsed="false">
      <c r="A457" s="4" t="s">
        <v>1072</v>
      </c>
      <c r="B457" s="4" t="s">
        <v>313</v>
      </c>
      <c r="C457" s="4" t="s">
        <v>234</v>
      </c>
      <c r="D457" s="4" t="s">
        <v>1143</v>
      </c>
      <c r="E457" s="4" t="s">
        <v>19</v>
      </c>
      <c r="F457" s="4" t="s">
        <v>1144</v>
      </c>
      <c r="G457" s="4" t="s">
        <v>1145</v>
      </c>
    </row>
    <row r="458" customFormat="false" ht="23.85" hidden="false" customHeight="false" outlineLevel="0" collapsed="false">
      <c r="A458" s="4" t="s">
        <v>1072</v>
      </c>
      <c r="B458" s="4" t="s">
        <v>313</v>
      </c>
      <c r="C458" s="4" t="s">
        <v>236</v>
      </c>
      <c r="D458" s="4" t="s">
        <v>1146</v>
      </c>
      <c r="E458" s="4" t="s">
        <v>19</v>
      </c>
      <c r="F458" s="4" t="s">
        <v>1147</v>
      </c>
      <c r="G458" s="4" t="s">
        <v>1148</v>
      </c>
    </row>
    <row r="459" customFormat="false" ht="46.25" hidden="false" customHeight="false" outlineLevel="0" collapsed="false">
      <c r="A459" s="4" t="s">
        <v>1072</v>
      </c>
      <c r="B459" s="4" t="s">
        <v>313</v>
      </c>
      <c r="C459" s="4" t="s">
        <v>238</v>
      </c>
      <c r="D459" s="4" t="s">
        <v>1149</v>
      </c>
      <c r="E459" s="4" t="s">
        <v>19</v>
      </c>
      <c r="F459" s="4" t="s">
        <v>1150</v>
      </c>
      <c r="G459" s="4" t="s">
        <v>1151</v>
      </c>
    </row>
    <row r="460" customFormat="false" ht="46.25" hidden="false" customHeight="false" outlineLevel="0" collapsed="false">
      <c r="A460" s="4" t="s">
        <v>1072</v>
      </c>
      <c r="B460" s="4" t="s">
        <v>329</v>
      </c>
      <c r="C460" s="4"/>
      <c r="D460" s="4" t="s">
        <v>1152</v>
      </c>
      <c r="E460" s="4" t="s">
        <v>333</v>
      </c>
      <c r="F460" s="4" t="s">
        <v>1153</v>
      </c>
      <c r="G460" s="4"/>
    </row>
    <row r="461" customFormat="false" ht="79.85" hidden="false" customHeight="false" outlineLevel="0" collapsed="false">
      <c r="A461" s="4" t="s">
        <v>1072</v>
      </c>
      <c r="B461" s="4" t="s">
        <v>329</v>
      </c>
      <c r="C461" s="4"/>
      <c r="D461" s="4" t="s">
        <v>1154</v>
      </c>
      <c r="E461" s="4" t="s">
        <v>333</v>
      </c>
      <c r="F461" s="4" t="s">
        <v>1155</v>
      </c>
      <c r="G461" s="4"/>
    </row>
    <row r="462" customFormat="false" ht="35.05" hidden="false" customHeight="false" outlineLevel="0" collapsed="false">
      <c r="A462" s="4" t="s">
        <v>1072</v>
      </c>
      <c r="B462" s="4" t="s">
        <v>329</v>
      </c>
      <c r="C462" s="4"/>
      <c r="D462" s="4" t="s">
        <v>1156</v>
      </c>
      <c r="E462" s="4" t="s">
        <v>333</v>
      </c>
      <c r="F462" s="4" t="s">
        <v>1157</v>
      </c>
      <c r="G462" s="4"/>
    </row>
    <row r="463" customFormat="false" ht="35.05" hidden="false" customHeight="false" outlineLevel="0" collapsed="false">
      <c r="A463" s="4" t="s">
        <v>1072</v>
      </c>
      <c r="B463" s="4" t="s">
        <v>329</v>
      </c>
      <c r="C463" s="4"/>
      <c r="D463" s="4" t="s">
        <v>1158</v>
      </c>
      <c r="E463" s="4" t="s">
        <v>333</v>
      </c>
      <c r="F463" s="4" t="s">
        <v>1159</v>
      </c>
      <c r="G463" s="4"/>
    </row>
    <row r="464" customFormat="false" ht="46.25" hidden="false" customHeight="false" outlineLevel="0" collapsed="false">
      <c r="A464" s="4" t="s">
        <v>1072</v>
      </c>
      <c r="B464" s="4" t="s">
        <v>329</v>
      </c>
      <c r="C464" s="4"/>
      <c r="D464" s="4" t="s">
        <v>547</v>
      </c>
      <c r="E464" s="4" t="s">
        <v>333</v>
      </c>
      <c r="F464" s="4" t="s">
        <v>1160</v>
      </c>
      <c r="G464" s="4"/>
    </row>
    <row r="465" customFormat="false" ht="23.85" hidden="false" customHeight="false" outlineLevel="0" collapsed="false">
      <c r="A465" s="4" t="s">
        <v>1072</v>
      </c>
      <c r="B465" s="4" t="s">
        <v>329</v>
      </c>
      <c r="C465" s="4"/>
      <c r="D465" s="4" t="s">
        <v>1161</v>
      </c>
      <c r="E465" s="4" t="s">
        <v>171</v>
      </c>
      <c r="F465" s="4" t="s">
        <v>1162</v>
      </c>
      <c r="G465" s="4"/>
    </row>
    <row r="466" customFormat="false" ht="23.85" hidden="false" customHeight="false" outlineLevel="0" collapsed="false">
      <c r="A466" s="4" t="s">
        <v>1072</v>
      </c>
      <c r="B466" s="4" t="s">
        <v>329</v>
      </c>
      <c r="C466" s="4"/>
      <c r="D466" s="4" t="s">
        <v>751</v>
      </c>
      <c r="E466" s="4" t="s">
        <v>171</v>
      </c>
      <c r="F466" s="4" t="s">
        <v>1163</v>
      </c>
      <c r="G466" s="4"/>
    </row>
    <row r="467" customFormat="false" ht="23.85" hidden="false" customHeight="false" outlineLevel="0" collapsed="false">
      <c r="A467" s="4" t="s">
        <v>1072</v>
      </c>
      <c r="B467" s="4" t="s">
        <v>329</v>
      </c>
      <c r="C467" s="4"/>
      <c r="D467" s="4" t="s">
        <v>753</v>
      </c>
      <c r="E467" s="4" t="s">
        <v>171</v>
      </c>
      <c r="F467" s="4" t="s">
        <v>1164</v>
      </c>
      <c r="G467" s="4"/>
    </row>
    <row r="468" customFormat="false" ht="23.85" hidden="false" customHeight="false" outlineLevel="0" collapsed="false">
      <c r="A468" s="4" t="s">
        <v>1072</v>
      </c>
      <c r="B468" s="4" t="s">
        <v>329</v>
      </c>
      <c r="C468" s="4"/>
      <c r="D468" s="4" t="s">
        <v>347</v>
      </c>
      <c r="E468" s="4" t="s">
        <v>171</v>
      </c>
      <c r="F468" s="4" t="s">
        <v>1165</v>
      </c>
      <c r="G468" s="4"/>
    </row>
    <row r="469" customFormat="false" ht="35.05" hidden="false" customHeight="false" outlineLevel="0" collapsed="false">
      <c r="A469" s="4" t="s">
        <v>1072</v>
      </c>
      <c r="B469" s="4" t="s">
        <v>329</v>
      </c>
      <c r="C469" s="4"/>
      <c r="D469" s="4" t="s">
        <v>1166</v>
      </c>
      <c r="E469" s="4" t="s">
        <v>333</v>
      </c>
      <c r="F469" s="4" t="s">
        <v>1167</v>
      </c>
      <c r="G469" s="4"/>
    </row>
    <row r="470" customFormat="false" ht="23.85" hidden="false" customHeight="false" outlineLevel="0" collapsed="false">
      <c r="A470" s="4" t="s">
        <v>1072</v>
      </c>
      <c r="B470" s="4" t="s">
        <v>329</v>
      </c>
      <c r="C470" s="4"/>
      <c r="D470" s="4" t="s">
        <v>634</v>
      </c>
      <c r="E470" s="4" t="s">
        <v>171</v>
      </c>
      <c r="F470" s="4" t="s">
        <v>1168</v>
      </c>
      <c r="G470" s="4"/>
    </row>
    <row r="471" customFormat="false" ht="23.85" hidden="false" customHeight="false" outlineLevel="0" collapsed="false">
      <c r="A471" s="4" t="s">
        <v>1072</v>
      </c>
      <c r="B471" s="4" t="s">
        <v>329</v>
      </c>
      <c r="C471" s="4"/>
      <c r="D471" s="4" t="s">
        <v>343</v>
      </c>
      <c r="E471" s="4" t="s">
        <v>171</v>
      </c>
      <c r="F471" s="4" t="s">
        <v>1169</v>
      </c>
      <c r="G471" s="4"/>
    </row>
    <row r="472" customFormat="false" ht="23.85" hidden="false" customHeight="false" outlineLevel="0" collapsed="false">
      <c r="A472" s="4" t="s">
        <v>1072</v>
      </c>
      <c r="B472" s="4" t="s">
        <v>329</v>
      </c>
      <c r="C472" s="4"/>
      <c r="D472" s="4" t="s">
        <v>1170</v>
      </c>
      <c r="E472" s="4" t="s">
        <v>333</v>
      </c>
      <c r="F472" s="4" t="s">
        <v>1171</v>
      </c>
      <c r="G472" s="4"/>
    </row>
    <row r="473" customFormat="false" ht="35.05" hidden="false" customHeight="false" outlineLevel="0" collapsed="false">
      <c r="A473" s="4" t="s">
        <v>1172</v>
      </c>
      <c r="B473" s="4" t="s">
        <v>249</v>
      </c>
      <c r="C473" s="4" t="s">
        <v>165</v>
      </c>
      <c r="D473" s="4" t="s">
        <v>1173</v>
      </c>
      <c r="E473" s="4" t="s">
        <v>19</v>
      </c>
      <c r="F473" s="4" t="s">
        <v>1174</v>
      </c>
      <c r="G473" s="4" t="s">
        <v>1175</v>
      </c>
    </row>
    <row r="474" customFormat="false" ht="23.85" hidden="false" customHeight="false" outlineLevel="0" collapsed="false">
      <c r="A474" s="4" t="s">
        <v>1172</v>
      </c>
      <c r="B474" s="4" t="s">
        <v>249</v>
      </c>
      <c r="C474" s="4" t="s">
        <v>167</v>
      </c>
      <c r="D474" s="4" t="s">
        <v>1176</v>
      </c>
      <c r="E474" s="4" t="s">
        <v>19</v>
      </c>
      <c r="F474" s="4" t="s">
        <v>1177</v>
      </c>
      <c r="G474" s="4" t="s">
        <v>1178</v>
      </c>
    </row>
    <row r="475" customFormat="false" ht="23.85" hidden="false" customHeight="false" outlineLevel="0" collapsed="false">
      <c r="A475" s="4" t="s">
        <v>1172</v>
      </c>
      <c r="B475" s="4" t="s">
        <v>249</v>
      </c>
      <c r="C475" s="4" t="s">
        <v>169</v>
      </c>
      <c r="D475" s="4" t="s">
        <v>170</v>
      </c>
      <c r="E475" s="4" t="s">
        <v>171</v>
      </c>
      <c r="F475" s="4" t="s">
        <v>1179</v>
      </c>
      <c r="G475" s="4" t="s">
        <v>277</v>
      </c>
    </row>
    <row r="476" customFormat="false" ht="23.85" hidden="false" customHeight="false" outlineLevel="0" collapsed="false">
      <c r="A476" s="4" t="s">
        <v>1172</v>
      </c>
      <c r="B476" s="4" t="s">
        <v>249</v>
      </c>
      <c r="C476" s="4" t="s">
        <v>172</v>
      </c>
      <c r="D476" s="4" t="s">
        <v>365</v>
      </c>
      <c r="E476" s="4" t="s">
        <v>171</v>
      </c>
      <c r="F476" s="4" t="s">
        <v>1180</v>
      </c>
      <c r="G476" s="4" t="s">
        <v>1181</v>
      </c>
    </row>
    <row r="477" customFormat="false" ht="23.85" hidden="false" customHeight="false" outlineLevel="0" collapsed="false">
      <c r="A477" s="4" t="s">
        <v>1172</v>
      </c>
      <c r="B477" s="4" t="s">
        <v>249</v>
      </c>
      <c r="C477" s="4" t="s">
        <v>174</v>
      </c>
      <c r="D477" s="4" t="s">
        <v>368</v>
      </c>
      <c r="E477" s="4" t="s">
        <v>19</v>
      </c>
      <c r="F477" s="4" t="s">
        <v>1182</v>
      </c>
      <c r="G477" s="4" t="s">
        <v>1183</v>
      </c>
    </row>
    <row r="478" customFormat="false" ht="35.05" hidden="false" customHeight="false" outlineLevel="0" collapsed="false">
      <c r="A478" s="4" t="s">
        <v>1172</v>
      </c>
      <c r="B478" s="4" t="s">
        <v>249</v>
      </c>
      <c r="C478" s="4" t="s">
        <v>176</v>
      </c>
      <c r="D478" s="4" t="s">
        <v>371</v>
      </c>
      <c r="E478" s="4" t="s">
        <v>19</v>
      </c>
      <c r="F478" s="4" t="s">
        <v>1184</v>
      </c>
      <c r="G478" s="4" t="s">
        <v>1185</v>
      </c>
    </row>
    <row r="479" customFormat="false" ht="23.85" hidden="false" customHeight="false" outlineLevel="0" collapsed="false">
      <c r="A479" s="4" t="s">
        <v>1172</v>
      </c>
      <c r="B479" s="4" t="s">
        <v>249</v>
      </c>
      <c r="C479" s="4" t="s">
        <v>178</v>
      </c>
      <c r="D479" s="4" t="s">
        <v>1186</v>
      </c>
      <c r="E479" s="4" t="s">
        <v>171</v>
      </c>
      <c r="F479" s="4" t="s">
        <v>1187</v>
      </c>
      <c r="G479" s="4" t="s">
        <v>1188</v>
      </c>
    </row>
    <row r="480" customFormat="false" ht="46.25" hidden="false" customHeight="false" outlineLevel="0" collapsed="false">
      <c r="A480" s="4" t="s">
        <v>1172</v>
      </c>
      <c r="B480" s="4" t="s">
        <v>249</v>
      </c>
      <c r="C480" s="4" t="s">
        <v>180</v>
      </c>
      <c r="D480" s="4" t="s">
        <v>1189</v>
      </c>
      <c r="E480" s="4" t="s">
        <v>19</v>
      </c>
      <c r="F480" s="4" t="s">
        <v>1190</v>
      </c>
      <c r="G480" s="4" t="s">
        <v>1191</v>
      </c>
    </row>
    <row r="481" customFormat="false" ht="23.85" hidden="false" customHeight="false" outlineLevel="0" collapsed="false">
      <c r="A481" s="4" t="s">
        <v>1172</v>
      </c>
      <c r="B481" s="4" t="s">
        <v>249</v>
      </c>
      <c r="C481" s="4" t="s">
        <v>182</v>
      </c>
      <c r="D481" s="4" t="s">
        <v>183</v>
      </c>
      <c r="E481" s="4" t="s">
        <v>171</v>
      </c>
      <c r="F481" s="4" t="s">
        <v>1192</v>
      </c>
      <c r="G481" s="4" t="s">
        <v>1193</v>
      </c>
    </row>
    <row r="482" customFormat="false" ht="23.85" hidden="false" customHeight="false" outlineLevel="0" collapsed="false">
      <c r="A482" s="4" t="s">
        <v>1172</v>
      </c>
      <c r="B482" s="4" t="s">
        <v>249</v>
      </c>
      <c r="C482" s="4" t="s">
        <v>184</v>
      </c>
      <c r="D482" s="4" t="s">
        <v>185</v>
      </c>
      <c r="E482" s="4" t="s">
        <v>20</v>
      </c>
      <c r="F482" s="4" t="s">
        <v>1194</v>
      </c>
      <c r="G482" s="4" t="s">
        <v>1195</v>
      </c>
    </row>
    <row r="483" customFormat="false" ht="23.85" hidden="false" customHeight="false" outlineLevel="0" collapsed="false">
      <c r="A483" s="4" t="s">
        <v>1172</v>
      </c>
      <c r="B483" s="4" t="s">
        <v>249</v>
      </c>
      <c r="C483" s="4" t="s">
        <v>186</v>
      </c>
      <c r="D483" s="4" t="s">
        <v>1196</v>
      </c>
      <c r="E483" s="4" t="s">
        <v>19</v>
      </c>
      <c r="F483" s="4" t="s">
        <v>1197</v>
      </c>
      <c r="G483" s="4" t="s">
        <v>1198</v>
      </c>
    </row>
    <row r="484" customFormat="false" ht="23.85" hidden="false" customHeight="false" outlineLevel="0" collapsed="false">
      <c r="A484" s="4" t="s">
        <v>1172</v>
      </c>
      <c r="B484" s="4" t="s">
        <v>249</v>
      </c>
      <c r="C484" s="4" t="s">
        <v>188</v>
      </c>
      <c r="D484" s="4" t="s">
        <v>189</v>
      </c>
      <c r="E484" s="4" t="s">
        <v>171</v>
      </c>
      <c r="F484" s="4" t="s">
        <v>1199</v>
      </c>
      <c r="G484" s="4" t="s">
        <v>1200</v>
      </c>
    </row>
    <row r="485" customFormat="false" ht="23.85" hidden="false" customHeight="false" outlineLevel="0" collapsed="false">
      <c r="A485" s="4" t="s">
        <v>1172</v>
      </c>
      <c r="B485" s="4" t="s">
        <v>249</v>
      </c>
      <c r="C485" s="4" t="s">
        <v>190</v>
      </c>
      <c r="D485" s="4" t="s">
        <v>191</v>
      </c>
      <c r="E485" s="4" t="s">
        <v>19</v>
      </c>
      <c r="F485" s="4" t="s">
        <v>1201</v>
      </c>
      <c r="G485" s="4" t="s">
        <v>1202</v>
      </c>
    </row>
    <row r="486" customFormat="false" ht="35.05" hidden="false" customHeight="false" outlineLevel="0" collapsed="false">
      <c r="A486" s="4" t="s">
        <v>1172</v>
      </c>
      <c r="B486" s="4" t="s">
        <v>249</v>
      </c>
      <c r="C486" s="4" t="s">
        <v>192</v>
      </c>
      <c r="D486" s="4" t="s">
        <v>193</v>
      </c>
      <c r="E486" s="4" t="s">
        <v>171</v>
      </c>
      <c r="F486" s="4" t="s">
        <v>1203</v>
      </c>
      <c r="G486" s="4" t="s">
        <v>277</v>
      </c>
    </row>
    <row r="487" customFormat="false" ht="23.85" hidden="false" customHeight="false" outlineLevel="0" collapsed="false">
      <c r="A487" s="4" t="s">
        <v>1172</v>
      </c>
      <c r="B487" s="4" t="s">
        <v>249</v>
      </c>
      <c r="C487" s="4" t="s">
        <v>194</v>
      </c>
      <c r="D487" s="4" t="s">
        <v>195</v>
      </c>
      <c r="E487" s="4" t="s">
        <v>19</v>
      </c>
      <c r="F487" s="4" t="s">
        <v>1204</v>
      </c>
      <c r="G487" s="4" t="s">
        <v>1205</v>
      </c>
    </row>
    <row r="488" customFormat="false" ht="23.85" hidden="false" customHeight="false" outlineLevel="0" collapsed="false">
      <c r="A488" s="4" t="s">
        <v>1172</v>
      </c>
      <c r="B488" s="4" t="s">
        <v>249</v>
      </c>
      <c r="C488" s="4" t="s">
        <v>196</v>
      </c>
      <c r="D488" s="4" t="s">
        <v>197</v>
      </c>
      <c r="E488" s="4" t="s">
        <v>19</v>
      </c>
      <c r="F488" s="4" t="s">
        <v>1206</v>
      </c>
      <c r="G488" s="4" t="s">
        <v>1207</v>
      </c>
    </row>
    <row r="489" customFormat="false" ht="35.05" hidden="false" customHeight="false" outlineLevel="0" collapsed="false">
      <c r="A489" s="4" t="s">
        <v>1172</v>
      </c>
      <c r="B489" s="4" t="s">
        <v>249</v>
      </c>
      <c r="C489" s="4" t="s">
        <v>198</v>
      </c>
      <c r="D489" s="4" t="s">
        <v>199</v>
      </c>
      <c r="E489" s="4" t="s">
        <v>19</v>
      </c>
      <c r="F489" s="4" t="s">
        <v>1208</v>
      </c>
      <c r="G489" s="4" t="s">
        <v>1209</v>
      </c>
    </row>
    <row r="490" customFormat="false" ht="23.85" hidden="false" customHeight="false" outlineLevel="0" collapsed="false">
      <c r="A490" s="4" t="s">
        <v>1172</v>
      </c>
      <c r="B490" s="4" t="s">
        <v>249</v>
      </c>
      <c r="C490" s="4" t="s">
        <v>200</v>
      </c>
      <c r="D490" s="4" t="s">
        <v>1210</v>
      </c>
      <c r="E490" s="4" t="s">
        <v>20</v>
      </c>
      <c r="F490" s="4" t="s">
        <v>1211</v>
      </c>
      <c r="G490" s="4" t="s">
        <v>1212</v>
      </c>
    </row>
    <row r="491" customFormat="false" ht="23.85" hidden="false" customHeight="false" outlineLevel="0" collapsed="false">
      <c r="A491" s="4" t="s">
        <v>1172</v>
      </c>
      <c r="B491" s="4" t="s">
        <v>249</v>
      </c>
      <c r="C491" s="4" t="s">
        <v>202</v>
      </c>
      <c r="D491" s="4" t="s">
        <v>203</v>
      </c>
      <c r="E491" s="4" t="s">
        <v>19</v>
      </c>
      <c r="F491" s="4" t="s">
        <v>1213</v>
      </c>
      <c r="G491" s="4" t="s">
        <v>1214</v>
      </c>
    </row>
    <row r="492" customFormat="false" ht="23.85" hidden="false" customHeight="false" outlineLevel="0" collapsed="false">
      <c r="A492" s="4" t="s">
        <v>1172</v>
      </c>
      <c r="B492" s="4" t="s">
        <v>249</v>
      </c>
      <c r="C492" s="4" t="s">
        <v>204</v>
      </c>
      <c r="D492" s="4" t="s">
        <v>205</v>
      </c>
      <c r="E492" s="4" t="s">
        <v>20</v>
      </c>
      <c r="F492" s="4" t="s">
        <v>1215</v>
      </c>
      <c r="G492" s="4" t="s">
        <v>1216</v>
      </c>
    </row>
    <row r="493" customFormat="false" ht="23.85" hidden="false" customHeight="false" outlineLevel="0" collapsed="false">
      <c r="A493" s="4" t="s">
        <v>1172</v>
      </c>
      <c r="B493" s="4" t="s">
        <v>249</v>
      </c>
      <c r="C493" s="4" t="s">
        <v>206</v>
      </c>
      <c r="D493" s="4" t="s">
        <v>1217</v>
      </c>
      <c r="E493" s="4" t="s">
        <v>171</v>
      </c>
      <c r="F493" s="4" t="s">
        <v>1218</v>
      </c>
      <c r="G493" s="4" t="s">
        <v>1219</v>
      </c>
    </row>
    <row r="494" customFormat="false" ht="23.85" hidden="false" customHeight="false" outlineLevel="0" collapsed="false">
      <c r="A494" s="4" t="s">
        <v>1172</v>
      </c>
      <c r="B494" s="4" t="s">
        <v>292</v>
      </c>
      <c r="C494" s="4" t="s">
        <v>208</v>
      </c>
      <c r="D494" s="4" t="s">
        <v>209</v>
      </c>
      <c r="E494" s="4" t="s">
        <v>171</v>
      </c>
      <c r="F494" s="4" t="s">
        <v>1220</v>
      </c>
      <c r="G494" s="4" t="s">
        <v>277</v>
      </c>
    </row>
    <row r="495" customFormat="false" ht="23.85" hidden="false" customHeight="false" outlineLevel="0" collapsed="false">
      <c r="A495" s="4" t="s">
        <v>1172</v>
      </c>
      <c r="B495" s="4" t="s">
        <v>292</v>
      </c>
      <c r="C495" s="4" t="s">
        <v>210</v>
      </c>
      <c r="D495" s="4" t="s">
        <v>211</v>
      </c>
      <c r="E495" s="4" t="s">
        <v>171</v>
      </c>
      <c r="F495" s="4" t="s">
        <v>1221</v>
      </c>
      <c r="G495" s="4" t="s">
        <v>277</v>
      </c>
    </row>
    <row r="496" customFormat="false" ht="23.85" hidden="false" customHeight="false" outlineLevel="0" collapsed="false">
      <c r="A496" s="4" t="s">
        <v>1172</v>
      </c>
      <c r="B496" s="4" t="s">
        <v>292</v>
      </c>
      <c r="C496" s="4" t="s">
        <v>212</v>
      </c>
      <c r="D496" s="4" t="s">
        <v>213</v>
      </c>
      <c r="E496" s="4" t="s">
        <v>171</v>
      </c>
      <c r="F496" s="4" t="s">
        <v>1222</v>
      </c>
      <c r="G496" s="4" t="s">
        <v>1223</v>
      </c>
    </row>
    <row r="497" customFormat="false" ht="23.85" hidden="false" customHeight="false" outlineLevel="0" collapsed="false">
      <c r="A497" s="4" t="s">
        <v>1172</v>
      </c>
      <c r="B497" s="4" t="s">
        <v>292</v>
      </c>
      <c r="C497" s="4" t="s">
        <v>214</v>
      </c>
      <c r="D497" s="4" t="s">
        <v>215</v>
      </c>
      <c r="E497" s="4" t="s">
        <v>19</v>
      </c>
      <c r="F497" s="4" t="s">
        <v>1224</v>
      </c>
      <c r="G497" s="4" t="s">
        <v>1225</v>
      </c>
    </row>
    <row r="498" customFormat="false" ht="23.85" hidden="false" customHeight="false" outlineLevel="0" collapsed="false">
      <c r="A498" s="4" t="s">
        <v>1172</v>
      </c>
      <c r="B498" s="4" t="s">
        <v>292</v>
      </c>
      <c r="C498" s="4" t="s">
        <v>216</v>
      </c>
      <c r="D498" s="4" t="s">
        <v>217</v>
      </c>
      <c r="E498" s="4" t="s">
        <v>19</v>
      </c>
      <c r="F498" s="4" t="s">
        <v>1226</v>
      </c>
      <c r="G498" s="4" t="s">
        <v>920</v>
      </c>
    </row>
    <row r="499" customFormat="false" ht="23.85" hidden="false" customHeight="false" outlineLevel="0" collapsed="false">
      <c r="A499" s="4" t="s">
        <v>1172</v>
      </c>
      <c r="B499" s="4" t="s">
        <v>292</v>
      </c>
      <c r="C499" s="4" t="s">
        <v>218</v>
      </c>
      <c r="D499" s="4" t="s">
        <v>219</v>
      </c>
      <c r="E499" s="4" t="s">
        <v>171</v>
      </c>
      <c r="F499" s="4" t="s">
        <v>1227</v>
      </c>
      <c r="G499" s="4" t="s">
        <v>277</v>
      </c>
    </row>
    <row r="500" customFormat="false" ht="23.85" hidden="false" customHeight="false" outlineLevel="0" collapsed="false">
      <c r="A500" s="4" t="s">
        <v>1172</v>
      </c>
      <c r="B500" s="4" t="s">
        <v>292</v>
      </c>
      <c r="C500" s="4" t="s">
        <v>220</v>
      </c>
      <c r="D500" s="4" t="s">
        <v>221</v>
      </c>
      <c r="E500" s="4" t="s">
        <v>19</v>
      </c>
      <c r="F500" s="4" t="s">
        <v>1228</v>
      </c>
      <c r="G500" s="4" t="s">
        <v>1229</v>
      </c>
    </row>
    <row r="501" customFormat="false" ht="23.85" hidden="false" customHeight="false" outlineLevel="0" collapsed="false">
      <c r="A501" s="4" t="s">
        <v>1172</v>
      </c>
      <c r="B501" s="4" t="s">
        <v>292</v>
      </c>
      <c r="C501" s="4" t="s">
        <v>222</v>
      </c>
      <c r="D501" s="4" t="s">
        <v>223</v>
      </c>
      <c r="E501" s="4" t="s">
        <v>19</v>
      </c>
      <c r="F501" s="4" t="s">
        <v>1230</v>
      </c>
      <c r="G501" s="4" t="s">
        <v>1231</v>
      </c>
    </row>
    <row r="502" customFormat="false" ht="23.85" hidden="false" customHeight="false" outlineLevel="0" collapsed="false">
      <c r="A502" s="4" t="s">
        <v>1172</v>
      </c>
      <c r="B502" s="4" t="s">
        <v>292</v>
      </c>
      <c r="C502" s="4" t="s">
        <v>224</v>
      </c>
      <c r="D502" s="4" t="s">
        <v>225</v>
      </c>
      <c r="E502" s="4" t="s">
        <v>19</v>
      </c>
      <c r="F502" s="4" t="s">
        <v>1232</v>
      </c>
      <c r="G502" s="4" t="s">
        <v>1233</v>
      </c>
    </row>
    <row r="503" customFormat="false" ht="23.85" hidden="false" customHeight="false" outlineLevel="0" collapsed="false">
      <c r="A503" s="4" t="s">
        <v>1172</v>
      </c>
      <c r="B503" s="4" t="s">
        <v>292</v>
      </c>
      <c r="C503" s="4" t="s">
        <v>226</v>
      </c>
      <c r="D503" s="4" t="s">
        <v>227</v>
      </c>
      <c r="E503" s="4" t="s">
        <v>19</v>
      </c>
      <c r="F503" s="4" t="s">
        <v>1234</v>
      </c>
      <c r="G503" s="4" t="s">
        <v>1235</v>
      </c>
    </row>
    <row r="504" customFormat="false" ht="23.85" hidden="false" customHeight="false" outlineLevel="0" collapsed="false">
      <c r="A504" s="4" t="s">
        <v>1172</v>
      </c>
      <c r="B504" s="4" t="s">
        <v>292</v>
      </c>
      <c r="C504" s="4" t="s">
        <v>228</v>
      </c>
      <c r="D504" s="4" t="s">
        <v>229</v>
      </c>
      <c r="E504" s="4" t="s">
        <v>171</v>
      </c>
      <c r="F504" s="4" t="s">
        <v>1236</v>
      </c>
      <c r="G504" s="4" t="s">
        <v>277</v>
      </c>
    </row>
    <row r="505" customFormat="false" ht="23.85" hidden="false" customHeight="false" outlineLevel="0" collapsed="false">
      <c r="A505" s="4" t="s">
        <v>1172</v>
      </c>
      <c r="B505" s="4" t="s">
        <v>313</v>
      </c>
      <c r="C505" s="4" t="s">
        <v>230</v>
      </c>
      <c r="D505" s="4" t="s">
        <v>1237</v>
      </c>
      <c r="E505" s="4" t="s">
        <v>171</v>
      </c>
      <c r="F505" s="4" t="s">
        <v>1238</v>
      </c>
      <c r="G505" s="4" t="s">
        <v>1239</v>
      </c>
    </row>
    <row r="506" customFormat="false" ht="35.05" hidden="false" customHeight="false" outlineLevel="0" collapsed="false">
      <c r="A506" s="4" t="s">
        <v>1172</v>
      </c>
      <c r="B506" s="4" t="s">
        <v>313</v>
      </c>
      <c r="C506" s="4" t="s">
        <v>232</v>
      </c>
      <c r="D506" s="4" t="s">
        <v>1240</v>
      </c>
      <c r="E506" s="4" t="s">
        <v>171</v>
      </c>
      <c r="F506" s="4" t="s">
        <v>1241</v>
      </c>
      <c r="G506" s="4" t="s">
        <v>1242</v>
      </c>
    </row>
    <row r="507" customFormat="false" ht="35.05" hidden="false" customHeight="false" outlineLevel="0" collapsed="false">
      <c r="A507" s="4" t="s">
        <v>1172</v>
      </c>
      <c r="B507" s="4" t="s">
        <v>313</v>
      </c>
      <c r="C507" s="4" t="s">
        <v>234</v>
      </c>
      <c r="D507" s="4" t="s">
        <v>1243</v>
      </c>
      <c r="E507" s="4" t="s">
        <v>19</v>
      </c>
      <c r="F507" s="4" t="s">
        <v>1244</v>
      </c>
      <c r="G507" s="4" t="s">
        <v>1245</v>
      </c>
    </row>
    <row r="508" customFormat="false" ht="35.05" hidden="false" customHeight="false" outlineLevel="0" collapsed="false">
      <c r="A508" s="4" t="s">
        <v>1172</v>
      </c>
      <c r="B508" s="4" t="s">
        <v>313</v>
      </c>
      <c r="C508" s="4" t="s">
        <v>236</v>
      </c>
      <c r="D508" s="4" t="s">
        <v>1246</v>
      </c>
      <c r="E508" s="4" t="s">
        <v>19</v>
      </c>
      <c r="F508" s="4" t="s">
        <v>1247</v>
      </c>
      <c r="G508" s="4" t="s">
        <v>1248</v>
      </c>
    </row>
    <row r="509" customFormat="false" ht="46.25" hidden="false" customHeight="false" outlineLevel="0" collapsed="false">
      <c r="A509" s="4" t="s">
        <v>1172</v>
      </c>
      <c r="B509" s="4" t="s">
        <v>313</v>
      </c>
      <c r="C509" s="4" t="s">
        <v>238</v>
      </c>
      <c r="D509" s="4" t="s">
        <v>1249</v>
      </c>
      <c r="E509" s="4" t="s">
        <v>20</v>
      </c>
      <c r="F509" s="4" t="s">
        <v>1250</v>
      </c>
      <c r="G509" s="4" t="s">
        <v>1251</v>
      </c>
    </row>
    <row r="510" customFormat="false" ht="102.2" hidden="false" customHeight="false" outlineLevel="0" collapsed="false">
      <c r="A510" s="4" t="s">
        <v>1172</v>
      </c>
      <c r="B510" s="4" t="s">
        <v>329</v>
      </c>
      <c r="C510" s="4"/>
      <c r="D510" s="4" t="s">
        <v>1252</v>
      </c>
      <c r="E510" s="4" t="s">
        <v>333</v>
      </c>
      <c r="F510" s="4" t="s">
        <v>1253</v>
      </c>
      <c r="G510" s="4"/>
    </row>
    <row r="511" customFormat="false" ht="35.05" hidden="false" customHeight="false" outlineLevel="0" collapsed="false">
      <c r="A511" s="4" t="s">
        <v>1172</v>
      </c>
      <c r="B511" s="4" t="s">
        <v>329</v>
      </c>
      <c r="C511" s="4"/>
      <c r="D511" s="4" t="s">
        <v>1254</v>
      </c>
      <c r="E511" s="4" t="s">
        <v>333</v>
      </c>
      <c r="F511" s="4" t="s">
        <v>1255</v>
      </c>
      <c r="G511" s="4"/>
    </row>
    <row r="512" customFormat="false" ht="23.85" hidden="false" customHeight="false" outlineLevel="0" collapsed="false">
      <c r="A512" s="4" t="s">
        <v>1172</v>
      </c>
      <c r="B512" s="4" t="s">
        <v>329</v>
      </c>
      <c r="C512" s="4"/>
      <c r="D512" s="4" t="s">
        <v>1256</v>
      </c>
      <c r="E512" s="4" t="s">
        <v>333</v>
      </c>
      <c r="F512" s="4" t="s">
        <v>1257</v>
      </c>
      <c r="G512" s="4"/>
    </row>
    <row r="513" customFormat="false" ht="46.25" hidden="false" customHeight="false" outlineLevel="0" collapsed="false">
      <c r="A513" s="4" t="s">
        <v>1172</v>
      </c>
      <c r="B513" s="4" t="s">
        <v>329</v>
      </c>
      <c r="C513" s="4"/>
      <c r="D513" s="4" t="s">
        <v>1258</v>
      </c>
      <c r="E513" s="4" t="s">
        <v>333</v>
      </c>
      <c r="F513" s="4" t="s">
        <v>1259</v>
      </c>
      <c r="G513" s="4"/>
    </row>
    <row r="514" customFormat="false" ht="23.85" hidden="false" customHeight="false" outlineLevel="0" collapsed="false">
      <c r="A514" s="4" t="s">
        <v>1172</v>
      </c>
      <c r="B514" s="4" t="s">
        <v>329</v>
      </c>
      <c r="C514" s="4"/>
      <c r="D514" s="4" t="s">
        <v>1260</v>
      </c>
      <c r="E514" s="4" t="s">
        <v>333</v>
      </c>
      <c r="F514" s="4" t="s">
        <v>1261</v>
      </c>
      <c r="G514" s="4"/>
    </row>
    <row r="515" customFormat="false" ht="23.85" hidden="false" customHeight="false" outlineLevel="0" collapsed="false">
      <c r="A515" s="4" t="s">
        <v>1172</v>
      </c>
      <c r="B515" s="4" t="s">
        <v>329</v>
      </c>
      <c r="C515" s="4"/>
      <c r="D515" s="4" t="s">
        <v>1262</v>
      </c>
      <c r="E515" s="4" t="s">
        <v>333</v>
      </c>
      <c r="F515" s="4" t="s">
        <v>1263</v>
      </c>
      <c r="G515" s="4"/>
    </row>
    <row r="516" customFormat="false" ht="23.85" hidden="false" customHeight="false" outlineLevel="0" collapsed="false">
      <c r="A516" s="4" t="s">
        <v>1172</v>
      </c>
      <c r="B516" s="4" t="s">
        <v>329</v>
      </c>
      <c r="C516" s="4"/>
      <c r="D516" s="4" t="s">
        <v>1264</v>
      </c>
      <c r="E516" s="4" t="s">
        <v>333</v>
      </c>
      <c r="F516" s="4" t="s">
        <v>1265</v>
      </c>
      <c r="G516" s="4"/>
    </row>
    <row r="517" customFormat="false" ht="23.85" hidden="false" customHeight="false" outlineLevel="0" collapsed="false">
      <c r="A517" s="4" t="s">
        <v>1172</v>
      </c>
      <c r="B517" s="4" t="s">
        <v>329</v>
      </c>
      <c r="C517" s="4"/>
      <c r="D517" s="4" t="s">
        <v>547</v>
      </c>
      <c r="E517" s="4" t="s">
        <v>333</v>
      </c>
      <c r="F517" s="4" t="s">
        <v>1266</v>
      </c>
      <c r="G517" s="4"/>
    </row>
    <row r="518" customFormat="false" ht="23.85" hidden="false" customHeight="false" outlineLevel="0" collapsed="false">
      <c r="A518" s="4" t="s">
        <v>1172</v>
      </c>
      <c r="B518" s="4" t="s">
        <v>329</v>
      </c>
      <c r="C518" s="4"/>
      <c r="D518" s="4" t="s">
        <v>1161</v>
      </c>
      <c r="E518" s="4" t="s">
        <v>171</v>
      </c>
      <c r="F518" s="4" t="s">
        <v>1267</v>
      </c>
      <c r="G518" s="4"/>
    </row>
    <row r="519" customFormat="false" ht="23.85" hidden="false" customHeight="false" outlineLevel="0" collapsed="false">
      <c r="A519" s="4" t="s">
        <v>1172</v>
      </c>
      <c r="B519" s="4" t="s">
        <v>329</v>
      </c>
      <c r="C519" s="4"/>
      <c r="D519" s="4" t="s">
        <v>751</v>
      </c>
      <c r="E519" s="4" t="s">
        <v>333</v>
      </c>
      <c r="F519" s="4" t="s">
        <v>1268</v>
      </c>
      <c r="G519" s="4"/>
    </row>
    <row r="520" customFormat="false" ht="23.85" hidden="false" customHeight="false" outlineLevel="0" collapsed="false">
      <c r="A520" s="4" t="s">
        <v>1172</v>
      </c>
      <c r="B520" s="4" t="s">
        <v>329</v>
      </c>
      <c r="C520" s="4"/>
      <c r="D520" s="4" t="s">
        <v>862</v>
      </c>
      <c r="E520" s="4" t="s">
        <v>171</v>
      </c>
      <c r="F520" s="4" t="s">
        <v>1269</v>
      </c>
      <c r="G520" s="4"/>
    </row>
    <row r="521" customFormat="false" ht="23.85" hidden="false" customHeight="false" outlineLevel="0" collapsed="false">
      <c r="A521" s="4" t="s">
        <v>1172</v>
      </c>
      <c r="B521" s="4" t="s">
        <v>329</v>
      </c>
      <c r="C521" s="4"/>
      <c r="D521" s="4" t="s">
        <v>1270</v>
      </c>
      <c r="E521" s="4" t="s">
        <v>171</v>
      </c>
      <c r="F521" s="4" t="s">
        <v>1271</v>
      </c>
      <c r="G521" s="4"/>
    </row>
    <row r="522" customFormat="false" ht="23.85" hidden="false" customHeight="false" outlineLevel="0" collapsed="false">
      <c r="A522" s="4" t="s">
        <v>1172</v>
      </c>
      <c r="B522" s="4" t="s">
        <v>329</v>
      </c>
      <c r="C522" s="4"/>
      <c r="D522" s="4" t="s">
        <v>343</v>
      </c>
      <c r="E522" s="4" t="s">
        <v>171</v>
      </c>
      <c r="F522" s="4" t="s">
        <v>1272</v>
      </c>
      <c r="G522" s="4"/>
    </row>
    <row r="523" customFormat="false" ht="35.05" hidden="false" customHeight="false" outlineLevel="0" collapsed="false">
      <c r="A523" s="4" t="s">
        <v>1273</v>
      </c>
      <c r="B523" s="4" t="s">
        <v>249</v>
      </c>
      <c r="C523" s="4" t="s">
        <v>165</v>
      </c>
      <c r="D523" s="4" t="s">
        <v>1173</v>
      </c>
      <c r="E523" s="4" t="s">
        <v>19</v>
      </c>
      <c r="F523" s="4" t="s">
        <v>1274</v>
      </c>
      <c r="G523" s="4" t="s">
        <v>1275</v>
      </c>
    </row>
    <row r="524" customFormat="false" ht="35.05" hidden="false" customHeight="false" outlineLevel="0" collapsed="false">
      <c r="A524" s="4" t="s">
        <v>1273</v>
      </c>
      <c r="B524" s="4" t="s">
        <v>249</v>
      </c>
      <c r="C524" s="4" t="s">
        <v>167</v>
      </c>
      <c r="D524" s="4" t="s">
        <v>1176</v>
      </c>
      <c r="E524" s="4" t="s">
        <v>19</v>
      </c>
      <c r="F524" s="4" t="s">
        <v>1276</v>
      </c>
      <c r="G524" s="4" t="s">
        <v>1277</v>
      </c>
    </row>
    <row r="525" customFormat="false" ht="35.05" hidden="false" customHeight="false" outlineLevel="0" collapsed="false">
      <c r="A525" s="4" t="s">
        <v>1273</v>
      </c>
      <c r="B525" s="4" t="s">
        <v>249</v>
      </c>
      <c r="C525" s="4" t="s">
        <v>169</v>
      </c>
      <c r="D525" s="4" t="s">
        <v>170</v>
      </c>
      <c r="E525" s="4" t="s">
        <v>171</v>
      </c>
      <c r="F525" s="4" t="s">
        <v>1278</v>
      </c>
      <c r="G525" s="4" t="s">
        <v>277</v>
      </c>
    </row>
    <row r="526" customFormat="false" ht="35.05" hidden="false" customHeight="false" outlineLevel="0" collapsed="false">
      <c r="A526" s="4" t="s">
        <v>1273</v>
      </c>
      <c r="B526" s="4" t="s">
        <v>249</v>
      </c>
      <c r="C526" s="4" t="s">
        <v>172</v>
      </c>
      <c r="D526" s="4" t="s">
        <v>365</v>
      </c>
      <c r="E526" s="4" t="s">
        <v>171</v>
      </c>
      <c r="F526" s="4" t="s">
        <v>1279</v>
      </c>
      <c r="G526" s="4" t="s">
        <v>277</v>
      </c>
    </row>
    <row r="527" customFormat="false" ht="35.05" hidden="false" customHeight="false" outlineLevel="0" collapsed="false">
      <c r="A527" s="4" t="s">
        <v>1273</v>
      </c>
      <c r="B527" s="4" t="s">
        <v>249</v>
      </c>
      <c r="C527" s="4" t="s">
        <v>174</v>
      </c>
      <c r="D527" s="4" t="s">
        <v>368</v>
      </c>
      <c r="E527" s="4" t="s">
        <v>19</v>
      </c>
      <c r="F527" s="4" t="s">
        <v>1280</v>
      </c>
      <c r="G527" s="4" t="s">
        <v>1281</v>
      </c>
    </row>
    <row r="528" customFormat="false" ht="46.25" hidden="false" customHeight="false" outlineLevel="0" collapsed="false">
      <c r="A528" s="4" t="s">
        <v>1273</v>
      </c>
      <c r="B528" s="4" t="s">
        <v>249</v>
      </c>
      <c r="C528" s="4" t="s">
        <v>176</v>
      </c>
      <c r="D528" s="4" t="s">
        <v>371</v>
      </c>
      <c r="E528" s="4" t="s">
        <v>19</v>
      </c>
      <c r="F528" s="4" t="s">
        <v>1282</v>
      </c>
      <c r="G528" s="4" t="s">
        <v>1283</v>
      </c>
    </row>
    <row r="529" customFormat="false" ht="35.05" hidden="false" customHeight="false" outlineLevel="0" collapsed="false">
      <c r="A529" s="4" t="s">
        <v>1273</v>
      </c>
      <c r="B529" s="4" t="s">
        <v>249</v>
      </c>
      <c r="C529" s="4" t="s">
        <v>178</v>
      </c>
      <c r="D529" s="4" t="s">
        <v>1186</v>
      </c>
      <c r="E529" s="4" t="s">
        <v>171</v>
      </c>
      <c r="F529" s="4" t="s">
        <v>1284</v>
      </c>
      <c r="G529" s="4" t="s">
        <v>1285</v>
      </c>
    </row>
    <row r="530" customFormat="false" ht="35.05" hidden="false" customHeight="false" outlineLevel="0" collapsed="false">
      <c r="A530" s="4" t="s">
        <v>1273</v>
      </c>
      <c r="B530" s="4" t="s">
        <v>249</v>
      </c>
      <c r="C530" s="4" t="s">
        <v>180</v>
      </c>
      <c r="D530" s="4" t="s">
        <v>1286</v>
      </c>
      <c r="E530" s="4" t="s">
        <v>171</v>
      </c>
      <c r="F530" s="4" t="s">
        <v>1287</v>
      </c>
      <c r="G530" s="4" t="s">
        <v>1288</v>
      </c>
    </row>
    <row r="531" customFormat="false" ht="35.05" hidden="false" customHeight="false" outlineLevel="0" collapsed="false">
      <c r="A531" s="4" t="s">
        <v>1273</v>
      </c>
      <c r="B531" s="4" t="s">
        <v>249</v>
      </c>
      <c r="C531" s="4" t="s">
        <v>182</v>
      </c>
      <c r="D531" s="4" t="s">
        <v>183</v>
      </c>
      <c r="E531" s="4" t="s">
        <v>171</v>
      </c>
      <c r="F531" s="4" t="s">
        <v>1289</v>
      </c>
      <c r="G531" s="4" t="s">
        <v>920</v>
      </c>
    </row>
    <row r="532" customFormat="false" ht="35.05" hidden="false" customHeight="false" outlineLevel="0" collapsed="false">
      <c r="A532" s="4" t="s">
        <v>1273</v>
      </c>
      <c r="B532" s="4" t="s">
        <v>249</v>
      </c>
      <c r="C532" s="4" t="s">
        <v>184</v>
      </c>
      <c r="D532" s="4" t="s">
        <v>185</v>
      </c>
      <c r="E532" s="4" t="s">
        <v>19</v>
      </c>
      <c r="F532" s="4" t="s">
        <v>1290</v>
      </c>
      <c r="G532" s="4" t="s">
        <v>1291</v>
      </c>
    </row>
    <row r="533" customFormat="false" ht="35.05" hidden="false" customHeight="false" outlineLevel="0" collapsed="false">
      <c r="A533" s="4" t="s">
        <v>1273</v>
      </c>
      <c r="B533" s="4" t="s">
        <v>249</v>
      </c>
      <c r="C533" s="4" t="s">
        <v>186</v>
      </c>
      <c r="D533" s="4" t="s">
        <v>1292</v>
      </c>
      <c r="E533" s="4" t="s">
        <v>19</v>
      </c>
      <c r="F533" s="4" t="s">
        <v>1293</v>
      </c>
      <c r="G533" s="4" t="s">
        <v>1294</v>
      </c>
    </row>
    <row r="534" customFormat="false" ht="35.05" hidden="false" customHeight="false" outlineLevel="0" collapsed="false">
      <c r="A534" s="4" t="s">
        <v>1273</v>
      </c>
      <c r="B534" s="4" t="s">
        <v>249</v>
      </c>
      <c r="C534" s="4" t="s">
        <v>188</v>
      </c>
      <c r="D534" s="4" t="s">
        <v>189</v>
      </c>
      <c r="E534" s="4" t="s">
        <v>171</v>
      </c>
      <c r="F534" s="4" t="s">
        <v>1295</v>
      </c>
      <c r="G534" s="4" t="s">
        <v>1296</v>
      </c>
    </row>
    <row r="535" customFormat="false" ht="35.05" hidden="false" customHeight="false" outlineLevel="0" collapsed="false">
      <c r="A535" s="4" t="s">
        <v>1273</v>
      </c>
      <c r="B535" s="4" t="s">
        <v>249</v>
      </c>
      <c r="C535" s="4" t="s">
        <v>190</v>
      </c>
      <c r="D535" s="4" t="s">
        <v>191</v>
      </c>
      <c r="E535" s="4" t="s">
        <v>19</v>
      </c>
      <c r="F535" s="4" t="s">
        <v>1297</v>
      </c>
      <c r="G535" s="4" t="s">
        <v>1298</v>
      </c>
    </row>
    <row r="536" customFormat="false" ht="35.05" hidden="false" customHeight="false" outlineLevel="0" collapsed="false">
      <c r="A536" s="4" t="s">
        <v>1273</v>
      </c>
      <c r="B536" s="4" t="s">
        <v>249</v>
      </c>
      <c r="C536" s="4" t="s">
        <v>192</v>
      </c>
      <c r="D536" s="4" t="s">
        <v>193</v>
      </c>
      <c r="E536" s="4" t="s">
        <v>171</v>
      </c>
      <c r="F536" s="4" t="s">
        <v>1299</v>
      </c>
      <c r="G536" s="4" t="s">
        <v>277</v>
      </c>
    </row>
    <row r="537" customFormat="false" ht="35.05" hidden="false" customHeight="false" outlineLevel="0" collapsed="false">
      <c r="A537" s="4" t="s">
        <v>1273</v>
      </c>
      <c r="B537" s="4" t="s">
        <v>249</v>
      </c>
      <c r="C537" s="4" t="s">
        <v>194</v>
      </c>
      <c r="D537" s="4" t="s">
        <v>195</v>
      </c>
      <c r="E537" s="4" t="s">
        <v>19</v>
      </c>
      <c r="F537" s="4" t="s">
        <v>1300</v>
      </c>
      <c r="G537" s="4" t="s">
        <v>1301</v>
      </c>
    </row>
    <row r="538" customFormat="false" ht="35.05" hidden="false" customHeight="false" outlineLevel="0" collapsed="false">
      <c r="A538" s="4" t="s">
        <v>1273</v>
      </c>
      <c r="B538" s="4" t="s">
        <v>249</v>
      </c>
      <c r="C538" s="4" t="s">
        <v>196</v>
      </c>
      <c r="D538" s="4" t="s">
        <v>197</v>
      </c>
      <c r="E538" s="4" t="s">
        <v>19</v>
      </c>
      <c r="F538" s="4" t="s">
        <v>1302</v>
      </c>
      <c r="G538" s="4" t="s">
        <v>1303</v>
      </c>
    </row>
    <row r="539" customFormat="false" ht="35.05" hidden="false" customHeight="false" outlineLevel="0" collapsed="false">
      <c r="A539" s="4" t="s">
        <v>1273</v>
      </c>
      <c r="B539" s="4" t="s">
        <v>249</v>
      </c>
      <c r="C539" s="4" t="s">
        <v>198</v>
      </c>
      <c r="D539" s="4" t="s">
        <v>199</v>
      </c>
      <c r="E539" s="4" t="s">
        <v>19</v>
      </c>
      <c r="F539" s="4" t="s">
        <v>1304</v>
      </c>
      <c r="G539" s="4" t="s">
        <v>1305</v>
      </c>
    </row>
    <row r="540" customFormat="false" ht="35.05" hidden="false" customHeight="false" outlineLevel="0" collapsed="false">
      <c r="A540" s="4" t="s">
        <v>1273</v>
      </c>
      <c r="B540" s="4" t="s">
        <v>249</v>
      </c>
      <c r="C540" s="4" t="s">
        <v>200</v>
      </c>
      <c r="D540" s="4" t="s">
        <v>1210</v>
      </c>
      <c r="E540" s="4" t="s">
        <v>20</v>
      </c>
      <c r="F540" s="4" t="s">
        <v>1306</v>
      </c>
      <c r="G540" s="4" t="s">
        <v>1307</v>
      </c>
    </row>
    <row r="541" customFormat="false" ht="35.05" hidden="false" customHeight="false" outlineLevel="0" collapsed="false">
      <c r="A541" s="4" t="s">
        <v>1273</v>
      </c>
      <c r="B541" s="4" t="s">
        <v>249</v>
      </c>
      <c r="C541" s="4" t="s">
        <v>202</v>
      </c>
      <c r="D541" s="4" t="s">
        <v>203</v>
      </c>
      <c r="E541" s="4" t="s">
        <v>19</v>
      </c>
      <c r="F541" s="4" t="s">
        <v>1308</v>
      </c>
      <c r="G541" s="4" t="s">
        <v>1309</v>
      </c>
    </row>
    <row r="542" customFormat="false" ht="46.25" hidden="false" customHeight="false" outlineLevel="0" collapsed="false">
      <c r="A542" s="4" t="s">
        <v>1273</v>
      </c>
      <c r="B542" s="4" t="s">
        <v>249</v>
      </c>
      <c r="C542" s="4" t="s">
        <v>204</v>
      </c>
      <c r="D542" s="4" t="s">
        <v>205</v>
      </c>
      <c r="E542" s="4" t="s">
        <v>20</v>
      </c>
      <c r="F542" s="4" t="s">
        <v>1310</v>
      </c>
      <c r="G542" s="4" t="s">
        <v>1311</v>
      </c>
    </row>
    <row r="543" customFormat="false" ht="35.05" hidden="false" customHeight="false" outlineLevel="0" collapsed="false">
      <c r="A543" s="4" t="s">
        <v>1273</v>
      </c>
      <c r="B543" s="4" t="s">
        <v>249</v>
      </c>
      <c r="C543" s="4" t="s">
        <v>206</v>
      </c>
      <c r="D543" s="4" t="s">
        <v>1217</v>
      </c>
      <c r="E543" s="4" t="s">
        <v>171</v>
      </c>
      <c r="F543" s="4" t="s">
        <v>1312</v>
      </c>
      <c r="G543" s="4" t="s">
        <v>1313</v>
      </c>
    </row>
    <row r="544" customFormat="false" ht="35.05" hidden="false" customHeight="false" outlineLevel="0" collapsed="false">
      <c r="A544" s="4" t="s">
        <v>1273</v>
      </c>
      <c r="B544" s="4" t="s">
        <v>292</v>
      </c>
      <c r="C544" s="4" t="s">
        <v>208</v>
      </c>
      <c r="D544" s="4" t="s">
        <v>209</v>
      </c>
      <c r="E544" s="4" t="s">
        <v>171</v>
      </c>
      <c r="F544" s="4" t="s">
        <v>1314</v>
      </c>
      <c r="G544" s="4" t="s">
        <v>277</v>
      </c>
    </row>
    <row r="545" customFormat="false" ht="35.05" hidden="false" customHeight="false" outlineLevel="0" collapsed="false">
      <c r="A545" s="4" t="s">
        <v>1273</v>
      </c>
      <c r="B545" s="4" t="s">
        <v>292</v>
      </c>
      <c r="C545" s="4" t="s">
        <v>210</v>
      </c>
      <c r="D545" s="4" t="s">
        <v>211</v>
      </c>
      <c r="E545" s="4" t="s">
        <v>171</v>
      </c>
      <c r="F545" s="4" t="s">
        <v>1315</v>
      </c>
      <c r="G545" s="4" t="s">
        <v>277</v>
      </c>
    </row>
    <row r="546" customFormat="false" ht="35.05" hidden="false" customHeight="false" outlineLevel="0" collapsed="false">
      <c r="A546" s="4" t="s">
        <v>1273</v>
      </c>
      <c r="B546" s="4" t="s">
        <v>292</v>
      </c>
      <c r="C546" s="4" t="s">
        <v>212</v>
      </c>
      <c r="D546" s="4" t="s">
        <v>213</v>
      </c>
      <c r="E546" s="4" t="s">
        <v>19</v>
      </c>
      <c r="F546" s="4" t="s">
        <v>1316</v>
      </c>
      <c r="G546" s="4" t="s">
        <v>1317</v>
      </c>
    </row>
    <row r="547" customFormat="false" ht="35.05" hidden="false" customHeight="false" outlineLevel="0" collapsed="false">
      <c r="A547" s="4" t="s">
        <v>1273</v>
      </c>
      <c r="B547" s="4" t="s">
        <v>292</v>
      </c>
      <c r="C547" s="4" t="s">
        <v>214</v>
      </c>
      <c r="D547" s="4" t="s">
        <v>215</v>
      </c>
      <c r="E547" s="4" t="s">
        <v>171</v>
      </c>
      <c r="F547" s="4" t="s">
        <v>1318</v>
      </c>
      <c r="G547" s="4" t="s">
        <v>277</v>
      </c>
    </row>
    <row r="548" customFormat="false" ht="35.05" hidden="false" customHeight="false" outlineLevel="0" collapsed="false">
      <c r="A548" s="4" t="s">
        <v>1273</v>
      </c>
      <c r="B548" s="4" t="s">
        <v>292</v>
      </c>
      <c r="C548" s="4" t="s">
        <v>216</v>
      </c>
      <c r="D548" s="4" t="s">
        <v>217</v>
      </c>
      <c r="E548" s="4" t="s">
        <v>19</v>
      </c>
      <c r="F548" s="4" t="s">
        <v>1319</v>
      </c>
      <c r="G548" s="4" t="s">
        <v>920</v>
      </c>
    </row>
    <row r="549" customFormat="false" ht="35.05" hidden="false" customHeight="false" outlineLevel="0" collapsed="false">
      <c r="A549" s="4" t="s">
        <v>1273</v>
      </c>
      <c r="B549" s="4" t="s">
        <v>292</v>
      </c>
      <c r="C549" s="4" t="s">
        <v>218</v>
      </c>
      <c r="D549" s="4" t="s">
        <v>219</v>
      </c>
      <c r="E549" s="4" t="s">
        <v>171</v>
      </c>
      <c r="F549" s="4" t="s">
        <v>1320</v>
      </c>
      <c r="G549" s="4" t="s">
        <v>277</v>
      </c>
    </row>
    <row r="550" customFormat="false" ht="35.05" hidden="false" customHeight="false" outlineLevel="0" collapsed="false">
      <c r="A550" s="4" t="s">
        <v>1273</v>
      </c>
      <c r="B550" s="4" t="s">
        <v>292</v>
      </c>
      <c r="C550" s="4" t="s">
        <v>220</v>
      </c>
      <c r="D550" s="4" t="s">
        <v>221</v>
      </c>
      <c r="E550" s="4" t="s">
        <v>19</v>
      </c>
      <c r="F550" s="4" t="s">
        <v>1321</v>
      </c>
      <c r="G550" s="4" t="s">
        <v>1322</v>
      </c>
    </row>
    <row r="551" customFormat="false" ht="35.05" hidden="false" customHeight="false" outlineLevel="0" collapsed="false">
      <c r="A551" s="4" t="s">
        <v>1273</v>
      </c>
      <c r="B551" s="4" t="s">
        <v>292</v>
      </c>
      <c r="C551" s="4" t="s">
        <v>222</v>
      </c>
      <c r="D551" s="4" t="s">
        <v>223</v>
      </c>
      <c r="E551" s="4" t="s">
        <v>19</v>
      </c>
      <c r="F551" s="4" t="s">
        <v>1323</v>
      </c>
      <c r="G551" s="4" t="s">
        <v>1324</v>
      </c>
    </row>
    <row r="552" customFormat="false" ht="35.05" hidden="false" customHeight="false" outlineLevel="0" collapsed="false">
      <c r="A552" s="4" t="s">
        <v>1273</v>
      </c>
      <c r="B552" s="4" t="s">
        <v>292</v>
      </c>
      <c r="C552" s="4" t="s">
        <v>224</v>
      </c>
      <c r="D552" s="4" t="s">
        <v>225</v>
      </c>
      <c r="E552" s="4" t="s">
        <v>19</v>
      </c>
      <c r="F552" s="4" t="s">
        <v>1325</v>
      </c>
      <c r="G552" s="4" t="s">
        <v>1326</v>
      </c>
    </row>
    <row r="553" customFormat="false" ht="35.05" hidden="false" customHeight="false" outlineLevel="0" collapsed="false">
      <c r="A553" s="4" t="s">
        <v>1273</v>
      </c>
      <c r="B553" s="4" t="s">
        <v>292</v>
      </c>
      <c r="C553" s="4" t="s">
        <v>226</v>
      </c>
      <c r="D553" s="4" t="s">
        <v>227</v>
      </c>
      <c r="E553" s="4" t="s">
        <v>171</v>
      </c>
      <c r="F553" s="4" t="s">
        <v>1327</v>
      </c>
      <c r="G553" s="4" t="s">
        <v>277</v>
      </c>
    </row>
    <row r="554" customFormat="false" ht="35.05" hidden="false" customHeight="false" outlineLevel="0" collapsed="false">
      <c r="A554" s="4" t="s">
        <v>1273</v>
      </c>
      <c r="B554" s="4" t="s">
        <v>292</v>
      </c>
      <c r="C554" s="4" t="s">
        <v>228</v>
      </c>
      <c r="D554" s="4" t="s">
        <v>229</v>
      </c>
      <c r="E554" s="4" t="s">
        <v>171</v>
      </c>
      <c r="F554" s="4" t="s">
        <v>1328</v>
      </c>
      <c r="G554" s="4" t="s">
        <v>277</v>
      </c>
    </row>
    <row r="555" customFormat="false" ht="35.05" hidden="false" customHeight="false" outlineLevel="0" collapsed="false">
      <c r="A555" s="4" t="s">
        <v>1273</v>
      </c>
      <c r="B555" s="4" t="s">
        <v>313</v>
      </c>
      <c r="C555" s="4" t="s">
        <v>230</v>
      </c>
      <c r="D555" s="4" t="s">
        <v>1329</v>
      </c>
      <c r="E555" s="4" t="s">
        <v>19</v>
      </c>
      <c r="F555" s="4" t="s">
        <v>1330</v>
      </c>
      <c r="G555" s="4" t="s">
        <v>1331</v>
      </c>
    </row>
    <row r="556" customFormat="false" ht="35.05" hidden="false" customHeight="false" outlineLevel="0" collapsed="false">
      <c r="A556" s="4" t="s">
        <v>1273</v>
      </c>
      <c r="B556" s="4" t="s">
        <v>313</v>
      </c>
      <c r="C556" s="4" t="s">
        <v>232</v>
      </c>
      <c r="D556" s="4" t="s">
        <v>1332</v>
      </c>
      <c r="E556" s="4" t="s">
        <v>171</v>
      </c>
      <c r="F556" s="4" t="s">
        <v>1333</v>
      </c>
      <c r="G556" s="4" t="s">
        <v>1334</v>
      </c>
    </row>
    <row r="557" customFormat="false" ht="35.05" hidden="false" customHeight="false" outlineLevel="0" collapsed="false">
      <c r="A557" s="4" t="s">
        <v>1273</v>
      </c>
      <c r="B557" s="4" t="s">
        <v>313</v>
      </c>
      <c r="C557" s="4" t="s">
        <v>234</v>
      </c>
      <c r="D557" s="4" t="s">
        <v>1335</v>
      </c>
      <c r="E557" s="4" t="s">
        <v>19</v>
      </c>
      <c r="F557" s="4" t="s">
        <v>1336</v>
      </c>
      <c r="G557" s="4" t="s">
        <v>1337</v>
      </c>
    </row>
    <row r="558" customFormat="false" ht="35.05" hidden="false" customHeight="false" outlineLevel="0" collapsed="false">
      <c r="A558" s="4" t="s">
        <v>1273</v>
      </c>
      <c r="B558" s="4" t="s">
        <v>313</v>
      </c>
      <c r="C558" s="4" t="s">
        <v>236</v>
      </c>
      <c r="D558" s="4" t="s">
        <v>1338</v>
      </c>
      <c r="E558" s="4" t="s">
        <v>19</v>
      </c>
      <c r="F558" s="4" t="s">
        <v>1339</v>
      </c>
      <c r="G558" s="4" t="s">
        <v>1340</v>
      </c>
    </row>
    <row r="559" customFormat="false" ht="46.25" hidden="false" customHeight="false" outlineLevel="0" collapsed="false">
      <c r="A559" s="4" t="s">
        <v>1273</v>
      </c>
      <c r="B559" s="4" t="s">
        <v>313</v>
      </c>
      <c r="C559" s="4" t="s">
        <v>238</v>
      </c>
      <c r="D559" s="4" t="s">
        <v>1341</v>
      </c>
      <c r="E559" s="4" t="s">
        <v>171</v>
      </c>
      <c r="F559" s="4" t="s">
        <v>1342</v>
      </c>
      <c r="G559" s="4" t="s">
        <v>1343</v>
      </c>
    </row>
    <row r="560" customFormat="false" ht="35.05" hidden="false" customHeight="false" outlineLevel="0" collapsed="false">
      <c r="A560" s="4" t="s">
        <v>1273</v>
      </c>
      <c r="B560" s="4" t="s">
        <v>329</v>
      </c>
      <c r="C560" s="4"/>
      <c r="D560" s="4" t="s">
        <v>1344</v>
      </c>
      <c r="E560" s="4" t="s">
        <v>171</v>
      </c>
      <c r="F560" s="4" t="s">
        <v>1345</v>
      </c>
      <c r="G560" s="4"/>
    </row>
    <row r="561" customFormat="false" ht="35.05" hidden="false" customHeight="false" outlineLevel="0" collapsed="false">
      <c r="A561" s="4" t="s">
        <v>1273</v>
      </c>
      <c r="B561" s="4" t="s">
        <v>329</v>
      </c>
      <c r="C561" s="4"/>
      <c r="D561" s="4" t="s">
        <v>1346</v>
      </c>
      <c r="E561" s="4" t="s">
        <v>333</v>
      </c>
      <c r="F561" s="4" t="s">
        <v>1347</v>
      </c>
      <c r="G561" s="4"/>
    </row>
    <row r="562" customFormat="false" ht="35.05" hidden="false" customHeight="false" outlineLevel="0" collapsed="false">
      <c r="A562" s="4" t="s">
        <v>1273</v>
      </c>
      <c r="B562" s="4" t="s">
        <v>329</v>
      </c>
      <c r="C562" s="4"/>
      <c r="D562" s="4" t="s">
        <v>1348</v>
      </c>
      <c r="E562" s="4" t="s">
        <v>333</v>
      </c>
      <c r="F562" s="4" t="s">
        <v>1349</v>
      </c>
      <c r="G562" s="4"/>
    </row>
    <row r="563" customFormat="false" ht="35.05" hidden="false" customHeight="false" outlineLevel="0" collapsed="false">
      <c r="A563" s="4" t="s">
        <v>1273</v>
      </c>
      <c r="B563" s="4" t="s">
        <v>329</v>
      </c>
      <c r="C563" s="4"/>
      <c r="D563" s="4" t="s">
        <v>1350</v>
      </c>
      <c r="E563" s="4" t="s">
        <v>333</v>
      </c>
      <c r="F563" s="4" t="s">
        <v>1351</v>
      </c>
      <c r="G563" s="4"/>
    </row>
    <row r="564" customFormat="false" ht="35.05" hidden="false" customHeight="false" outlineLevel="0" collapsed="false">
      <c r="A564" s="4" t="s">
        <v>1273</v>
      </c>
      <c r="B564" s="4" t="s">
        <v>329</v>
      </c>
      <c r="C564" s="4"/>
      <c r="D564" s="4" t="s">
        <v>1260</v>
      </c>
      <c r="E564" s="4" t="s">
        <v>333</v>
      </c>
      <c r="F564" s="4" t="s">
        <v>1352</v>
      </c>
      <c r="G564" s="4"/>
    </row>
    <row r="565" customFormat="false" ht="35.05" hidden="false" customHeight="false" outlineLevel="0" collapsed="false">
      <c r="A565" s="4" t="s">
        <v>1273</v>
      </c>
      <c r="B565" s="4" t="s">
        <v>329</v>
      </c>
      <c r="C565" s="4"/>
      <c r="D565" s="4" t="s">
        <v>1353</v>
      </c>
      <c r="E565" s="4" t="s">
        <v>333</v>
      </c>
      <c r="F565" s="4" t="s">
        <v>1354</v>
      </c>
      <c r="G565" s="4"/>
    </row>
    <row r="566" customFormat="false" ht="35.05" hidden="false" customHeight="false" outlineLevel="0" collapsed="false">
      <c r="A566" s="4" t="s">
        <v>1273</v>
      </c>
      <c r="B566" s="4" t="s">
        <v>329</v>
      </c>
      <c r="C566" s="4"/>
      <c r="D566" s="4" t="s">
        <v>852</v>
      </c>
      <c r="E566" s="4" t="s">
        <v>171</v>
      </c>
      <c r="F566" s="4" t="s">
        <v>1355</v>
      </c>
      <c r="G566" s="4"/>
    </row>
    <row r="567" customFormat="false" ht="35.05" hidden="false" customHeight="false" outlineLevel="0" collapsed="false">
      <c r="A567" s="4" t="s">
        <v>1273</v>
      </c>
      <c r="B567" s="4" t="s">
        <v>329</v>
      </c>
      <c r="C567" s="4"/>
      <c r="D567" s="4" t="s">
        <v>547</v>
      </c>
      <c r="E567" s="4" t="s">
        <v>333</v>
      </c>
      <c r="F567" s="4" t="s">
        <v>1356</v>
      </c>
      <c r="G567" s="4"/>
    </row>
    <row r="568" customFormat="false" ht="35.05" hidden="false" customHeight="false" outlineLevel="0" collapsed="false">
      <c r="A568" s="4" t="s">
        <v>1273</v>
      </c>
      <c r="B568" s="4" t="s">
        <v>329</v>
      </c>
      <c r="C568" s="4"/>
      <c r="D568" s="4" t="s">
        <v>1357</v>
      </c>
      <c r="E568" s="4" t="s">
        <v>171</v>
      </c>
      <c r="F568" s="4" t="s">
        <v>1358</v>
      </c>
      <c r="G568" s="4"/>
    </row>
    <row r="569" customFormat="false" ht="35.05" hidden="false" customHeight="false" outlineLevel="0" collapsed="false">
      <c r="A569" s="4" t="s">
        <v>1273</v>
      </c>
      <c r="B569" s="4" t="s">
        <v>329</v>
      </c>
      <c r="C569" s="4"/>
      <c r="D569" s="4" t="s">
        <v>1270</v>
      </c>
      <c r="E569" s="4" t="s">
        <v>171</v>
      </c>
      <c r="F569" s="4" t="s">
        <v>1359</v>
      </c>
      <c r="G569" s="4"/>
    </row>
    <row r="570" customFormat="false" ht="35.05" hidden="false" customHeight="false" outlineLevel="0" collapsed="false">
      <c r="A570" s="4" t="s">
        <v>1273</v>
      </c>
      <c r="B570" s="4" t="s">
        <v>329</v>
      </c>
      <c r="C570" s="4"/>
      <c r="D570" s="4" t="s">
        <v>1360</v>
      </c>
      <c r="E570" s="4" t="s">
        <v>333</v>
      </c>
      <c r="F570" s="4" t="s">
        <v>1361</v>
      </c>
      <c r="G570" s="4"/>
    </row>
    <row r="571" customFormat="false" ht="35.05" hidden="false" customHeight="false" outlineLevel="0" collapsed="false">
      <c r="A571" s="4" t="s">
        <v>1273</v>
      </c>
      <c r="B571" s="4" t="s">
        <v>329</v>
      </c>
      <c r="C571" s="4"/>
      <c r="D571" s="4" t="s">
        <v>1362</v>
      </c>
      <c r="E571" s="4" t="s">
        <v>333</v>
      </c>
      <c r="F571" s="4" t="s">
        <v>1363</v>
      </c>
      <c r="G571" s="4"/>
    </row>
    <row r="572" customFormat="false" ht="35.05" hidden="false" customHeight="false" outlineLevel="0" collapsed="false">
      <c r="A572" s="4" t="s">
        <v>1273</v>
      </c>
      <c r="B572" s="4" t="s">
        <v>329</v>
      </c>
      <c r="C572" s="4"/>
      <c r="D572" s="4" t="s">
        <v>343</v>
      </c>
      <c r="E572" s="4" t="s">
        <v>171</v>
      </c>
      <c r="F572" s="4" t="s">
        <v>1364</v>
      </c>
      <c r="G572" s="4"/>
    </row>
    <row r="573" customFormat="false" ht="35.05" hidden="false" customHeight="false" outlineLevel="0" collapsed="false">
      <c r="A573" s="4" t="s">
        <v>1365</v>
      </c>
      <c r="B573" s="4" t="s">
        <v>249</v>
      </c>
      <c r="C573" s="4" t="s">
        <v>165</v>
      </c>
      <c r="D573" s="4" t="s">
        <v>1173</v>
      </c>
      <c r="E573" s="4" t="s">
        <v>19</v>
      </c>
      <c r="F573" s="4" t="s">
        <v>1366</v>
      </c>
      <c r="G573" s="4" t="s">
        <v>1367</v>
      </c>
    </row>
    <row r="574" customFormat="false" ht="46.25" hidden="false" customHeight="false" outlineLevel="0" collapsed="false">
      <c r="A574" s="4" t="s">
        <v>1365</v>
      </c>
      <c r="B574" s="4" t="s">
        <v>249</v>
      </c>
      <c r="C574" s="4" t="s">
        <v>167</v>
      </c>
      <c r="D574" s="4" t="s">
        <v>1176</v>
      </c>
      <c r="E574" s="4" t="s">
        <v>19</v>
      </c>
      <c r="F574" s="4" t="s">
        <v>1368</v>
      </c>
      <c r="G574" s="4" t="s">
        <v>1369</v>
      </c>
    </row>
    <row r="575" customFormat="false" ht="23.85" hidden="false" customHeight="false" outlineLevel="0" collapsed="false">
      <c r="A575" s="4" t="s">
        <v>1365</v>
      </c>
      <c r="B575" s="4" t="s">
        <v>249</v>
      </c>
      <c r="C575" s="4" t="s">
        <v>169</v>
      </c>
      <c r="D575" s="4" t="s">
        <v>170</v>
      </c>
      <c r="E575" s="4" t="s">
        <v>171</v>
      </c>
      <c r="F575" s="4" t="s">
        <v>1370</v>
      </c>
      <c r="G575" s="4" t="s">
        <v>1371</v>
      </c>
    </row>
    <row r="576" customFormat="false" ht="23.85" hidden="false" customHeight="false" outlineLevel="0" collapsed="false">
      <c r="A576" s="4" t="s">
        <v>1365</v>
      </c>
      <c r="B576" s="4" t="s">
        <v>249</v>
      </c>
      <c r="C576" s="4" t="s">
        <v>172</v>
      </c>
      <c r="D576" s="4" t="s">
        <v>365</v>
      </c>
      <c r="E576" s="4" t="s">
        <v>171</v>
      </c>
      <c r="F576" s="4" t="s">
        <v>1372</v>
      </c>
      <c r="G576" s="4" t="s">
        <v>277</v>
      </c>
    </row>
    <row r="577" customFormat="false" ht="23.85" hidden="false" customHeight="false" outlineLevel="0" collapsed="false">
      <c r="A577" s="4" t="s">
        <v>1365</v>
      </c>
      <c r="B577" s="4" t="s">
        <v>249</v>
      </c>
      <c r="C577" s="4" t="s">
        <v>174</v>
      </c>
      <c r="D577" s="4" t="s">
        <v>368</v>
      </c>
      <c r="E577" s="4" t="s">
        <v>19</v>
      </c>
      <c r="F577" s="4" t="s">
        <v>1373</v>
      </c>
      <c r="G577" s="4" t="s">
        <v>1374</v>
      </c>
    </row>
    <row r="578" customFormat="false" ht="35.05" hidden="false" customHeight="false" outlineLevel="0" collapsed="false">
      <c r="A578" s="4" t="s">
        <v>1365</v>
      </c>
      <c r="B578" s="4" t="s">
        <v>249</v>
      </c>
      <c r="C578" s="4" t="s">
        <v>176</v>
      </c>
      <c r="D578" s="4" t="s">
        <v>371</v>
      </c>
      <c r="E578" s="4" t="s">
        <v>19</v>
      </c>
      <c r="F578" s="4" t="s">
        <v>1375</v>
      </c>
      <c r="G578" s="4" t="s">
        <v>1376</v>
      </c>
    </row>
    <row r="579" customFormat="false" ht="23.85" hidden="false" customHeight="false" outlineLevel="0" collapsed="false">
      <c r="A579" s="4" t="s">
        <v>1365</v>
      </c>
      <c r="B579" s="4" t="s">
        <v>249</v>
      </c>
      <c r="C579" s="4" t="s">
        <v>178</v>
      </c>
      <c r="D579" s="4" t="s">
        <v>1186</v>
      </c>
      <c r="E579" s="4" t="s">
        <v>171</v>
      </c>
      <c r="F579" s="4" t="s">
        <v>1377</v>
      </c>
      <c r="G579" s="4" t="s">
        <v>1378</v>
      </c>
    </row>
    <row r="580" customFormat="false" ht="23.85" hidden="false" customHeight="false" outlineLevel="0" collapsed="false">
      <c r="A580" s="4" t="s">
        <v>1365</v>
      </c>
      <c r="B580" s="4" t="s">
        <v>249</v>
      </c>
      <c r="C580" s="4" t="s">
        <v>180</v>
      </c>
      <c r="D580" s="4" t="s">
        <v>1286</v>
      </c>
      <c r="E580" s="4" t="s">
        <v>171</v>
      </c>
      <c r="F580" s="4" t="s">
        <v>1379</v>
      </c>
      <c r="G580" s="4" t="s">
        <v>1380</v>
      </c>
    </row>
    <row r="581" customFormat="false" ht="23.85" hidden="false" customHeight="false" outlineLevel="0" collapsed="false">
      <c r="A581" s="4" t="s">
        <v>1365</v>
      </c>
      <c r="B581" s="4" t="s">
        <v>249</v>
      </c>
      <c r="C581" s="4" t="s">
        <v>182</v>
      </c>
      <c r="D581" s="4" t="s">
        <v>183</v>
      </c>
      <c r="E581" s="4" t="s">
        <v>171</v>
      </c>
      <c r="F581" s="4" t="s">
        <v>1381</v>
      </c>
      <c r="G581" s="4" t="s">
        <v>1382</v>
      </c>
    </row>
    <row r="582" customFormat="false" ht="23.85" hidden="false" customHeight="false" outlineLevel="0" collapsed="false">
      <c r="A582" s="4" t="s">
        <v>1365</v>
      </c>
      <c r="B582" s="4" t="s">
        <v>249</v>
      </c>
      <c r="C582" s="4" t="s">
        <v>184</v>
      </c>
      <c r="D582" s="4" t="s">
        <v>185</v>
      </c>
      <c r="E582" s="4" t="s">
        <v>19</v>
      </c>
      <c r="F582" s="4" t="s">
        <v>1383</v>
      </c>
      <c r="G582" s="4" t="s">
        <v>1384</v>
      </c>
    </row>
    <row r="583" customFormat="false" ht="23.85" hidden="false" customHeight="false" outlineLevel="0" collapsed="false">
      <c r="A583" s="4" t="s">
        <v>1365</v>
      </c>
      <c r="B583" s="4" t="s">
        <v>249</v>
      </c>
      <c r="C583" s="4" t="s">
        <v>186</v>
      </c>
      <c r="D583" s="4" t="s">
        <v>1385</v>
      </c>
      <c r="E583" s="4" t="s">
        <v>19</v>
      </c>
      <c r="F583" s="4" t="s">
        <v>1386</v>
      </c>
      <c r="G583" s="4" t="s">
        <v>1387</v>
      </c>
    </row>
    <row r="584" customFormat="false" ht="23.85" hidden="false" customHeight="false" outlineLevel="0" collapsed="false">
      <c r="A584" s="4" t="s">
        <v>1365</v>
      </c>
      <c r="B584" s="4" t="s">
        <v>249</v>
      </c>
      <c r="C584" s="4" t="s">
        <v>188</v>
      </c>
      <c r="D584" s="4" t="s">
        <v>189</v>
      </c>
      <c r="E584" s="4" t="s">
        <v>171</v>
      </c>
      <c r="F584" s="4" t="s">
        <v>1388</v>
      </c>
      <c r="G584" s="4" t="s">
        <v>1389</v>
      </c>
    </row>
    <row r="585" customFormat="false" ht="23.85" hidden="false" customHeight="false" outlineLevel="0" collapsed="false">
      <c r="A585" s="4" t="s">
        <v>1365</v>
      </c>
      <c r="B585" s="4" t="s">
        <v>249</v>
      </c>
      <c r="C585" s="4" t="s">
        <v>190</v>
      </c>
      <c r="D585" s="4" t="s">
        <v>191</v>
      </c>
      <c r="E585" s="4" t="s">
        <v>19</v>
      </c>
      <c r="F585" s="4" t="s">
        <v>1390</v>
      </c>
      <c r="G585" s="4" t="s">
        <v>1391</v>
      </c>
    </row>
    <row r="586" customFormat="false" ht="35.05" hidden="false" customHeight="false" outlineLevel="0" collapsed="false">
      <c r="A586" s="4" t="s">
        <v>1365</v>
      </c>
      <c r="B586" s="4" t="s">
        <v>249</v>
      </c>
      <c r="C586" s="4" t="s">
        <v>192</v>
      </c>
      <c r="D586" s="4" t="s">
        <v>193</v>
      </c>
      <c r="E586" s="4" t="s">
        <v>171</v>
      </c>
      <c r="F586" s="4" t="s">
        <v>1392</v>
      </c>
      <c r="G586" s="4" t="s">
        <v>277</v>
      </c>
    </row>
    <row r="587" customFormat="false" ht="23.85" hidden="false" customHeight="false" outlineLevel="0" collapsed="false">
      <c r="A587" s="4" t="s">
        <v>1365</v>
      </c>
      <c r="B587" s="4" t="s">
        <v>249</v>
      </c>
      <c r="C587" s="4" t="s">
        <v>194</v>
      </c>
      <c r="D587" s="4" t="s">
        <v>1393</v>
      </c>
      <c r="E587" s="4" t="s">
        <v>19</v>
      </c>
      <c r="F587" s="4" t="s">
        <v>1394</v>
      </c>
      <c r="G587" s="4" t="s">
        <v>1395</v>
      </c>
    </row>
    <row r="588" customFormat="false" ht="23.85" hidden="false" customHeight="false" outlineLevel="0" collapsed="false">
      <c r="A588" s="4" t="s">
        <v>1365</v>
      </c>
      <c r="B588" s="4" t="s">
        <v>249</v>
      </c>
      <c r="C588" s="4" t="s">
        <v>196</v>
      </c>
      <c r="D588" s="4" t="s">
        <v>197</v>
      </c>
      <c r="E588" s="4" t="s">
        <v>19</v>
      </c>
      <c r="F588" s="4" t="s">
        <v>1396</v>
      </c>
      <c r="G588" s="4" t="s">
        <v>1397</v>
      </c>
    </row>
    <row r="589" customFormat="false" ht="35.05" hidden="false" customHeight="false" outlineLevel="0" collapsed="false">
      <c r="A589" s="4" t="s">
        <v>1365</v>
      </c>
      <c r="B589" s="4" t="s">
        <v>249</v>
      </c>
      <c r="C589" s="4" t="s">
        <v>198</v>
      </c>
      <c r="D589" s="4" t="s">
        <v>199</v>
      </c>
      <c r="E589" s="4" t="s">
        <v>19</v>
      </c>
      <c r="F589" s="4" t="s">
        <v>1398</v>
      </c>
      <c r="G589" s="4" t="s">
        <v>1399</v>
      </c>
    </row>
    <row r="590" customFormat="false" ht="23.85" hidden="false" customHeight="false" outlineLevel="0" collapsed="false">
      <c r="A590" s="4" t="s">
        <v>1365</v>
      </c>
      <c r="B590" s="4" t="s">
        <v>249</v>
      </c>
      <c r="C590" s="4" t="s">
        <v>200</v>
      </c>
      <c r="D590" s="4" t="s">
        <v>1210</v>
      </c>
      <c r="E590" s="4" t="s">
        <v>20</v>
      </c>
      <c r="F590" s="4" t="s">
        <v>1400</v>
      </c>
      <c r="G590" s="4" t="s">
        <v>1401</v>
      </c>
    </row>
    <row r="591" customFormat="false" ht="23.85" hidden="false" customHeight="false" outlineLevel="0" collapsed="false">
      <c r="A591" s="4" t="s">
        <v>1365</v>
      </c>
      <c r="B591" s="4" t="s">
        <v>249</v>
      </c>
      <c r="C591" s="4" t="s">
        <v>202</v>
      </c>
      <c r="D591" s="4" t="s">
        <v>203</v>
      </c>
      <c r="E591" s="4" t="s">
        <v>19</v>
      </c>
      <c r="F591" s="4" t="s">
        <v>1402</v>
      </c>
      <c r="G591" s="4" t="s">
        <v>1403</v>
      </c>
    </row>
    <row r="592" customFormat="false" ht="46.25" hidden="false" customHeight="false" outlineLevel="0" collapsed="false">
      <c r="A592" s="4" t="s">
        <v>1365</v>
      </c>
      <c r="B592" s="4" t="s">
        <v>249</v>
      </c>
      <c r="C592" s="4" t="s">
        <v>204</v>
      </c>
      <c r="D592" s="4" t="s">
        <v>205</v>
      </c>
      <c r="E592" s="4" t="s">
        <v>20</v>
      </c>
      <c r="F592" s="4" t="s">
        <v>1404</v>
      </c>
      <c r="G592" s="4" t="s">
        <v>1405</v>
      </c>
    </row>
    <row r="593" customFormat="false" ht="23.85" hidden="false" customHeight="false" outlineLevel="0" collapsed="false">
      <c r="A593" s="4" t="s">
        <v>1365</v>
      </c>
      <c r="B593" s="4" t="s">
        <v>249</v>
      </c>
      <c r="C593" s="4" t="s">
        <v>206</v>
      </c>
      <c r="D593" s="4" t="s">
        <v>1217</v>
      </c>
      <c r="E593" s="4" t="s">
        <v>19</v>
      </c>
      <c r="F593" s="4" t="s">
        <v>1406</v>
      </c>
      <c r="G593" s="4" t="s">
        <v>1407</v>
      </c>
    </row>
    <row r="594" customFormat="false" ht="23.85" hidden="false" customHeight="false" outlineLevel="0" collapsed="false">
      <c r="A594" s="4" t="s">
        <v>1365</v>
      </c>
      <c r="B594" s="4" t="s">
        <v>292</v>
      </c>
      <c r="C594" s="4" t="s">
        <v>208</v>
      </c>
      <c r="D594" s="4" t="s">
        <v>209</v>
      </c>
      <c r="E594" s="4" t="s">
        <v>171</v>
      </c>
      <c r="F594" s="4" t="s">
        <v>1408</v>
      </c>
      <c r="G594" s="4" t="s">
        <v>277</v>
      </c>
    </row>
    <row r="595" customFormat="false" ht="23.85" hidden="false" customHeight="false" outlineLevel="0" collapsed="false">
      <c r="A595" s="4" t="s">
        <v>1365</v>
      </c>
      <c r="B595" s="4" t="s">
        <v>292</v>
      </c>
      <c r="C595" s="4" t="s">
        <v>210</v>
      </c>
      <c r="D595" s="4" t="s">
        <v>211</v>
      </c>
      <c r="E595" s="4" t="s">
        <v>171</v>
      </c>
      <c r="F595" s="4" t="s">
        <v>1409</v>
      </c>
      <c r="G595" s="4" t="s">
        <v>277</v>
      </c>
    </row>
    <row r="596" customFormat="false" ht="23.85" hidden="false" customHeight="false" outlineLevel="0" collapsed="false">
      <c r="A596" s="4" t="s">
        <v>1365</v>
      </c>
      <c r="B596" s="4" t="s">
        <v>292</v>
      </c>
      <c r="C596" s="4" t="s">
        <v>212</v>
      </c>
      <c r="D596" s="4" t="s">
        <v>213</v>
      </c>
      <c r="E596" s="4" t="s">
        <v>19</v>
      </c>
      <c r="F596" s="4" t="s">
        <v>1410</v>
      </c>
      <c r="G596" s="4" t="s">
        <v>1411</v>
      </c>
    </row>
    <row r="597" customFormat="false" ht="23.85" hidden="false" customHeight="false" outlineLevel="0" collapsed="false">
      <c r="A597" s="4" t="s">
        <v>1365</v>
      </c>
      <c r="B597" s="4" t="s">
        <v>292</v>
      </c>
      <c r="C597" s="4" t="s">
        <v>214</v>
      </c>
      <c r="D597" s="4" t="s">
        <v>215</v>
      </c>
      <c r="E597" s="4" t="s">
        <v>171</v>
      </c>
      <c r="F597" s="4" t="s">
        <v>1412</v>
      </c>
      <c r="G597" s="4" t="s">
        <v>277</v>
      </c>
    </row>
    <row r="598" customFormat="false" ht="23.85" hidden="false" customHeight="false" outlineLevel="0" collapsed="false">
      <c r="A598" s="4" t="s">
        <v>1365</v>
      </c>
      <c r="B598" s="4" t="s">
        <v>292</v>
      </c>
      <c r="C598" s="4" t="s">
        <v>216</v>
      </c>
      <c r="D598" s="4" t="s">
        <v>217</v>
      </c>
      <c r="E598" s="4" t="s">
        <v>19</v>
      </c>
      <c r="F598" s="4" t="s">
        <v>1413</v>
      </c>
      <c r="G598" s="4" t="s">
        <v>1414</v>
      </c>
    </row>
    <row r="599" customFormat="false" ht="23.85" hidden="false" customHeight="false" outlineLevel="0" collapsed="false">
      <c r="A599" s="4" t="s">
        <v>1365</v>
      </c>
      <c r="B599" s="4" t="s">
        <v>292</v>
      </c>
      <c r="C599" s="4" t="s">
        <v>218</v>
      </c>
      <c r="D599" s="4" t="s">
        <v>219</v>
      </c>
      <c r="E599" s="4" t="s">
        <v>171</v>
      </c>
      <c r="F599" s="4" t="s">
        <v>1415</v>
      </c>
      <c r="G599" s="4" t="s">
        <v>277</v>
      </c>
    </row>
    <row r="600" customFormat="false" ht="23.85" hidden="false" customHeight="false" outlineLevel="0" collapsed="false">
      <c r="A600" s="4" t="s">
        <v>1365</v>
      </c>
      <c r="B600" s="4" t="s">
        <v>292</v>
      </c>
      <c r="C600" s="4" t="s">
        <v>220</v>
      </c>
      <c r="D600" s="4" t="s">
        <v>221</v>
      </c>
      <c r="E600" s="4" t="s">
        <v>19</v>
      </c>
      <c r="F600" s="4" t="s">
        <v>1416</v>
      </c>
      <c r="G600" s="4" t="s">
        <v>1417</v>
      </c>
    </row>
    <row r="601" customFormat="false" ht="23.85" hidden="false" customHeight="false" outlineLevel="0" collapsed="false">
      <c r="A601" s="4" t="s">
        <v>1365</v>
      </c>
      <c r="B601" s="4" t="s">
        <v>292</v>
      </c>
      <c r="C601" s="4" t="s">
        <v>222</v>
      </c>
      <c r="D601" s="4" t="s">
        <v>223</v>
      </c>
      <c r="E601" s="4" t="s">
        <v>19</v>
      </c>
      <c r="F601" s="4" t="s">
        <v>1418</v>
      </c>
      <c r="G601" s="4" t="s">
        <v>504</v>
      </c>
    </row>
    <row r="602" customFormat="false" ht="23.85" hidden="false" customHeight="false" outlineLevel="0" collapsed="false">
      <c r="A602" s="4" t="s">
        <v>1365</v>
      </c>
      <c r="B602" s="4" t="s">
        <v>292</v>
      </c>
      <c r="C602" s="4" t="s">
        <v>224</v>
      </c>
      <c r="D602" s="4" t="s">
        <v>225</v>
      </c>
      <c r="E602" s="4" t="s">
        <v>19</v>
      </c>
      <c r="F602" s="4" t="s">
        <v>1419</v>
      </c>
      <c r="G602" s="4" t="s">
        <v>1420</v>
      </c>
    </row>
    <row r="603" customFormat="false" ht="23.85" hidden="false" customHeight="false" outlineLevel="0" collapsed="false">
      <c r="A603" s="4" t="s">
        <v>1365</v>
      </c>
      <c r="B603" s="4" t="s">
        <v>292</v>
      </c>
      <c r="C603" s="4" t="s">
        <v>226</v>
      </c>
      <c r="D603" s="4" t="s">
        <v>227</v>
      </c>
      <c r="E603" s="4" t="s">
        <v>19</v>
      </c>
      <c r="F603" s="4" t="s">
        <v>1421</v>
      </c>
      <c r="G603" s="4" t="s">
        <v>1422</v>
      </c>
    </row>
    <row r="604" customFormat="false" ht="23.85" hidden="false" customHeight="false" outlineLevel="0" collapsed="false">
      <c r="A604" s="4" t="s">
        <v>1365</v>
      </c>
      <c r="B604" s="4" t="s">
        <v>292</v>
      </c>
      <c r="C604" s="4" t="s">
        <v>228</v>
      </c>
      <c r="D604" s="4" t="s">
        <v>229</v>
      </c>
      <c r="E604" s="4" t="s">
        <v>19</v>
      </c>
      <c r="F604" s="4" t="s">
        <v>1423</v>
      </c>
      <c r="G604" s="4" t="s">
        <v>1424</v>
      </c>
    </row>
    <row r="605" customFormat="false" ht="35.05" hidden="false" customHeight="false" outlineLevel="0" collapsed="false">
      <c r="A605" s="4" t="s">
        <v>1365</v>
      </c>
      <c r="B605" s="4" t="s">
        <v>313</v>
      </c>
      <c r="C605" s="4" t="s">
        <v>230</v>
      </c>
      <c r="D605" s="4" t="s">
        <v>1425</v>
      </c>
      <c r="E605" s="4" t="s">
        <v>171</v>
      </c>
      <c r="F605" s="4" t="s">
        <v>1426</v>
      </c>
      <c r="G605" s="4" t="s">
        <v>1427</v>
      </c>
    </row>
    <row r="606" customFormat="false" ht="35.05" hidden="false" customHeight="false" outlineLevel="0" collapsed="false">
      <c r="A606" s="4" t="s">
        <v>1365</v>
      </c>
      <c r="B606" s="4" t="s">
        <v>313</v>
      </c>
      <c r="C606" s="4" t="s">
        <v>232</v>
      </c>
      <c r="D606" s="4" t="s">
        <v>1428</v>
      </c>
      <c r="E606" s="4" t="s">
        <v>171</v>
      </c>
      <c r="F606" s="4" t="s">
        <v>1429</v>
      </c>
      <c r="G606" s="4" t="s">
        <v>1430</v>
      </c>
    </row>
    <row r="607" customFormat="false" ht="35.05" hidden="false" customHeight="false" outlineLevel="0" collapsed="false">
      <c r="A607" s="4" t="s">
        <v>1365</v>
      </c>
      <c r="B607" s="4" t="s">
        <v>313</v>
      </c>
      <c r="C607" s="4" t="s">
        <v>234</v>
      </c>
      <c r="D607" s="4" t="s">
        <v>1431</v>
      </c>
      <c r="E607" s="4" t="s">
        <v>171</v>
      </c>
      <c r="F607" s="4" t="s">
        <v>1432</v>
      </c>
      <c r="G607" s="4" t="s">
        <v>1433</v>
      </c>
    </row>
    <row r="608" customFormat="false" ht="35.05" hidden="false" customHeight="false" outlineLevel="0" collapsed="false">
      <c r="A608" s="4" t="s">
        <v>1365</v>
      </c>
      <c r="B608" s="4" t="s">
        <v>313</v>
      </c>
      <c r="C608" s="4" t="s">
        <v>236</v>
      </c>
      <c r="D608" s="4" t="s">
        <v>1434</v>
      </c>
      <c r="E608" s="4" t="s">
        <v>19</v>
      </c>
      <c r="F608" s="4" t="s">
        <v>1435</v>
      </c>
      <c r="G608" s="4" t="s">
        <v>1436</v>
      </c>
    </row>
    <row r="609" customFormat="false" ht="35.05" hidden="false" customHeight="false" outlineLevel="0" collapsed="false">
      <c r="A609" s="4" t="s">
        <v>1365</v>
      </c>
      <c r="B609" s="4" t="s">
        <v>313</v>
      </c>
      <c r="C609" s="4" t="s">
        <v>238</v>
      </c>
      <c r="D609" s="4" t="s">
        <v>1437</v>
      </c>
      <c r="E609" s="4" t="s">
        <v>19</v>
      </c>
      <c r="F609" s="4" t="s">
        <v>1438</v>
      </c>
      <c r="G609" s="4" t="s">
        <v>1439</v>
      </c>
    </row>
    <row r="610" customFormat="false" ht="46.25" hidden="false" customHeight="false" outlineLevel="0" collapsed="false">
      <c r="A610" s="4" t="s">
        <v>1365</v>
      </c>
      <c r="B610" s="4" t="s">
        <v>329</v>
      </c>
      <c r="C610" s="4"/>
      <c r="D610" s="4" t="s">
        <v>1440</v>
      </c>
      <c r="E610" s="4" t="s">
        <v>444</v>
      </c>
      <c r="F610" s="4" t="s">
        <v>1441</v>
      </c>
      <c r="G610" s="4"/>
    </row>
    <row r="611" customFormat="false" ht="57.45" hidden="false" customHeight="false" outlineLevel="0" collapsed="false">
      <c r="A611" s="4" t="s">
        <v>1365</v>
      </c>
      <c r="B611" s="4" t="s">
        <v>329</v>
      </c>
      <c r="C611" s="4"/>
      <c r="D611" s="4" t="s">
        <v>1442</v>
      </c>
      <c r="E611" s="4" t="s">
        <v>333</v>
      </c>
      <c r="F611" s="4" t="s">
        <v>1443</v>
      </c>
      <c r="G611" s="4"/>
    </row>
    <row r="612" customFormat="false" ht="35.05" hidden="false" customHeight="false" outlineLevel="0" collapsed="false">
      <c r="A612" s="4" t="s">
        <v>1365</v>
      </c>
      <c r="B612" s="4" t="s">
        <v>329</v>
      </c>
      <c r="C612" s="4"/>
      <c r="D612" s="4" t="s">
        <v>1444</v>
      </c>
      <c r="E612" s="4" t="s">
        <v>333</v>
      </c>
      <c r="F612" s="4" t="s">
        <v>1445</v>
      </c>
      <c r="G612" s="4"/>
    </row>
    <row r="613" customFormat="false" ht="23.85" hidden="false" customHeight="false" outlineLevel="0" collapsed="false">
      <c r="A613" s="4" t="s">
        <v>1365</v>
      </c>
      <c r="B613" s="4" t="s">
        <v>329</v>
      </c>
      <c r="C613" s="4"/>
      <c r="D613" s="4" t="s">
        <v>1446</v>
      </c>
      <c r="E613" s="4" t="s">
        <v>333</v>
      </c>
      <c r="F613" s="4" t="s">
        <v>1447</v>
      </c>
      <c r="G613" s="4"/>
    </row>
    <row r="614" customFormat="false" ht="23.85" hidden="false" customHeight="false" outlineLevel="0" collapsed="false">
      <c r="A614" s="4" t="s">
        <v>1365</v>
      </c>
      <c r="B614" s="4" t="s">
        <v>329</v>
      </c>
      <c r="C614" s="4"/>
      <c r="D614" s="4" t="s">
        <v>852</v>
      </c>
      <c r="E614" s="4" t="s">
        <v>171</v>
      </c>
      <c r="F614" s="4" t="s">
        <v>1448</v>
      </c>
      <c r="G614" s="4"/>
    </row>
    <row r="615" customFormat="false" ht="46.25" hidden="false" customHeight="false" outlineLevel="0" collapsed="false">
      <c r="A615" s="4" t="s">
        <v>1365</v>
      </c>
      <c r="B615" s="4" t="s">
        <v>329</v>
      </c>
      <c r="C615" s="4"/>
      <c r="D615" s="4" t="s">
        <v>1449</v>
      </c>
      <c r="E615" s="4" t="s">
        <v>333</v>
      </c>
      <c r="F615" s="4" t="s">
        <v>1450</v>
      </c>
      <c r="G615" s="4"/>
    </row>
    <row r="616" customFormat="false" ht="46.25" hidden="false" customHeight="false" outlineLevel="0" collapsed="false">
      <c r="A616" s="4" t="s">
        <v>1365</v>
      </c>
      <c r="B616" s="4" t="s">
        <v>329</v>
      </c>
      <c r="C616" s="4"/>
      <c r="D616" s="4" t="s">
        <v>1451</v>
      </c>
      <c r="E616" s="4" t="s">
        <v>333</v>
      </c>
      <c r="F616" s="4" t="s">
        <v>1452</v>
      </c>
      <c r="G616" s="4"/>
    </row>
    <row r="617" customFormat="false" ht="23.85" hidden="false" customHeight="false" outlineLevel="0" collapsed="false">
      <c r="A617" s="4" t="s">
        <v>1365</v>
      </c>
      <c r="B617" s="4" t="s">
        <v>329</v>
      </c>
      <c r="C617" s="4"/>
      <c r="D617" s="4" t="s">
        <v>1453</v>
      </c>
      <c r="E617" s="4" t="s">
        <v>333</v>
      </c>
      <c r="F617" s="4" t="s">
        <v>1454</v>
      </c>
      <c r="G617" s="4"/>
    </row>
    <row r="618" customFormat="false" ht="23.85" hidden="false" customHeight="false" outlineLevel="0" collapsed="false">
      <c r="A618" s="4" t="s">
        <v>1365</v>
      </c>
      <c r="B618" s="4" t="s">
        <v>329</v>
      </c>
      <c r="C618" s="4"/>
      <c r="D618" s="4" t="s">
        <v>547</v>
      </c>
      <c r="E618" s="4" t="s">
        <v>333</v>
      </c>
      <c r="F618" s="4" t="s">
        <v>1455</v>
      </c>
      <c r="G618" s="4"/>
    </row>
    <row r="619" customFormat="false" ht="23.85" hidden="false" customHeight="false" outlineLevel="0" collapsed="false">
      <c r="A619" s="4" t="s">
        <v>1365</v>
      </c>
      <c r="B619" s="4" t="s">
        <v>329</v>
      </c>
      <c r="C619" s="4"/>
      <c r="D619" s="4" t="s">
        <v>1456</v>
      </c>
      <c r="E619" s="4" t="s">
        <v>171</v>
      </c>
      <c r="F619" s="4" t="s">
        <v>1457</v>
      </c>
      <c r="G619" s="4"/>
    </row>
    <row r="620" customFormat="false" ht="23.85" hidden="false" customHeight="false" outlineLevel="0" collapsed="false">
      <c r="A620" s="4" t="s">
        <v>1365</v>
      </c>
      <c r="B620" s="4" t="s">
        <v>329</v>
      </c>
      <c r="C620" s="4"/>
      <c r="D620" s="4" t="s">
        <v>1458</v>
      </c>
      <c r="E620" s="4" t="s">
        <v>171</v>
      </c>
      <c r="F620" s="4" t="s">
        <v>1459</v>
      </c>
      <c r="G620" s="4"/>
    </row>
    <row r="621" customFormat="false" ht="23.85" hidden="false" customHeight="false" outlineLevel="0" collapsed="false">
      <c r="A621" s="4" t="s">
        <v>1365</v>
      </c>
      <c r="B621" s="4" t="s">
        <v>329</v>
      </c>
      <c r="C621" s="4"/>
      <c r="D621" s="4" t="s">
        <v>1460</v>
      </c>
      <c r="E621" s="4" t="s">
        <v>333</v>
      </c>
      <c r="F621" s="4" t="s">
        <v>1461</v>
      </c>
      <c r="G621" s="4"/>
    </row>
    <row r="622" customFormat="false" ht="23.85" hidden="false" customHeight="false" outlineLevel="0" collapsed="false">
      <c r="A622" s="4" t="s">
        <v>1365</v>
      </c>
      <c r="B622" s="4" t="s">
        <v>329</v>
      </c>
      <c r="C622" s="4"/>
      <c r="D622" s="4" t="s">
        <v>343</v>
      </c>
      <c r="E622" s="4" t="s">
        <v>171</v>
      </c>
      <c r="F622" s="4" t="s">
        <v>1462</v>
      </c>
      <c r="G622" s="4"/>
    </row>
    <row r="623" customFormat="false" ht="46.25" hidden="false" customHeight="false" outlineLevel="0" collapsed="false">
      <c r="A623" s="4" t="s">
        <v>1463</v>
      </c>
      <c r="B623" s="4" t="s">
        <v>249</v>
      </c>
      <c r="C623" s="4" t="s">
        <v>165</v>
      </c>
      <c r="D623" s="4" t="s">
        <v>1464</v>
      </c>
      <c r="E623" s="4" t="s">
        <v>19</v>
      </c>
      <c r="F623" s="4" t="s">
        <v>1465</v>
      </c>
      <c r="G623" s="4" t="s">
        <v>1466</v>
      </c>
    </row>
    <row r="624" customFormat="false" ht="23.85" hidden="false" customHeight="false" outlineLevel="0" collapsed="false">
      <c r="A624" s="4" t="s">
        <v>1463</v>
      </c>
      <c r="B624" s="4" t="s">
        <v>249</v>
      </c>
      <c r="C624" s="4" t="s">
        <v>167</v>
      </c>
      <c r="D624" s="4" t="s">
        <v>1467</v>
      </c>
      <c r="E624" s="4" t="s">
        <v>19</v>
      </c>
      <c r="F624" s="4" t="s">
        <v>1468</v>
      </c>
      <c r="G624" s="4" t="s">
        <v>1469</v>
      </c>
    </row>
    <row r="625" customFormat="false" ht="35.05" hidden="false" customHeight="false" outlineLevel="0" collapsed="false">
      <c r="A625" s="4" t="s">
        <v>1463</v>
      </c>
      <c r="B625" s="4" t="s">
        <v>249</v>
      </c>
      <c r="C625" s="4" t="s">
        <v>169</v>
      </c>
      <c r="D625" s="4" t="s">
        <v>651</v>
      </c>
      <c r="E625" s="4" t="s">
        <v>19</v>
      </c>
      <c r="F625" s="4" t="s">
        <v>1470</v>
      </c>
      <c r="G625" s="4" t="s">
        <v>1471</v>
      </c>
    </row>
    <row r="626" customFormat="false" ht="35.05" hidden="false" customHeight="false" outlineLevel="0" collapsed="false">
      <c r="A626" s="4" t="s">
        <v>1463</v>
      </c>
      <c r="B626" s="4" t="s">
        <v>249</v>
      </c>
      <c r="C626" s="4" t="s">
        <v>172</v>
      </c>
      <c r="D626" s="4" t="s">
        <v>654</v>
      </c>
      <c r="E626" s="4" t="s">
        <v>19</v>
      </c>
      <c r="F626" s="4" t="s">
        <v>1472</v>
      </c>
      <c r="G626" s="4" t="s">
        <v>1473</v>
      </c>
    </row>
    <row r="627" customFormat="false" ht="46.25" hidden="false" customHeight="false" outlineLevel="0" collapsed="false">
      <c r="A627" s="4" t="s">
        <v>1463</v>
      </c>
      <c r="B627" s="4" t="s">
        <v>249</v>
      </c>
      <c r="C627" s="4" t="s">
        <v>174</v>
      </c>
      <c r="D627" s="4" t="s">
        <v>1474</v>
      </c>
      <c r="E627" s="4" t="s">
        <v>19</v>
      </c>
      <c r="F627" s="4" t="s">
        <v>1475</v>
      </c>
      <c r="G627" s="4" t="s">
        <v>1476</v>
      </c>
    </row>
    <row r="628" customFormat="false" ht="35.05" hidden="false" customHeight="false" outlineLevel="0" collapsed="false">
      <c r="A628" s="4" t="s">
        <v>1463</v>
      </c>
      <c r="B628" s="4" t="s">
        <v>249</v>
      </c>
      <c r="C628" s="4" t="s">
        <v>176</v>
      </c>
      <c r="D628" s="4" t="s">
        <v>1477</v>
      </c>
      <c r="E628" s="4" t="s">
        <v>19</v>
      </c>
      <c r="F628" s="4" t="s">
        <v>1478</v>
      </c>
      <c r="G628" s="4" t="s">
        <v>1479</v>
      </c>
    </row>
    <row r="629" customFormat="false" ht="23.85" hidden="false" customHeight="false" outlineLevel="0" collapsed="false">
      <c r="A629" s="4" t="s">
        <v>1463</v>
      </c>
      <c r="B629" s="4" t="s">
        <v>249</v>
      </c>
      <c r="C629" s="4" t="s">
        <v>178</v>
      </c>
      <c r="D629" s="4" t="s">
        <v>1480</v>
      </c>
      <c r="E629" s="4" t="s">
        <v>171</v>
      </c>
      <c r="F629" s="4" t="s">
        <v>1481</v>
      </c>
      <c r="G629" s="4" t="s">
        <v>1482</v>
      </c>
    </row>
    <row r="630" customFormat="false" ht="35.05" hidden="false" customHeight="false" outlineLevel="0" collapsed="false">
      <c r="A630" s="4" t="s">
        <v>1463</v>
      </c>
      <c r="B630" s="4" t="s">
        <v>249</v>
      </c>
      <c r="C630" s="4" t="s">
        <v>180</v>
      </c>
      <c r="D630" s="4" t="s">
        <v>665</v>
      </c>
      <c r="E630" s="4" t="s">
        <v>19</v>
      </c>
      <c r="F630" s="4" t="s">
        <v>1483</v>
      </c>
      <c r="G630" s="4" t="s">
        <v>1484</v>
      </c>
    </row>
    <row r="631" customFormat="false" ht="23.85" hidden="false" customHeight="false" outlineLevel="0" collapsed="false">
      <c r="A631" s="4" t="s">
        <v>1463</v>
      </c>
      <c r="B631" s="4" t="s">
        <v>249</v>
      </c>
      <c r="C631" s="4" t="s">
        <v>182</v>
      </c>
      <c r="D631" s="4" t="s">
        <v>1485</v>
      </c>
      <c r="E631" s="4" t="s">
        <v>19</v>
      </c>
      <c r="F631" s="4" t="s">
        <v>1486</v>
      </c>
      <c r="G631" s="4" t="s">
        <v>1487</v>
      </c>
    </row>
    <row r="632" customFormat="false" ht="23.85" hidden="false" customHeight="false" outlineLevel="0" collapsed="false">
      <c r="A632" s="4" t="s">
        <v>1463</v>
      </c>
      <c r="B632" s="4" t="s">
        <v>249</v>
      </c>
      <c r="C632" s="4" t="s">
        <v>184</v>
      </c>
      <c r="D632" s="4" t="s">
        <v>1488</v>
      </c>
      <c r="E632" s="4" t="s">
        <v>20</v>
      </c>
      <c r="F632" s="4" t="s">
        <v>1489</v>
      </c>
      <c r="G632" s="4" t="s">
        <v>1490</v>
      </c>
    </row>
    <row r="633" customFormat="false" ht="23.85" hidden="false" customHeight="false" outlineLevel="0" collapsed="false">
      <c r="A633" s="4" t="s">
        <v>1463</v>
      </c>
      <c r="B633" s="4" t="s">
        <v>249</v>
      </c>
      <c r="C633" s="4" t="s">
        <v>186</v>
      </c>
      <c r="D633" s="4" t="s">
        <v>187</v>
      </c>
      <c r="E633" s="4" t="s">
        <v>20</v>
      </c>
      <c r="F633" s="4" t="s">
        <v>1491</v>
      </c>
      <c r="G633" s="4" t="s">
        <v>1492</v>
      </c>
    </row>
    <row r="634" customFormat="false" ht="23.85" hidden="false" customHeight="false" outlineLevel="0" collapsed="false">
      <c r="A634" s="4" t="s">
        <v>1463</v>
      </c>
      <c r="B634" s="4" t="s">
        <v>249</v>
      </c>
      <c r="C634" s="4" t="s">
        <v>188</v>
      </c>
      <c r="D634" s="4" t="s">
        <v>189</v>
      </c>
      <c r="E634" s="4" t="s">
        <v>19</v>
      </c>
      <c r="F634" s="4" t="s">
        <v>1493</v>
      </c>
      <c r="G634" s="4" t="s">
        <v>1494</v>
      </c>
    </row>
    <row r="635" customFormat="false" ht="23.85" hidden="false" customHeight="false" outlineLevel="0" collapsed="false">
      <c r="A635" s="4" t="s">
        <v>1463</v>
      </c>
      <c r="B635" s="4" t="s">
        <v>249</v>
      </c>
      <c r="C635" s="4" t="s">
        <v>190</v>
      </c>
      <c r="D635" s="4" t="s">
        <v>676</v>
      </c>
      <c r="E635" s="4" t="s">
        <v>19</v>
      </c>
      <c r="F635" s="4" t="s">
        <v>1495</v>
      </c>
      <c r="G635" s="4" t="s">
        <v>1496</v>
      </c>
    </row>
    <row r="636" customFormat="false" ht="35.05" hidden="false" customHeight="false" outlineLevel="0" collapsed="false">
      <c r="A636" s="4" t="s">
        <v>1463</v>
      </c>
      <c r="B636" s="4" t="s">
        <v>249</v>
      </c>
      <c r="C636" s="4" t="s">
        <v>192</v>
      </c>
      <c r="D636" s="4" t="s">
        <v>193</v>
      </c>
      <c r="E636" s="4" t="s">
        <v>19</v>
      </c>
      <c r="F636" s="4" t="s">
        <v>1497</v>
      </c>
      <c r="G636" s="4" t="s">
        <v>1498</v>
      </c>
    </row>
    <row r="637" customFormat="false" ht="23.85" hidden="false" customHeight="false" outlineLevel="0" collapsed="false">
      <c r="A637" s="4" t="s">
        <v>1463</v>
      </c>
      <c r="B637" s="4" t="s">
        <v>249</v>
      </c>
      <c r="C637" s="4" t="s">
        <v>194</v>
      </c>
      <c r="D637" s="4" t="s">
        <v>681</v>
      </c>
      <c r="E637" s="4" t="s">
        <v>19</v>
      </c>
      <c r="F637" s="4" t="s">
        <v>1499</v>
      </c>
      <c r="G637" s="4" t="s">
        <v>1500</v>
      </c>
    </row>
    <row r="638" customFormat="false" ht="23.85" hidden="false" customHeight="false" outlineLevel="0" collapsed="false">
      <c r="A638" s="4" t="s">
        <v>1463</v>
      </c>
      <c r="B638" s="4" t="s">
        <v>249</v>
      </c>
      <c r="C638" s="4" t="s">
        <v>196</v>
      </c>
      <c r="D638" s="4" t="s">
        <v>1501</v>
      </c>
      <c r="E638" s="4" t="s">
        <v>19</v>
      </c>
      <c r="F638" s="4" t="s">
        <v>1502</v>
      </c>
      <c r="G638" s="4" t="s">
        <v>1503</v>
      </c>
    </row>
    <row r="639" customFormat="false" ht="35.05" hidden="false" customHeight="false" outlineLevel="0" collapsed="false">
      <c r="A639" s="4" t="s">
        <v>1463</v>
      </c>
      <c r="B639" s="4" t="s">
        <v>249</v>
      </c>
      <c r="C639" s="4" t="s">
        <v>198</v>
      </c>
      <c r="D639" s="4" t="s">
        <v>199</v>
      </c>
      <c r="E639" s="4" t="s">
        <v>19</v>
      </c>
      <c r="F639" s="4" t="s">
        <v>1504</v>
      </c>
      <c r="G639" s="4" t="s">
        <v>1505</v>
      </c>
    </row>
    <row r="640" customFormat="false" ht="23.85" hidden="false" customHeight="false" outlineLevel="0" collapsed="false">
      <c r="A640" s="4" t="s">
        <v>1463</v>
      </c>
      <c r="B640" s="4" t="s">
        <v>249</v>
      </c>
      <c r="C640" s="4" t="s">
        <v>200</v>
      </c>
      <c r="D640" s="4" t="s">
        <v>201</v>
      </c>
      <c r="E640" s="4" t="s">
        <v>20</v>
      </c>
      <c r="F640" s="4" t="s">
        <v>1506</v>
      </c>
      <c r="G640" s="4" t="s">
        <v>1507</v>
      </c>
    </row>
    <row r="641" customFormat="false" ht="23.85" hidden="false" customHeight="false" outlineLevel="0" collapsed="false">
      <c r="A641" s="4" t="s">
        <v>1463</v>
      </c>
      <c r="B641" s="4" t="s">
        <v>249</v>
      </c>
      <c r="C641" s="4" t="s">
        <v>202</v>
      </c>
      <c r="D641" s="4" t="s">
        <v>1508</v>
      </c>
      <c r="E641" s="4" t="s">
        <v>19</v>
      </c>
      <c r="F641" s="4" t="s">
        <v>1509</v>
      </c>
      <c r="G641" s="4" t="s">
        <v>1510</v>
      </c>
    </row>
    <row r="642" customFormat="false" ht="35.05" hidden="false" customHeight="false" outlineLevel="0" collapsed="false">
      <c r="A642" s="4" t="s">
        <v>1463</v>
      </c>
      <c r="B642" s="4" t="s">
        <v>249</v>
      </c>
      <c r="C642" s="4" t="s">
        <v>204</v>
      </c>
      <c r="D642" s="4" t="s">
        <v>692</v>
      </c>
      <c r="E642" s="4" t="s">
        <v>20</v>
      </c>
      <c r="F642" s="4" t="s">
        <v>1511</v>
      </c>
      <c r="G642" s="4" t="s">
        <v>1512</v>
      </c>
    </row>
    <row r="643" customFormat="false" ht="35.05" hidden="false" customHeight="false" outlineLevel="0" collapsed="false">
      <c r="A643" s="4" t="s">
        <v>1463</v>
      </c>
      <c r="B643" s="4" t="s">
        <v>249</v>
      </c>
      <c r="C643" s="4" t="s">
        <v>206</v>
      </c>
      <c r="D643" s="4" t="s">
        <v>695</v>
      </c>
      <c r="E643" s="4" t="s">
        <v>19</v>
      </c>
      <c r="F643" s="4" t="s">
        <v>1513</v>
      </c>
      <c r="G643" s="4" t="s">
        <v>1514</v>
      </c>
    </row>
    <row r="644" customFormat="false" ht="23.85" hidden="false" customHeight="false" outlineLevel="0" collapsed="false">
      <c r="A644" s="4" t="s">
        <v>1463</v>
      </c>
      <c r="B644" s="4" t="s">
        <v>292</v>
      </c>
      <c r="C644" s="4" t="s">
        <v>208</v>
      </c>
      <c r="D644" s="4" t="s">
        <v>209</v>
      </c>
      <c r="E644" s="4" t="s">
        <v>19</v>
      </c>
      <c r="F644" s="4" t="s">
        <v>1515</v>
      </c>
      <c r="G644" s="4" t="s">
        <v>1516</v>
      </c>
    </row>
    <row r="645" customFormat="false" ht="23.85" hidden="false" customHeight="false" outlineLevel="0" collapsed="false">
      <c r="A645" s="4" t="s">
        <v>1463</v>
      </c>
      <c r="B645" s="4" t="s">
        <v>292</v>
      </c>
      <c r="C645" s="4" t="s">
        <v>210</v>
      </c>
      <c r="D645" s="4" t="s">
        <v>211</v>
      </c>
      <c r="E645" s="4" t="s">
        <v>19</v>
      </c>
      <c r="F645" s="4" t="s">
        <v>1517</v>
      </c>
      <c r="G645" s="4" t="s">
        <v>1518</v>
      </c>
    </row>
    <row r="646" customFormat="false" ht="23.85" hidden="false" customHeight="false" outlineLevel="0" collapsed="false">
      <c r="A646" s="4" t="s">
        <v>1463</v>
      </c>
      <c r="B646" s="4" t="s">
        <v>292</v>
      </c>
      <c r="C646" s="4" t="s">
        <v>212</v>
      </c>
      <c r="D646" s="4" t="s">
        <v>213</v>
      </c>
      <c r="E646" s="4" t="s">
        <v>19</v>
      </c>
      <c r="F646" s="4" t="s">
        <v>1519</v>
      </c>
      <c r="G646" s="4" t="s">
        <v>1520</v>
      </c>
    </row>
    <row r="647" customFormat="false" ht="23.85" hidden="false" customHeight="false" outlineLevel="0" collapsed="false">
      <c r="A647" s="4" t="s">
        <v>1463</v>
      </c>
      <c r="B647" s="4" t="s">
        <v>292</v>
      </c>
      <c r="C647" s="4" t="s">
        <v>214</v>
      </c>
      <c r="D647" s="4" t="s">
        <v>215</v>
      </c>
      <c r="E647" s="4" t="s">
        <v>171</v>
      </c>
      <c r="F647" s="4" t="s">
        <v>1521</v>
      </c>
      <c r="G647" s="4" t="s">
        <v>1522</v>
      </c>
    </row>
    <row r="648" customFormat="false" ht="23.85" hidden="false" customHeight="false" outlineLevel="0" collapsed="false">
      <c r="A648" s="4" t="s">
        <v>1463</v>
      </c>
      <c r="B648" s="4" t="s">
        <v>292</v>
      </c>
      <c r="C648" s="4" t="s">
        <v>216</v>
      </c>
      <c r="D648" s="4" t="s">
        <v>217</v>
      </c>
      <c r="E648" s="4" t="s">
        <v>19</v>
      </c>
      <c r="F648" s="4" t="s">
        <v>1523</v>
      </c>
      <c r="G648" s="4" t="s">
        <v>1524</v>
      </c>
    </row>
    <row r="649" customFormat="false" ht="23.85" hidden="false" customHeight="false" outlineLevel="0" collapsed="false">
      <c r="A649" s="4" t="s">
        <v>1463</v>
      </c>
      <c r="B649" s="4" t="s">
        <v>292</v>
      </c>
      <c r="C649" s="4" t="s">
        <v>218</v>
      </c>
      <c r="D649" s="4" t="s">
        <v>219</v>
      </c>
      <c r="E649" s="4" t="s">
        <v>19</v>
      </c>
      <c r="F649" s="4" t="s">
        <v>1525</v>
      </c>
      <c r="G649" s="4" t="s">
        <v>1526</v>
      </c>
    </row>
    <row r="650" customFormat="false" ht="23.85" hidden="false" customHeight="false" outlineLevel="0" collapsed="false">
      <c r="A650" s="4" t="s">
        <v>1463</v>
      </c>
      <c r="B650" s="4" t="s">
        <v>292</v>
      </c>
      <c r="C650" s="4" t="s">
        <v>220</v>
      </c>
      <c r="D650" s="4" t="s">
        <v>221</v>
      </c>
      <c r="E650" s="4" t="s">
        <v>19</v>
      </c>
      <c r="F650" s="4" t="s">
        <v>1527</v>
      </c>
      <c r="G650" s="4" t="s">
        <v>1528</v>
      </c>
    </row>
    <row r="651" customFormat="false" ht="23.85" hidden="false" customHeight="false" outlineLevel="0" collapsed="false">
      <c r="A651" s="4" t="s">
        <v>1463</v>
      </c>
      <c r="B651" s="4" t="s">
        <v>292</v>
      </c>
      <c r="C651" s="4" t="s">
        <v>222</v>
      </c>
      <c r="D651" s="4" t="s">
        <v>223</v>
      </c>
      <c r="E651" s="4" t="s">
        <v>20</v>
      </c>
      <c r="F651" s="4" t="s">
        <v>1529</v>
      </c>
      <c r="G651" s="4" t="s">
        <v>1530</v>
      </c>
    </row>
    <row r="652" customFormat="false" ht="23.85" hidden="false" customHeight="false" outlineLevel="0" collapsed="false">
      <c r="A652" s="4" t="s">
        <v>1463</v>
      </c>
      <c r="B652" s="4" t="s">
        <v>292</v>
      </c>
      <c r="C652" s="4" t="s">
        <v>224</v>
      </c>
      <c r="D652" s="4" t="s">
        <v>225</v>
      </c>
      <c r="E652" s="4" t="s">
        <v>19</v>
      </c>
      <c r="F652" s="4" t="s">
        <v>1531</v>
      </c>
      <c r="G652" s="4" t="s">
        <v>1532</v>
      </c>
    </row>
    <row r="653" customFormat="false" ht="23.85" hidden="false" customHeight="false" outlineLevel="0" collapsed="false">
      <c r="A653" s="4" t="s">
        <v>1463</v>
      </c>
      <c r="B653" s="4" t="s">
        <v>292</v>
      </c>
      <c r="C653" s="4" t="s">
        <v>226</v>
      </c>
      <c r="D653" s="4" t="s">
        <v>227</v>
      </c>
      <c r="E653" s="4" t="s">
        <v>20</v>
      </c>
      <c r="F653" s="4" t="s">
        <v>1533</v>
      </c>
      <c r="G653" s="4" t="s">
        <v>1534</v>
      </c>
    </row>
    <row r="654" customFormat="false" ht="23.85" hidden="false" customHeight="false" outlineLevel="0" collapsed="false">
      <c r="A654" s="4" t="s">
        <v>1463</v>
      </c>
      <c r="B654" s="4" t="s">
        <v>292</v>
      </c>
      <c r="C654" s="4" t="s">
        <v>228</v>
      </c>
      <c r="D654" s="4" t="s">
        <v>229</v>
      </c>
      <c r="E654" s="4" t="s">
        <v>19</v>
      </c>
      <c r="F654" s="4" t="s">
        <v>1535</v>
      </c>
      <c r="G654" s="4" t="s">
        <v>1536</v>
      </c>
    </row>
    <row r="655" customFormat="false" ht="35.05" hidden="false" customHeight="false" outlineLevel="0" collapsed="false">
      <c r="A655" s="4" t="s">
        <v>1463</v>
      </c>
      <c r="B655" s="4" t="s">
        <v>313</v>
      </c>
      <c r="C655" s="4" t="s">
        <v>230</v>
      </c>
      <c r="D655" s="4" t="s">
        <v>1537</v>
      </c>
      <c r="E655" s="4" t="s">
        <v>171</v>
      </c>
      <c r="F655" s="4" t="s">
        <v>1538</v>
      </c>
      <c r="G655" s="4" t="s">
        <v>1539</v>
      </c>
    </row>
    <row r="656" customFormat="false" ht="46.25" hidden="false" customHeight="false" outlineLevel="0" collapsed="false">
      <c r="A656" s="4" t="s">
        <v>1463</v>
      </c>
      <c r="B656" s="4" t="s">
        <v>313</v>
      </c>
      <c r="C656" s="4" t="s">
        <v>232</v>
      </c>
      <c r="D656" s="4" t="s">
        <v>1540</v>
      </c>
      <c r="E656" s="4" t="s">
        <v>19</v>
      </c>
      <c r="F656" s="4" t="s">
        <v>1541</v>
      </c>
      <c r="G656" s="4" t="s">
        <v>1542</v>
      </c>
    </row>
    <row r="657" customFormat="false" ht="23.85" hidden="false" customHeight="false" outlineLevel="0" collapsed="false">
      <c r="A657" s="4" t="s">
        <v>1463</v>
      </c>
      <c r="B657" s="4" t="s">
        <v>313</v>
      </c>
      <c r="C657" s="4" t="s">
        <v>234</v>
      </c>
      <c r="D657" s="4" t="s">
        <v>1543</v>
      </c>
      <c r="E657" s="4" t="s">
        <v>19</v>
      </c>
      <c r="F657" s="4" t="s">
        <v>1544</v>
      </c>
      <c r="G657" s="4" t="s">
        <v>1545</v>
      </c>
    </row>
    <row r="658" customFormat="false" ht="35.05" hidden="false" customHeight="false" outlineLevel="0" collapsed="false">
      <c r="A658" s="4" t="s">
        <v>1463</v>
      </c>
      <c r="B658" s="4" t="s">
        <v>313</v>
      </c>
      <c r="C658" s="4" t="s">
        <v>236</v>
      </c>
      <c r="D658" s="4" t="s">
        <v>1546</v>
      </c>
      <c r="E658" s="4" t="s">
        <v>19</v>
      </c>
      <c r="F658" s="4" t="s">
        <v>1547</v>
      </c>
      <c r="G658" s="4" t="s">
        <v>1548</v>
      </c>
    </row>
    <row r="659" customFormat="false" ht="35.05" hidden="false" customHeight="false" outlineLevel="0" collapsed="false">
      <c r="A659" s="4" t="s">
        <v>1463</v>
      </c>
      <c r="B659" s="4" t="s">
        <v>313</v>
      </c>
      <c r="C659" s="4" t="s">
        <v>238</v>
      </c>
      <c r="D659" s="4" t="s">
        <v>1549</v>
      </c>
      <c r="E659" s="4" t="s">
        <v>19</v>
      </c>
      <c r="F659" s="4" t="s">
        <v>1550</v>
      </c>
      <c r="G659" s="4" t="s">
        <v>1551</v>
      </c>
    </row>
    <row r="660" customFormat="false" ht="35.05" hidden="false" customHeight="false" outlineLevel="0" collapsed="false">
      <c r="A660" s="4" t="s">
        <v>1463</v>
      </c>
      <c r="B660" s="4" t="s">
        <v>329</v>
      </c>
      <c r="C660" s="4"/>
      <c r="D660" s="4" t="s">
        <v>1552</v>
      </c>
      <c r="E660" s="4" t="s">
        <v>444</v>
      </c>
      <c r="F660" s="4" t="s">
        <v>1553</v>
      </c>
      <c r="G660" s="4"/>
    </row>
    <row r="661" customFormat="false" ht="46.25" hidden="false" customHeight="false" outlineLevel="0" collapsed="false">
      <c r="A661" s="4" t="s">
        <v>1463</v>
      </c>
      <c r="B661" s="4" t="s">
        <v>329</v>
      </c>
      <c r="C661" s="4"/>
      <c r="D661" s="4" t="s">
        <v>1554</v>
      </c>
      <c r="E661" s="4" t="s">
        <v>444</v>
      </c>
      <c r="F661" s="4" t="s">
        <v>1555</v>
      </c>
      <c r="G661" s="4"/>
    </row>
    <row r="662" customFormat="false" ht="23.85" hidden="false" customHeight="false" outlineLevel="0" collapsed="false">
      <c r="A662" s="4" t="s">
        <v>1463</v>
      </c>
      <c r="B662" s="4" t="s">
        <v>329</v>
      </c>
      <c r="C662" s="4"/>
      <c r="D662" s="4" t="s">
        <v>1556</v>
      </c>
      <c r="E662" s="4" t="s">
        <v>171</v>
      </c>
      <c r="F662" s="4" t="s">
        <v>1557</v>
      </c>
      <c r="G662" s="4"/>
    </row>
    <row r="663" customFormat="false" ht="35.05" hidden="false" customHeight="false" outlineLevel="0" collapsed="false">
      <c r="A663" s="4" t="s">
        <v>1463</v>
      </c>
      <c r="B663" s="4" t="s">
        <v>329</v>
      </c>
      <c r="C663" s="4"/>
      <c r="D663" s="4" t="s">
        <v>1558</v>
      </c>
      <c r="E663" s="4" t="s">
        <v>333</v>
      </c>
      <c r="F663" s="4" t="s">
        <v>1559</v>
      </c>
      <c r="G663" s="4"/>
    </row>
    <row r="664" customFormat="false" ht="23.85" hidden="false" customHeight="false" outlineLevel="0" collapsed="false">
      <c r="A664" s="4" t="s">
        <v>1463</v>
      </c>
      <c r="B664" s="4" t="s">
        <v>329</v>
      </c>
      <c r="C664" s="4"/>
      <c r="D664" s="4" t="s">
        <v>1560</v>
      </c>
      <c r="E664" s="4" t="s">
        <v>333</v>
      </c>
      <c r="F664" s="4" t="s">
        <v>1561</v>
      </c>
      <c r="G664" s="4"/>
    </row>
    <row r="665" customFormat="false" ht="46.25" hidden="false" customHeight="false" outlineLevel="0" collapsed="false">
      <c r="A665" s="4" t="s">
        <v>1463</v>
      </c>
      <c r="B665" s="4" t="s">
        <v>329</v>
      </c>
      <c r="C665" s="4"/>
      <c r="D665" s="4" t="s">
        <v>1562</v>
      </c>
      <c r="E665" s="4" t="s">
        <v>333</v>
      </c>
      <c r="F665" s="4" t="s">
        <v>1563</v>
      </c>
      <c r="G665" s="4"/>
    </row>
    <row r="666" customFormat="false" ht="23.85" hidden="false" customHeight="false" outlineLevel="0" collapsed="false">
      <c r="A666" s="4" t="s">
        <v>1463</v>
      </c>
      <c r="B666" s="4" t="s">
        <v>329</v>
      </c>
      <c r="C666" s="4"/>
      <c r="D666" s="4" t="s">
        <v>1564</v>
      </c>
      <c r="E666" s="4" t="s">
        <v>333</v>
      </c>
      <c r="F666" s="4" t="s">
        <v>1565</v>
      </c>
      <c r="G666" s="4"/>
    </row>
    <row r="667" customFormat="false" ht="23.85" hidden="false" customHeight="false" outlineLevel="0" collapsed="false">
      <c r="A667" s="4" t="s">
        <v>1463</v>
      </c>
      <c r="B667" s="4" t="s">
        <v>329</v>
      </c>
      <c r="C667" s="4"/>
      <c r="D667" s="4" t="s">
        <v>1566</v>
      </c>
      <c r="E667" s="4" t="s">
        <v>333</v>
      </c>
      <c r="F667" s="4" t="s">
        <v>1567</v>
      </c>
      <c r="G667" s="4"/>
    </row>
    <row r="668" customFormat="false" ht="23.85" hidden="false" customHeight="false" outlineLevel="0" collapsed="false">
      <c r="A668" s="4" t="s">
        <v>1463</v>
      </c>
      <c r="B668" s="4" t="s">
        <v>329</v>
      </c>
      <c r="C668" s="4"/>
      <c r="D668" s="4" t="s">
        <v>753</v>
      </c>
      <c r="E668" s="4" t="s">
        <v>171</v>
      </c>
      <c r="F668" s="4" t="s">
        <v>1568</v>
      </c>
      <c r="G668" s="4"/>
    </row>
    <row r="669" customFormat="false" ht="23.85" hidden="false" customHeight="false" outlineLevel="0" collapsed="false">
      <c r="A669" s="4" t="s">
        <v>1463</v>
      </c>
      <c r="B669" s="4" t="s">
        <v>329</v>
      </c>
      <c r="C669" s="4"/>
      <c r="D669" s="4" t="s">
        <v>1569</v>
      </c>
      <c r="E669" s="4" t="s">
        <v>333</v>
      </c>
      <c r="F669" s="4" t="s">
        <v>1570</v>
      </c>
      <c r="G669" s="4"/>
    </row>
    <row r="670" customFormat="false" ht="23.85" hidden="false" customHeight="false" outlineLevel="0" collapsed="false">
      <c r="A670" s="4" t="s">
        <v>1463</v>
      </c>
      <c r="B670" s="4" t="s">
        <v>329</v>
      </c>
      <c r="C670" s="4"/>
      <c r="D670" s="4" t="s">
        <v>452</v>
      </c>
      <c r="E670" s="4" t="s">
        <v>333</v>
      </c>
      <c r="F670" s="4" t="s">
        <v>1571</v>
      </c>
      <c r="G670" s="4"/>
    </row>
    <row r="671" customFormat="false" ht="23.85" hidden="false" customHeight="false" outlineLevel="0" collapsed="false">
      <c r="A671" s="4" t="s">
        <v>1463</v>
      </c>
      <c r="B671" s="4" t="s">
        <v>329</v>
      </c>
      <c r="C671" s="4"/>
      <c r="D671" s="4" t="s">
        <v>1572</v>
      </c>
      <c r="E671" s="4" t="s">
        <v>171</v>
      </c>
      <c r="F671" s="4" t="s">
        <v>1573</v>
      </c>
      <c r="G671" s="4"/>
    </row>
    <row r="672" customFormat="false" ht="35.05" hidden="false" customHeight="false" outlineLevel="0" collapsed="false">
      <c r="A672" s="4" t="s">
        <v>1574</v>
      </c>
      <c r="B672" s="4" t="s">
        <v>249</v>
      </c>
      <c r="C672" s="4" t="s">
        <v>165</v>
      </c>
      <c r="D672" s="4" t="s">
        <v>1464</v>
      </c>
      <c r="E672" s="4" t="s">
        <v>19</v>
      </c>
      <c r="F672" s="4" t="s">
        <v>1575</v>
      </c>
      <c r="G672" s="4" t="s">
        <v>1576</v>
      </c>
    </row>
    <row r="673" customFormat="false" ht="23.85" hidden="false" customHeight="false" outlineLevel="0" collapsed="false">
      <c r="A673" s="4" t="s">
        <v>1574</v>
      </c>
      <c r="B673" s="4" t="s">
        <v>249</v>
      </c>
      <c r="C673" s="4" t="s">
        <v>167</v>
      </c>
      <c r="D673" s="4" t="s">
        <v>1467</v>
      </c>
      <c r="E673" s="4" t="s">
        <v>19</v>
      </c>
      <c r="F673" s="4" t="s">
        <v>1577</v>
      </c>
      <c r="G673" s="4" t="s">
        <v>1578</v>
      </c>
    </row>
    <row r="674" customFormat="false" ht="23.85" hidden="false" customHeight="false" outlineLevel="0" collapsed="false">
      <c r="A674" s="4" t="s">
        <v>1574</v>
      </c>
      <c r="B674" s="4" t="s">
        <v>249</v>
      </c>
      <c r="C674" s="4" t="s">
        <v>169</v>
      </c>
      <c r="D674" s="4" t="s">
        <v>651</v>
      </c>
      <c r="E674" s="4" t="s">
        <v>171</v>
      </c>
      <c r="F674" s="4" t="s">
        <v>1579</v>
      </c>
      <c r="G674" s="4" t="s">
        <v>1580</v>
      </c>
    </row>
    <row r="675" customFormat="false" ht="23.85" hidden="false" customHeight="false" outlineLevel="0" collapsed="false">
      <c r="A675" s="4" t="s">
        <v>1574</v>
      </c>
      <c r="B675" s="4" t="s">
        <v>249</v>
      </c>
      <c r="C675" s="4" t="s">
        <v>172</v>
      </c>
      <c r="D675" s="4" t="s">
        <v>654</v>
      </c>
      <c r="E675" s="4" t="s">
        <v>171</v>
      </c>
      <c r="F675" s="4" t="s">
        <v>1581</v>
      </c>
      <c r="G675" s="4" t="s">
        <v>1582</v>
      </c>
    </row>
    <row r="676" customFormat="false" ht="46.25" hidden="false" customHeight="false" outlineLevel="0" collapsed="false">
      <c r="A676" s="4" t="s">
        <v>1574</v>
      </c>
      <c r="B676" s="4" t="s">
        <v>249</v>
      </c>
      <c r="C676" s="4" t="s">
        <v>174</v>
      </c>
      <c r="D676" s="4" t="s">
        <v>1474</v>
      </c>
      <c r="E676" s="4" t="s">
        <v>19</v>
      </c>
      <c r="F676" s="4" t="s">
        <v>1583</v>
      </c>
      <c r="G676" s="4" t="s">
        <v>1584</v>
      </c>
    </row>
    <row r="677" customFormat="false" ht="35.05" hidden="false" customHeight="false" outlineLevel="0" collapsed="false">
      <c r="A677" s="4" t="s">
        <v>1574</v>
      </c>
      <c r="B677" s="4" t="s">
        <v>249</v>
      </c>
      <c r="C677" s="4" t="s">
        <v>176</v>
      </c>
      <c r="D677" s="4" t="s">
        <v>1477</v>
      </c>
      <c r="E677" s="4" t="s">
        <v>19</v>
      </c>
      <c r="F677" s="4" t="s">
        <v>1585</v>
      </c>
      <c r="G677" s="4" t="s">
        <v>1586</v>
      </c>
    </row>
    <row r="678" customFormat="false" ht="23.85" hidden="false" customHeight="false" outlineLevel="0" collapsed="false">
      <c r="A678" s="4" t="s">
        <v>1574</v>
      </c>
      <c r="B678" s="4" t="s">
        <v>249</v>
      </c>
      <c r="C678" s="4" t="s">
        <v>178</v>
      </c>
      <c r="D678" s="4" t="s">
        <v>1480</v>
      </c>
      <c r="E678" s="4" t="s">
        <v>171</v>
      </c>
      <c r="F678" s="4" t="s">
        <v>1587</v>
      </c>
      <c r="G678" s="4" t="s">
        <v>1588</v>
      </c>
    </row>
    <row r="679" customFormat="false" ht="35.05" hidden="false" customHeight="false" outlineLevel="0" collapsed="false">
      <c r="A679" s="4" t="s">
        <v>1574</v>
      </c>
      <c r="B679" s="4" t="s">
        <v>249</v>
      </c>
      <c r="C679" s="4" t="s">
        <v>180</v>
      </c>
      <c r="D679" s="4" t="s">
        <v>665</v>
      </c>
      <c r="E679" s="4" t="s">
        <v>19</v>
      </c>
      <c r="F679" s="4" t="s">
        <v>1589</v>
      </c>
      <c r="G679" s="4" t="s">
        <v>1590</v>
      </c>
    </row>
    <row r="680" customFormat="false" ht="23.85" hidden="false" customHeight="false" outlineLevel="0" collapsed="false">
      <c r="A680" s="4" t="s">
        <v>1574</v>
      </c>
      <c r="B680" s="4" t="s">
        <v>249</v>
      </c>
      <c r="C680" s="4" t="s">
        <v>182</v>
      </c>
      <c r="D680" s="4" t="s">
        <v>1485</v>
      </c>
      <c r="E680" s="4" t="s">
        <v>171</v>
      </c>
      <c r="F680" s="4" t="s">
        <v>1591</v>
      </c>
      <c r="G680" s="4" t="s">
        <v>1592</v>
      </c>
    </row>
    <row r="681" customFormat="false" ht="23.85" hidden="false" customHeight="false" outlineLevel="0" collapsed="false">
      <c r="A681" s="4" t="s">
        <v>1574</v>
      </c>
      <c r="B681" s="4" t="s">
        <v>249</v>
      </c>
      <c r="C681" s="4" t="s">
        <v>184</v>
      </c>
      <c r="D681" s="4" t="s">
        <v>1488</v>
      </c>
      <c r="E681" s="4" t="s">
        <v>20</v>
      </c>
      <c r="F681" s="4" t="s">
        <v>1593</v>
      </c>
      <c r="G681" s="4" t="s">
        <v>1594</v>
      </c>
    </row>
    <row r="682" customFormat="false" ht="23.85" hidden="false" customHeight="false" outlineLevel="0" collapsed="false">
      <c r="A682" s="4" t="s">
        <v>1574</v>
      </c>
      <c r="B682" s="4" t="s">
        <v>249</v>
      </c>
      <c r="C682" s="4" t="s">
        <v>186</v>
      </c>
      <c r="D682" s="4" t="s">
        <v>187</v>
      </c>
      <c r="E682" s="4" t="s">
        <v>19</v>
      </c>
      <c r="F682" s="4" t="s">
        <v>1595</v>
      </c>
      <c r="G682" s="4" t="s">
        <v>1596</v>
      </c>
    </row>
    <row r="683" customFormat="false" ht="23.85" hidden="false" customHeight="false" outlineLevel="0" collapsed="false">
      <c r="A683" s="4" t="s">
        <v>1574</v>
      </c>
      <c r="B683" s="4" t="s">
        <v>249</v>
      </c>
      <c r="C683" s="4" t="s">
        <v>188</v>
      </c>
      <c r="D683" s="4" t="s">
        <v>189</v>
      </c>
      <c r="E683" s="4" t="s">
        <v>20</v>
      </c>
      <c r="F683" s="4" t="s">
        <v>483</v>
      </c>
      <c r="G683" s="4" t="s">
        <v>1597</v>
      </c>
    </row>
    <row r="684" customFormat="false" ht="23.85" hidden="false" customHeight="false" outlineLevel="0" collapsed="false">
      <c r="A684" s="4" t="s">
        <v>1574</v>
      </c>
      <c r="B684" s="4" t="s">
        <v>249</v>
      </c>
      <c r="C684" s="4" t="s">
        <v>190</v>
      </c>
      <c r="D684" s="4" t="s">
        <v>676</v>
      </c>
      <c r="E684" s="4" t="s">
        <v>19</v>
      </c>
      <c r="F684" s="4" t="s">
        <v>1598</v>
      </c>
      <c r="G684" s="4" t="s">
        <v>1599</v>
      </c>
    </row>
    <row r="685" customFormat="false" ht="35.05" hidden="false" customHeight="false" outlineLevel="0" collapsed="false">
      <c r="A685" s="4" t="s">
        <v>1574</v>
      </c>
      <c r="B685" s="4" t="s">
        <v>249</v>
      </c>
      <c r="C685" s="4" t="s">
        <v>192</v>
      </c>
      <c r="D685" s="4" t="s">
        <v>193</v>
      </c>
      <c r="E685" s="4" t="s">
        <v>171</v>
      </c>
      <c r="F685" s="4" t="s">
        <v>1600</v>
      </c>
      <c r="G685" s="4" t="s">
        <v>1601</v>
      </c>
    </row>
    <row r="686" customFormat="false" ht="23.85" hidden="false" customHeight="false" outlineLevel="0" collapsed="false">
      <c r="A686" s="4" t="s">
        <v>1574</v>
      </c>
      <c r="B686" s="4" t="s">
        <v>249</v>
      </c>
      <c r="C686" s="4" t="s">
        <v>194</v>
      </c>
      <c r="D686" s="4" t="s">
        <v>681</v>
      </c>
      <c r="E686" s="4" t="s">
        <v>19</v>
      </c>
      <c r="F686" s="4" t="s">
        <v>1602</v>
      </c>
      <c r="G686" s="4" t="s">
        <v>1603</v>
      </c>
    </row>
    <row r="687" customFormat="false" ht="23.85" hidden="false" customHeight="false" outlineLevel="0" collapsed="false">
      <c r="A687" s="4" t="s">
        <v>1574</v>
      </c>
      <c r="B687" s="4" t="s">
        <v>249</v>
      </c>
      <c r="C687" s="4" t="s">
        <v>196</v>
      </c>
      <c r="D687" s="4" t="s">
        <v>1501</v>
      </c>
      <c r="E687" s="4" t="s">
        <v>19</v>
      </c>
      <c r="F687" s="4" t="s">
        <v>1604</v>
      </c>
      <c r="G687" s="4" t="s">
        <v>1605</v>
      </c>
    </row>
    <row r="688" customFormat="false" ht="35.05" hidden="false" customHeight="false" outlineLevel="0" collapsed="false">
      <c r="A688" s="4" t="s">
        <v>1574</v>
      </c>
      <c r="B688" s="4" t="s">
        <v>249</v>
      </c>
      <c r="C688" s="4" t="s">
        <v>198</v>
      </c>
      <c r="D688" s="4" t="s">
        <v>199</v>
      </c>
      <c r="E688" s="4" t="s">
        <v>19</v>
      </c>
      <c r="F688" s="4" t="s">
        <v>1606</v>
      </c>
      <c r="G688" s="4" t="s">
        <v>1607</v>
      </c>
    </row>
    <row r="689" customFormat="false" ht="23.85" hidden="false" customHeight="false" outlineLevel="0" collapsed="false">
      <c r="A689" s="4" t="s">
        <v>1574</v>
      </c>
      <c r="B689" s="4" t="s">
        <v>249</v>
      </c>
      <c r="C689" s="4" t="s">
        <v>200</v>
      </c>
      <c r="D689" s="4" t="s">
        <v>201</v>
      </c>
      <c r="E689" s="4" t="s">
        <v>20</v>
      </c>
      <c r="F689" s="4" t="s">
        <v>1608</v>
      </c>
      <c r="G689" s="4" t="s">
        <v>1609</v>
      </c>
    </row>
    <row r="690" customFormat="false" ht="35.05" hidden="false" customHeight="false" outlineLevel="0" collapsed="false">
      <c r="A690" s="4" t="s">
        <v>1574</v>
      </c>
      <c r="B690" s="4" t="s">
        <v>249</v>
      </c>
      <c r="C690" s="4" t="s">
        <v>202</v>
      </c>
      <c r="D690" s="4" t="s">
        <v>1508</v>
      </c>
      <c r="E690" s="4" t="s">
        <v>19</v>
      </c>
      <c r="F690" s="4" t="s">
        <v>1610</v>
      </c>
      <c r="G690" s="4" t="s">
        <v>1611</v>
      </c>
    </row>
    <row r="691" customFormat="false" ht="46.25" hidden="false" customHeight="false" outlineLevel="0" collapsed="false">
      <c r="A691" s="4" t="s">
        <v>1574</v>
      </c>
      <c r="B691" s="4" t="s">
        <v>249</v>
      </c>
      <c r="C691" s="4" t="s">
        <v>204</v>
      </c>
      <c r="D691" s="4" t="s">
        <v>692</v>
      </c>
      <c r="E691" s="4" t="s">
        <v>20</v>
      </c>
      <c r="F691" s="4" t="s">
        <v>1612</v>
      </c>
      <c r="G691" s="4" t="s">
        <v>1613</v>
      </c>
    </row>
    <row r="692" customFormat="false" ht="23.85" hidden="false" customHeight="false" outlineLevel="0" collapsed="false">
      <c r="A692" s="4" t="s">
        <v>1574</v>
      </c>
      <c r="B692" s="4" t="s">
        <v>249</v>
      </c>
      <c r="C692" s="4" t="s">
        <v>206</v>
      </c>
      <c r="D692" s="4" t="s">
        <v>695</v>
      </c>
      <c r="E692" s="4" t="s">
        <v>171</v>
      </c>
      <c r="F692" s="4" t="s">
        <v>1614</v>
      </c>
      <c r="G692" s="4" t="s">
        <v>1615</v>
      </c>
    </row>
    <row r="693" customFormat="false" ht="23.85" hidden="false" customHeight="false" outlineLevel="0" collapsed="false">
      <c r="A693" s="4" t="s">
        <v>1574</v>
      </c>
      <c r="B693" s="4" t="s">
        <v>292</v>
      </c>
      <c r="C693" s="4" t="s">
        <v>208</v>
      </c>
      <c r="D693" s="4" t="s">
        <v>209</v>
      </c>
      <c r="E693" s="4" t="s">
        <v>171</v>
      </c>
      <c r="F693" s="4" t="s">
        <v>1616</v>
      </c>
      <c r="G693" s="4"/>
    </row>
    <row r="694" customFormat="false" ht="23.85" hidden="false" customHeight="false" outlineLevel="0" collapsed="false">
      <c r="A694" s="4" t="s">
        <v>1574</v>
      </c>
      <c r="B694" s="4" t="s">
        <v>292</v>
      </c>
      <c r="C694" s="4" t="s">
        <v>210</v>
      </c>
      <c r="D694" s="4" t="s">
        <v>211</v>
      </c>
      <c r="E694" s="4" t="s">
        <v>171</v>
      </c>
      <c r="F694" s="4" t="s">
        <v>1617</v>
      </c>
      <c r="G694" s="4"/>
    </row>
    <row r="695" customFormat="false" ht="23.85" hidden="false" customHeight="false" outlineLevel="0" collapsed="false">
      <c r="A695" s="4" t="s">
        <v>1574</v>
      </c>
      <c r="B695" s="4" t="s">
        <v>292</v>
      </c>
      <c r="C695" s="4" t="s">
        <v>212</v>
      </c>
      <c r="D695" s="4" t="s">
        <v>213</v>
      </c>
      <c r="E695" s="4" t="s">
        <v>19</v>
      </c>
      <c r="F695" s="4" t="s">
        <v>1618</v>
      </c>
      <c r="G695" s="4" t="s">
        <v>1619</v>
      </c>
    </row>
    <row r="696" customFormat="false" ht="23.85" hidden="false" customHeight="false" outlineLevel="0" collapsed="false">
      <c r="A696" s="4" t="s">
        <v>1574</v>
      </c>
      <c r="B696" s="4" t="s">
        <v>292</v>
      </c>
      <c r="C696" s="4" t="s">
        <v>214</v>
      </c>
      <c r="D696" s="4" t="s">
        <v>215</v>
      </c>
      <c r="E696" s="4" t="s">
        <v>19</v>
      </c>
      <c r="F696" s="4" t="s">
        <v>1620</v>
      </c>
      <c r="G696" s="4" t="s">
        <v>1621</v>
      </c>
    </row>
    <row r="697" customFormat="false" ht="23.85" hidden="false" customHeight="false" outlineLevel="0" collapsed="false">
      <c r="A697" s="4" t="s">
        <v>1574</v>
      </c>
      <c r="B697" s="4" t="s">
        <v>292</v>
      </c>
      <c r="C697" s="4" t="s">
        <v>216</v>
      </c>
      <c r="D697" s="4" t="s">
        <v>217</v>
      </c>
      <c r="E697" s="4" t="s">
        <v>19</v>
      </c>
      <c r="F697" s="4" t="s">
        <v>1622</v>
      </c>
      <c r="G697" s="4" t="s">
        <v>1623</v>
      </c>
    </row>
    <row r="698" customFormat="false" ht="23.85" hidden="false" customHeight="false" outlineLevel="0" collapsed="false">
      <c r="A698" s="4" t="s">
        <v>1574</v>
      </c>
      <c r="B698" s="4" t="s">
        <v>292</v>
      </c>
      <c r="C698" s="4" t="s">
        <v>218</v>
      </c>
      <c r="D698" s="4" t="s">
        <v>219</v>
      </c>
      <c r="E698" s="4" t="s">
        <v>19</v>
      </c>
      <c r="F698" s="4" t="s">
        <v>1624</v>
      </c>
      <c r="G698" s="4" t="s">
        <v>1625</v>
      </c>
    </row>
    <row r="699" customFormat="false" ht="23.85" hidden="false" customHeight="false" outlineLevel="0" collapsed="false">
      <c r="A699" s="4" t="s">
        <v>1574</v>
      </c>
      <c r="B699" s="4" t="s">
        <v>292</v>
      </c>
      <c r="C699" s="4" t="s">
        <v>220</v>
      </c>
      <c r="D699" s="4" t="s">
        <v>221</v>
      </c>
      <c r="E699" s="4" t="s">
        <v>19</v>
      </c>
      <c r="F699" s="4" t="s">
        <v>1626</v>
      </c>
      <c r="G699" s="4" t="s">
        <v>1627</v>
      </c>
    </row>
    <row r="700" customFormat="false" ht="23.85" hidden="false" customHeight="false" outlineLevel="0" collapsed="false">
      <c r="A700" s="4" t="s">
        <v>1574</v>
      </c>
      <c r="B700" s="4" t="s">
        <v>292</v>
      </c>
      <c r="C700" s="4" t="s">
        <v>222</v>
      </c>
      <c r="D700" s="4" t="s">
        <v>223</v>
      </c>
      <c r="E700" s="4" t="s">
        <v>20</v>
      </c>
      <c r="F700" s="4" t="s">
        <v>1628</v>
      </c>
      <c r="G700" s="4" t="s">
        <v>822</v>
      </c>
    </row>
    <row r="701" customFormat="false" ht="23.85" hidden="false" customHeight="false" outlineLevel="0" collapsed="false">
      <c r="A701" s="4" t="s">
        <v>1574</v>
      </c>
      <c r="B701" s="4" t="s">
        <v>292</v>
      </c>
      <c r="C701" s="4" t="s">
        <v>224</v>
      </c>
      <c r="D701" s="4" t="s">
        <v>225</v>
      </c>
      <c r="E701" s="4" t="s">
        <v>19</v>
      </c>
      <c r="F701" s="4" t="s">
        <v>1629</v>
      </c>
      <c r="G701" s="4" t="s">
        <v>1630</v>
      </c>
    </row>
    <row r="702" customFormat="false" ht="23.85" hidden="false" customHeight="false" outlineLevel="0" collapsed="false">
      <c r="A702" s="4" t="s">
        <v>1574</v>
      </c>
      <c r="B702" s="4" t="s">
        <v>292</v>
      </c>
      <c r="C702" s="4" t="s">
        <v>226</v>
      </c>
      <c r="D702" s="4" t="s">
        <v>227</v>
      </c>
      <c r="E702" s="4" t="s">
        <v>19</v>
      </c>
      <c r="F702" s="4" t="s">
        <v>1631</v>
      </c>
      <c r="G702" s="4" t="s">
        <v>1632</v>
      </c>
    </row>
    <row r="703" customFormat="false" ht="23.85" hidden="false" customHeight="false" outlineLevel="0" collapsed="false">
      <c r="A703" s="4" t="s">
        <v>1574</v>
      </c>
      <c r="B703" s="4" t="s">
        <v>292</v>
      </c>
      <c r="C703" s="4" t="s">
        <v>228</v>
      </c>
      <c r="D703" s="4" t="s">
        <v>229</v>
      </c>
      <c r="E703" s="4" t="s">
        <v>171</v>
      </c>
      <c r="F703" s="4" t="s">
        <v>1633</v>
      </c>
      <c r="G703" s="4"/>
    </row>
    <row r="704" customFormat="false" ht="35.05" hidden="false" customHeight="false" outlineLevel="0" collapsed="false">
      <c r="A704" s="4" t="s">
        <v>1574</v>
      </c>
      <c r="B704" s="4" t="s">
        <v>313</v>
      </c>
      <c r="C704" s="4" t="s">
        <v>230</v>
      </c>
      <c r="D704" s="4" t="s">
        <v>1634</v>
      </c>
      <c r="E704" s="4" t="s">
        <v>171</v>
      </c>
      <c r="F704" s="4" t="s">
        <v>1635</v>
      </c>
      <c r="G704" s="4"/>
    </row>
    <row r="705" customFormat="false" ht="35.05" hidden="false" customHeight="false" outlineLevel="0" collapsed="false">
      <c r="A705" s="4" t="s">
        <v>1574</v>
      </c>
      <c r="B705" s="4" t="s">
        <v>313</v>
      </c>
      <c r="C705" s="4" t="s">
        <v>232</v>
      </c>
      <c r="D705" s="4" t="s">
        <v>1636</v>
      </c>
      <c r="E705" s="4" t="s">
        <v>19</v>
      </c>
      <c r="F705" s="4" t="s">
        <v>1637</v>
      </c>
      <c r="G705" s="4" t="s">
        <v>1638</v>
      </c>
    </row>
    <row r="706" customFormat="false" ht="35.05" hidden="false" customHeight="false" outlineLevel="0" collapsed="false">
      <c r="A706" s="4" t="s">
        <v>1574</v>
      </c>
      <c r="B706" s="4" t="s">
        <v>313</v>
      </c>
      <c r="C706" s="4" t="s">
        <v>234</v>
      </c>
      <c r="D706" s="4" t="s">
        <v>1639</v>
      </c>
      <c r="E706" s="4" t="s">
        <v>171</v>
      </c>
      <c r="F706" s="4" t="s">
        <v>1640</v>
      </c>
      <c r="G706" s="4" t="s">
        <v>1641</v>
      </c>
    </row>
    <row r="707" customFormat="false" ht="35.05" hidden="false" customHeight="false" outlineLevel="0" collapsed="false">
      <c r="A707" s="4" t="s">
        <v>1574</v>
      </c>
      <c r="B707" s="4" t="s">
        <v>313</v>
      </c>
      <c r="C707" s="4" t="s">
        <v>236</v>
      </c>
      <c r="D707" s="4" t="s">
        <v>1642</v>
      </c>
      <c r="E707" s="4" t="s">
        <v>171</v>
      </c>
      <c r="F707" s="4" t="s">
        <v>1643</v>
      </c>
      <c r="G707" s="4" t="s">
        <v>1644</v>
      </c>
    </row>
    <row r="708" customFormat="false" ht="35.05" hidden="false" customHeight="false" outlineLevel="0" collapsed="false">
      <c r="A708" s="4" t="s">
        <v>1574</v>
      </c>
      <c r="B708" s="4" t="s">
        <v>313</v>
      </c>
      <c r="C708" s="4" t="s">
        <v>238</v>
      </c>
      <c r="D708" s="4" t="s">
        <v>1645</v>
      </c>
      <c r="E708" s="4" t="s">
        <v>19</v>
      </c>
      <c r="F708" s="4" t="s">
        <v>1646</v>
      </c>
      <c r="G708" s="4" t="s">
        <v>1647</v>
      </c>
    </row>
    <row r="709" customFormat="false" ht="35.05" hidden="false" customHeight="false" outlineLevel="0" collapsed="false">
      <c r="A709" s="4" t="s">
        <v>1574</v>
      </c>
      <c r="B709" s="4" t="s">
        <v>329</v>
      </c>
      <c r="C709" s="4"/>
      <c r="D709" s="4" t="s">
        <v>1648</v>
      </c>
      <c r="E709" s="4" t="s">
        <v>171</v>
      </c>
      <c r="F709" s="4" t="s">
        <v>1649</v>
      </c>
      <c r="G709" s="4"/>
    </row>
    <row r="710" customFormat="false" ht="46.25" hidden="false" customHeight="false" outlineLevel="0" collapsed="false">
      <c r="A710" s="4" t="s">
        <v>1574</v>
      </c>
      <c r="B710" s="4" t="s">
        <v>329</v>
      </c>
      <c r="C710" s="4"/>
      <c r="D710" s="4" t="s">
        <v>1650</v>
      </c>
      <c r="E710" s="4" t="s">
        <v>333</v>
      </c>
      <c r="F710" s="4" t="s">
        <v>1651</v>
      </c>
      <c r="G710" s="4"/>
    </row>
    <row r="711" customFormat="false" ht="23.85" hidden="false" customHeight="false" outlineLevel="0" collapsed="false">
      <c r="A711" s="4" t="s">
        <v>1574</v>
      </c>
      <c r="B711" s="4" t="s">
        <v>329</v>
      </c>
      <c r="C711" s="4"/>
      <c r="D711" s="4" t="s">
        <v>1652</v>
      </c>
      <c r="E711" s="4" t="s">
        <v>171</v>
      </c>
      <c r="F711" s="4" t="s">
        <v>1653</v>
      </c>
      <c r="G711" s="4"/>
    </row>
    <row r="712" customFormat="false" ht="23.85" hidden="false" customHeight="false" outlineLevel="0" collapsed="false">
      <c r="A712" s="4" t="s">
        <v>1574</v>
      </c>
      <c r="B712" s="4" t="s">
        <v>329</v>
      </c>
      <c r="C712" s="4"/>
      <c r="D712" s="4" t="s">
        <v>535</v>
      </c>
      <c r="E712" s="4" t="s">
        <v>333</v>
      </c>
      <c r="F712" s="4" t="s">
        <v>1654</v>
      </c>
      <c r="G712" s="4"/>
    </row>
    <row r="713" customFormat="false" ht="23.85" hidden="false" customHeight="false" outlineLevel="0" collapsed="false">
      <c r="A713" s="4" t="s">
        <v>1574</v>
      </c>
      <c r="B713" s="4" t="s">
        <v>329</v>
      </c>
      <c r="C713" s="4"/>
      <c r="D713" s="4" t="s">
        <v>1655</v>
      </c>
      <c r="E713" s="4" t="s">
        <v>333</v>
      </c>
      <c r="F713" s="4" t="s">
        <v>1656</v>
      </c>
      <c r="G713" s="4"/>
    </row>
    <row r="714" customFormat="false" ht="35.05" hidden="false" customHeight="false" outlineLevel="0" collapsed="false">
      <c r="A714" s="4" t="s">
        <v>1574</v>
      </c>
      <c r="B714" s="4" t="s">
        <v>329</v>
      </c>
      <c r="C714" s="4"/>
      <c r="D714" s="4" t="s">
        <v>1657</v>
      </c>
      <c r="E714" s="4" t="s">
        <v>333</v>
      </c>
      <c r="F714" s="4" t="s">
        <v>1658</v>
      </c>
      <c r="G714" s="4"/>
    </row>
    <row r="715" customFormat="false" ht="35.05" hidden="false" customHeight="false" outlineLevel="0" collapsed="false">
      <c r="A715" s="4" t="s">
        <v>1574</v>
      </c>
      <c r="B715" s="4" t="s">
        <v>329</v>
      </c>
      <c r="C715" s="4"/>
      <c r="D715" s="4" t="s">
        <v>1659</v>
      </c>
      <c r="E715" s="4" t="s">
        <v>333</v>
      </c>
      <c r="F715" s="4" t="s">
        <v>1660</v>
      </c>
      <c r="G715" s="4"/>
    </row>
    <row r="716" customFormat="false" ht="23.85" hidden="false" customHeight="false" outlineLevel="0" collapsed="false">
      <c r="A716" s="4" t="s">
        <v>1574</v>
      </c>
      <c r="B716" s="4" t="s">
        <v>329</v>
      </c>
      <c r="C716" s="4"/>
      <c r="D716" s="4" t="s">
        <v>1661</v>
      </c>
      <c r="E716" s="4" t="s">
        <v>333</v>
      </c>
      <c r="F716" s="4" t="s">
        <v>1662</v>
      </c>
      <c r="G716" s="4"/>
    </row>
    <row r="717" customFormat="false" ht="23.85" hidden="false" customHeight="false" outlineLevel="0" collapsed="false">
      <c r="A717" s="4" t="s">
        <v>1574</v>
      </c>
      <c r="B717" s="4" t="s">
        <v>329</v>
      </c>
      <c r="C717" s="4"/>
      <c r="D717" s="4" t="s">
        <v>1663</v>
      </c>
      <c r="E717" s="4" t="s">
        <v>171</v>
      </c>
      <c r="F717" s="4" t="s">
        <v>1664</v>
      </c>
      <c r="G717" s="4"/>
    </row>
    <row r="718" customFormat="false" ht="23.85" hidden="false" customHeight="false" outlineLevel="0" collapsed="false">
      <c r="A718" s="4" t="s">
        <v>1574</v>
      </c>
      <c r="B718" s="4" t="s">
        <v>329</v>
      </c>
      <c r="C718" s="4"/>
      <c r="D718" s="4" t="s">
        <v>753</v>
      </c>
      <c r="E718" s="4" t="s">
        <v>171</v>
      </c>
      <c r="F718" s="4" t="s">
        <v>1665</v>
      </c>
      <c r="G718" s="4"/>
    </row>
    <row r="719" customFormat="false" ht="35.05" hidden="false" customHeight="false" outlineLevel="0" collapsed="false">
      <c r="A719" s="4" t="s">
        <v>1574</v>
      </c>
      <c r="B719" s="4" t="s">
        <v>329</v>
      </c>
      <c r="C719" s="4"/>
      <c r="D719" s="4" t="s">
        <v>1666</v>
      </c>
      <c r="E719" s="4" t="s">
        <v>333</v>
      </c>
      <c r="F719" s="4" t="s">
        <v>1667</v>
      </c>
      <c r="G719" s="4"/>
    </row>
    <row r="720" customFormat="false" ht="23.85" hidden="false" customHeight="false" outlineLevel="0" collapsed="false">
      <c r="A720" s="4" t="s">
        <v>1574</v>
      </c>
      <c r="B720" s="4" t="s">
        <v>329</v>
      </c>
      <c r="C720" s="4"/>
      <c r="D720" s="4" t="s">
        <v>1668</v>
      </c>
      <c r="E720" s="4" t="s">
        <v>171</v>
      </c>
      <c r="F720" s="4" t="s">
        <v>1669</v>
      </c>
      <c r="G720" s="4"/>
    </row>
    <row r="721" customFormat="false" ht="57.45" hidden="false" customHeight="false" outlineLevel="0" collapsed="false">
      <c r="A721" s="4" t="s">
        <v>1574</v>
      </c>
      <c r="B721" s="4" t="s">
        <v>329</v>
      </c>
      <c r="C721" s="4"/>
      <c r="D721" s="4" t="s">
        <v>1670</v>
      </c>
      <c r="E721" s="4" t="s">
        <v>333</v>
      </c>
      <c r="F721" s="4" t="s">
        <v>1671</v>
      </c>
      <c r="G721" s="4"/>
    </row>
    <row r="722" customFormat="false" ht="35.05" hidden="false" customHeight="false" outlineLevel="0" collapsed="false">
      <c r="A722" s="4" t="s">
        <v>1672</v>
      </c>
      <c r="B722" s="4" t="s">
        <v>249</v>
      </c>
      <c r="C722" s="4" t="s">
        <v>165</v>
      </c>
      <c r="D722" s="4" t="s">
        <v>1673</v>
      </c>
      <c r="E722" s="4" t="s">
        <v>19</v>
      </c>
      <c r="F722" s="4" t="s">
        <v>1674</v>
      </c>
      <c r="G722" s="4" t="s">
        <v>1675</v>
      </c>
    </row>
    <row r="723" customFormat="false" ht="23.85" hidden="false" customHeight="false" outlineLevel="0" collapsed="false">
      <c r="A723" s="4" t="s">
        <v>1672</v>
      </c>
      <c r="B723" s="4" t="s">
        <v>249</v>
      </c>
      <c r="C723" s="4" t="s">
        <v>167</v>
      </c>
      <c r="D723" s="4" t="s">
        <v>168</v>
      </c>
      <c r="E723" s="4" t="s">
        <v>19</v>
      </c>
      <c r="F723" s="4" t="s">
        <v>1676</v>
      </c>
      <c r="G723" s="4" t="s">
        <v>1677</v>
      </c>
    </row>
    <row r="724" customFormat="false" ht="23.85" hidden="false" customHeight="false" outlineLevel="0" collapsed="false">
      <c r="A724" s="4" t="s">
        <v>1672</v>
      </c>
      <c r="B724" s="4" t="s">
        <v>249</v>
      </c>
      <c r="C724" s="4" t="s">
        <v>169</v>
      </c>
      <c r="D724" s="4" t="s">
        <v>651</v>
      </c>
      <c r="E724" s="4" t="s">
        <v>171</v>
      </c>
      <c r="F724" s="4" t="s">
        <v>1678</v>
      </c>
      <c r="G724" s="4" t="s">
        <v>1679</v>
      </c>
    </row>
    <row r="725" customFormat="false" ht="23.85" hidden="false" customHeight="false" outlineLevel="0" collapsed="false">
      <c r="A725" s="4" t="s">
        <v>1672</v>
      </c>
      <c r="B725" s="4" t="s">
        <v>249</v>
      </c>
      <c r="C725" s="4" t="s">
        <v>172</v>
      </c>
      <c r="D725" s="4" t="s">
        <v>173</v>
      </c>
      <c r="E725" s="4" t="s">
        <v>171</v>
      </c>
      <c r="F725" s="4" t="s">
        <v>1680</v>
      </c>
      <c r="G725" s="4" t="s">
        <v>1681</v>
      </c>
    </row>
    <row r="726" customFormat="false" ht="35.05" hidden="false" customHeight="false" outlineLevel="0" collapsed="false">
      <c r="A726" s="4" t="s">
        <v>1672</v>
      </c>
      <c r="B726" s="4" t="s">
        <v>249</v>
      </c>
      <c r="C726" s="4" t="s">
        <v>174</v>
      </c>
      <c r="D726" s="4" t="s">
        <v>175</v>
      </c>
      <c r="E726" s="4" t="s">
        <v>19</v>
      </c>
      <c r="F726" s="4" t="s">
        <v>1682</v>
      </c>
      <c r="G726" s="4" t="s">
        <v>1683</v>
      </c>
    </row>
    <row r="727" customFormat="false" ht="46.25" hidden="false" customHeight="false" outlineLevel="0" collapsed="false">
      <c r="A727" s="4" t="s">
        <v>1672</v>
      </c>
      <c r="B727" s="4" t="s">
        <v>249</v>
      </c>
      <c r="C727" s="4" t="s">
        <v>176</v>
      </c>
      <c r="D727" s="4" t="s">
        <v>177</v>
      </c>
      <c r="E727" s="4" t="s">
        <v>19</v>
      </c>
      <c r="F727" s="4" t="s">
        <v>1684</v>
      </c>
      <c r="G727" s="4" t="s">
        <v>1685</v>
      </c>
    </row>
    <row r="728" customFormat="false" ht="23.85" hidden="false" customHeight="false" outlineLevel="0" collapsed="false">
      <c r="A728" s="4" t="s">
        <v>1672</v>
      </c>
      <c r="B728" s="4" t="s">
        <v>249</v>
      </c>
      <c r="C728" s="4" t="s">
        <v>178</v>
      </c>
      <c r="D728" s="4" t="s">
        <v>1686</v>
      </c>
      <c r="E728" s="4" t="s">
        <v>171</v>
      </c>
      <c r="F728" s="4" t="s">
        <v>1687</v>
      </c>
      <c r="G728" s="4" t="s">
        <v>277</v>
      </c>
    </row>
    <row r="729" customFormat="false" ht="35.05" hidden="false" customHeight="false" outlineLevel="0" collapsed="false">
      <c r="A729" s="4" t="s">
        <v>1672</v>
      </c>
      <c r="B729" s="4" t="s">
        <v>249</v>
      </c>
      <c r="C729" s="4" t="s">
        <v>180</v>
      </c>
      <c r="D729" s="4" t="s">
        <v>1089</v>
      </c>
      <c r="E729" s="4" t="s">
        <v>171</v>
      </c>
      <c r="F729" s="4" t="s">
        <v>1688</v>
      </c>
      <c r="G729" s="4" t="s">
        <v>1689</v>
      </c>
    </row>
    <row r="730" customFormat="false" ht="15" hidden="false" customHeight="false" outlineLevel="0" collapsed="false">
      <c r="A730" s="4" t="s">
        <v>1672</v>
      </c>
      <c r="B730" s="4" t="s">
        <v>249</v>
      </c>
      <c r="C730" s="4" t="s">
        <v>182</v>
      </c>
      <c r="D730" s="4" t="s">
        <v>183</v>
      </c>
      <c r="E730" s="4" t="s">
        <v>171</v>
      </c>
      <c r="F730" s="4" t="s">
        <v>1690</v>
      </c>
      <c r="G730" s="4" t="s">
        <v>1691</v>
      </c>
    </row>
    <row r="731" customFormat="false" ht="23.85" hidden="false" customHeight="false" outlineLevel="0" collapsed="false">
      <c r="A731" s="4" t="s">
        <v>1672</v>
      </c>
      <c r="B731" s="4" t="s">
        <v>249</v>
      </c>
      <c r="C731" s="4" t="s">
        <v>184</v>
      </c>
      <c r="D731" s="4" t="s">
        <v>1692</v>
      </c>
      <c r="E731" s="4" t="s">
        <v>20</v>
      </c>
      <c r="F731" s="4" t="s">
        <v>1693</v>
      </c>
      <c r="G731" s="4" t="s">
        <v>1694</v>
      </c>
    </row>
    <row r="732" customFormat="false" ht="23.85" hidden="false" customHeight="false" outlineLevel="0" collapsed="false">
      <c r="A732" s="4" t="s">
        <v>1672</v>
      </c>
      <c r="B732" s="4" t="s">
        <v>249</v>
      </c>
      <c r="C732" s="4" t="s">
        <v>186</v>
      </c>
      <c r="D732" s="4" t="s">
        <v>187</v>
      </c>
      <c r="E732" s="4" t="s">
        <v>19</v>
      </c>
      <c r="F732" s="4" t="s">
        <v>1695</v>
      </c>
      <c r="G732" s="4" t="s">
        <v>1696</v>
      </c>
    </row>
    <row r="733" customFormat="false" ht="23.85" hidden="false" customHeight="false" outlineLevel="0" collapsed="false">
      <c r="A733" s="4" t="s">
        <v>1672</v>
      </c>
      <c r="B733" s="4" t="s">
        <v>249</v>
      </c>
      <c r="C733" s="4" t="s">
        <v>188</v>
      </c>
      <c r="D733" s="4" t="s">
        <v>189</v>
      </c>
      <c r="E733" s="4" t="s">
        <v>19</v>
      </c>
      <c r="F733" s="4" t="s">
        <v>1697</v>
      </c>
      <c r="G733" s="4" t="s">
        <v>1698</v>
      </c>
    </row>
    <row r="734" customFormat="false" ht="23.85" hidden="false" customHeight="false" outlineLevel="0" collapsed="false">
      <c r="A734" s="4" t="s">
        <v>1672</v>
      </c>
      <c r="B734" s="4" t="s">
        <v>249</v>
      </c>
      <c r="C734" s="4" t="s">
        <v>190</v>
      </c>
      <c r="D734" s="4" t="s">
        <v>676</v>
      </c>
      <c r="E734" s="4" t="s">
        <v>19</v>
      </c>
      <c r="F734" s="4" t="s">
        <v>1699</v>
      </c>
      <c r="G734" s="4" t="s">
        <v>1700</v>
      </c>
    </row>
    <row r="735" customFormat="false" ht="35.05" hidden="false" customHeight="false" outlineLevel="0" collapsed="false">
      <c r="A735" s="4" t="s">
        <v>1672</v>
      </c>
      <c r="B735" s="4" t="s">
        <v>249</v>
      </c>
      <c r="C735" s="4" t="s">
        <v>192</v>
      </c>
      <c r="D735" s="4" t="s">
        <v>193</v>
      </c>
      <c r="E735" s="4" t="s">
        <v>171</v>
      </c>
      <c r="F735" s="4" t="s">
        <v>1701</v>
      </c>
      <c r="G735" s="4" t="s">
        <v>277</v>
      </c>
    </row>
    <row r="736" customFormat="false" ht="23.85" hidden="false" customHeight="false" outlineLevel="0" collapsed="false">
      <c r="A736" s="4" t="s">
        <v>1672</v>
      </c>
      <c r="B736" s="4" t="s">
        <v>249</v>
      </c>
      <c r="C736" s="4" t="s">
        <v>194</v>
      </c>
      <c r="D736" s="4" t="s">
        <v>681</v>
      </c>
      <c r="E736" s="4" t="s">
        <v>19</v>
      </c>
      <c r="F736" s="4" t="s">
        <v>1702</v>
      </c>
      <c r="G736" s="4" t="s">
        <v>1703</v>
      </c>
    </row>
    <row r="737" customFormat="false" ht="35.05" hidden="false" customHeight="false" outlineLevel="0" collapsed="false">
      <c r="A737" s="4" t="s">
        <v>1672</v>
      </c>
      <c r="B737" s="4" t="s">
        <v>249</v>
      </c>
      <c r="C737" s="4" t="s">
        <v>196</v>
      </c>
      <c r="D737" s="4" t="s">
        <v>1704</v>
      </c>
      <c r="E737" s="4" t="s">
        <v>19</v>
      </c>
      <c r="F737" s="4" t="s">
        <v>1705</v>
      </c>
      <c r="G737" s="4" t="s">
        <v>1706</v>
      </c>
    </row>
    <row r="738" customFormat="false" ht="35.05" hidden="false" customHeight="false" outlineLevel="0" collapsed="false">
      <c r="A738" s="4" t="s">
        <v>1672</v>
      </c>
      <c r="B738" s="4" t="s">
        <v>249</v>
      </c>
      <c r="C738" s="4" t="s">
        <v>198</v>
      </c>
      <c r="D738" s="4" t="s">
        <v>199</v>
      </c>
      <c r="E738" s="4" t="s">
        <v>19</v>
      </c>
      <c r="F738" s="4" t="s">
        <v>1707</v>
      </c>
      <c r="G738" s="4" t="s">
        <v>1708</v>
      </c>
    </row>
    <row r="739" customFormat="false" ht="23.85" hidden="false" customHeight="false" outlineLevel="0" collapsed="false">
      <c r="A739" s="4" t="s">
        <v>1672</v>
      </c>
      <c r="B739" s="4" t="s">
        <v>249</v>
      </c>
      <c r="C739" s="4" t="s">
        <v>200</v>
      </c>
      <c r="D739" s="4" t="s">
        <v>201</v>
      </c>
      <c r="E739" s="4" t="s">
        <v>20</v>
      </c>
      <c r="F739" s="4" t="s">
        <v>1709</v>
      </c>
      <c r="G739" s="4" t="s">
        <v>1710</v>
      </c>
    </row>
    <row r="740" customFormat="false" ht="23.85" hidden="false" customHeight="false" outlineLevel="0" collapsed="false">
      <c r="A740" s="4" t="s">
        <v>1672</v>
      </c>
      <c r="B740" s="4" t="s">
        <v>249</v>
      </c>
      <c r="C740" s="4" t="s">
        <v>202</v>
      </c>
      <c r="D740" s="4" t="s">
        <v>203</v>
      </c>
      <c r="E740" s="4" t="s">
        <v>20</v>
      </c>
      <c r="F740" s="4" t="s">
        <v>1711</v>
      </c>
      <c r="G740" s="4" t="s">
        <v>1712</v>
      </c>
    </row>
    <row r="741" customFormat="false" ht="23.85" hidden="false" customHeight="false" outlineLevel="0" collapsed="false">
      <c r="A741" s="4" t="s">
        <v>1672</v>
      </c>
      <c r="B741" s="4" t="s">
        <v>249</v>
      </c>
      <c r="C741" s="4" t="s">
        <v>204</v>
      </c>
      <c r="D741" s="4" t="s">
        <v>1713</v>
      </c>
      <c r="E741" s="4" t="s">
        <v>20</v>
      </c>
      <c r="F741" s="4" t="s">
        <v>1714</v>
      </c>
      <c r="G741" s="4" t="s">
        <v>1715</v>
      </c>
    </row>
    <row r="742" customFormat="false" ht="23.85" hidden="false" customHeight="false" outlineLevel="0" collapsed="false">
      <c r="A742" s="4" t="s">
        <v>1672</v>
      </c>
      <c r="B742" s="4" t="s">
        <v>249</v>
      </c>
      <c r="C742" s="4" t="s">
        <v>206</v>
      </c>
      <c r="D742" s="4" t="s">
        <v>207</v>
      </c>
      <c r="E742" s="4" t="s">
        <v>171</v>
      </c>
      <c r="F742" s="4" t="s">
        <v>1716</v>
      </c>
      <c r="G742" s="4" t="s">
        <v>1717</v>
      </c>
    </row>
    <row r="743" customFormat="false" ht="23.85" hidden="false" customHeight="false" outlineLevel="0" collapsed="false">
      <c r="A743" s="4" t="s">
        <v>1672</v>
      </c>
      <c r="B743" s="4" t="s">
        <v>292</v>
      </c>
      <c r="C743" s="4" t="s">
        <v>208</v>
      </c>
      <c r="D743" s="4" t="s">
        <v>209</v>
      </c>
      <c r="E743" s="4" t="s">
        <v>171</v>
      </c>
      <c r="F743" s="4" t="s">
        <v>1718</v>
      </c>
      <c r="G743" s="4" t="s">
        <v>277</v>
      </c>
    </row>
    <row r="744" customFormat="false" ht="15" hidden="false" customHeight="false" outlineLevel="0" collapsed="false">
      <c r="A744" s="4" t="s">
        <v>1672</v>
      </c>
      <c r="B744" s="4" t="s">
        <v>292</v>
      </c>
      <c r="C744" s="4" t="s">
        <v>210</v>
      </c>
      <c r="D744" s="4" t="s">
        <v>211</v>
      </c>
      <c r="E744" s="4" t="s">
        <v>171</v>
      </c>
      <c r="F744" s="4" t="s">
        <v>1719</v>
      </c>
      <c r="G744" s="4" t="s">
        <v>277</v>
      </c>
    </row>
    <row r="745" customFormat="false" ht="15" hidden="false" customHeight="false" outlineLevel="0" collapsed="false">
      <c r="A745" s="4" t="s">
        <v>1672</v>
      </c>
      <c r="B745" s="4" t="s">
        <v>292</v>
      </c>
      <c r="C745" s="4" t="s">
        <v>212</v>
      </c>
      <c r="D745" s="4" t="s">
        <v>213</v>
      </c>
      <c r="E745" s="4" t="s">
        <v>19</v>
      </c>
      <c r="F745" s="4" t="s">
        <v>1720</v>
      </c>
      <c r="G745" s="4" t="s">
        <v>1721</v>
      </c>
    </row>
    <row r="746" customFormat="false" ht="23.85" hidden="false" customHeight="false" outlineLevel="0" collapsed="false">
      <c r="A746" s="4" t="s">
        <v>1672</v>
      </c>
      <c r="B746" s="4" t="s">
        <v>292</v>
      </c>
      <c r="C746" s="4" t="s">
        <v>214</v>
      </c>
      <c r="D746" s="4" t="s">
        <v>215</v>
      </c>
      <c r="E746" s="4" t="s">
        <v>19</v>
      </c>
      <c r="F746" s="4" t="s">
        <v>1722</v>
      </c>
      <c r="G746" s="4" t="s">
        <v>1723</v>
      </c>
    </row>
    <row r="747" customFormat="false" ht="15" hidden="false" customHeight="false" outlineLevel="0" collapsed="false">
      <c r="A747" s="4" t="s">
        <v>1672</v>
      </c>
      <c r="B747" s="4" t="s">
        <v>292</v>
      </c>
      <c r="C747" s="4" t="s">
        <v>216</v>
      </c>
      <c r="D747" s="4" t="s">
        <v>217</v>
      </c>
      <c r="E747" s="4" t="s">
        <v>19</v>
      </c>
      <c r="F747" s="4" t="s">
        <v>1724</v>
      </c>
      <c r="G747" s="4" t="s">
        <v>1725</v>
      </c>
    </row>
    <row r="748" customFormat="false" ht="15" hidden="false" customHeight="false" outlineLevel="0" collapsed="false">
      <c r="A748" s="4" t="s">
        <v>1672</v>
      </c>
      <c r="B748" s="4" t="s">
        <v>292</v>
      </c>
      <c r="C748" s="4" t="s">
        <v>218</v>
      </c>
      <c r="D748" s="4" t="s">
        <v>219</v>
      </c>
      <c r="E748" s="4" t="s">
        <v>171</v>
      </c>
      <c r="F748" s="4" t="s">
        <v>1726</v>
      </c>
      <c r="G748" s="4" t="s">
        <v>277</v>
      </c>
    </row>
    <row r="749" customFormat="false" ht="15" hidden="false" customHeight="false" outlineLevel="0" collapsed="false">
      <c r="A749" s="4" t="s">
        <v>1672</v>
      </c>
      <c r="B749" s="4" t="s">
        <v>292</v>
      </c>
      <c r="C749" s="4" t="s">
        <v>220</v>
      </c>
      <c r="D749" s="4" t="s">
        <v>221</v>
      </c>
      <c r="E749" s="4" t="s">
        <v>19</v>
      </c>
      <c r="F749" s="4" t="s">
        <v>1727</v>
      </c>
      <c r="G749" s="4" t="s">
        <v>1728</v>
      </c>
    </row>
    <row r="750" customFormat="false" ht="15" hidden="false" customHeight="false" outlineLevel="0" collapsed="false">
      <c r="A750" s="4" t="s">
        <v>1672</v>
      </c>
      <c r="B750" s="4" t="s">
        <v>292</v>
      </c>
      <c r="C750" s="4" t="s">
        <v>222</v>
      </c>
      <c r="D750" s="4" t="s">
        <v>223</v>
      </c>
      <c r="E750" s="4" t="s">
        <v>20</v>
      </c>
      <c r="F750" s="4" t="s">
        <v>1729</v>
      </c>
      <c r="G750" s="4" t="s">
        <v>1730</v>
      </c>
    </row>
    <row r="751" customFormat="false" ht="15" hidden="false" customHeight="false" outlineLevel="0" collapsed="false">
      <c r="A751" s="4" t="s">
        <v>1672</v>
      </c>
      <c r="B751" s="4" t="s">
        <v>292</v>
      </c>
      <c r="C751" s="4" t="s">
        <v>224</v>
      </c>
      <c r="D751" s="4" t="s">
        <v>225</v>
      </c>
      <c r="E751" s="4" t="s">
        <v>19</v>
      </c>
      <c r="F751" s="4" t="s">
        <v>1731</v>
      </c>
      <c r="G751" s="4" t="s">
        <v>1732</v>
      </c>
    </row>
    <row r="752" customFormat="false" ht="23.85" hidden="false" customHeight="false" outlineLevel="0" collapsed="false">
      <c r="A752" s="4" t="s">
        <v>1672</v>
      </c>
      <c r="B752" s="4" t="s">
        <v>292</v>
      </c>
      <c r="C752" s="4" t="s">
        <v>226</v>
      </c>
      <c r="D752" s="4" t="s">
        <v>227</v>
      </c>
      <c r="E752" s="4" t="s">
        <v>19</v>
      </c>
      <c r="F752" s="4" t="s">
        <v>1733</v>
      </c>
      <c r="G752" s="4" t="s">
        <v>1734</v>
      </c>
    </row>
    <row r="753" customFormat="false" ht="23.85" hidden="false" customHeight="false" outlineLevel="0" collapsed="false">
      <c r="A753" s="4" t="s">
        <v>1672</v>
      </c>
      <c r="B753" s="4" t="s">
        <v>292</v>
      </c>
      <c r="C753" s="4" t="s">
        <v>228</v>
      </c>
      <c r="D753" s="4" t="s">
        <v>229</v>
      </c>
      <c r="E753" s="4" t="s">
        <v>171</v>
      </c>
      <c r="F753" s="4" t="s">
        <v>1735</v>
      </c>
      <c r="G753" s="4" t="s">
        <v>277</v>
      </c>
    </row>
    <row r="754" customFormat="false" ht="23.85" hidden="false" customHeight="false" outlineLevel="0" collapsed="false">
      <c r="A754" s="4" t="s">
        <v>1672</v>
      </c>
      <c r="B754" s="4" t="s">
        <v>313</v>
      </c>
      <c r="C754" s="4" t="s">
        <v>230</v>
      </c>
      <c r="D754" s="4" t="s">
        <v>1736</v>
      </c>
      <c r="E754" s="4" t="s">
        <v>171</v>
      </c>
      <c r="F754" s="4" t="s">
        <v>1737</v>
      </c>
      <c r="G754" s="4" t="s">
        <v>277</v>
      </c>
    </row>
    <row r="755" customFormat="false" ht="35.05" hidden="false" customHeight="false" outlineLevel="0" collapsed="false">
      <c r="A755" s="4" t="s">
        <v>1672</v>
      </c>
      <c r="B755" s="4" t="s">
        <v>313</v>
      </c>
      <c r="C755" s="4" t="s">
        <v>232</v>
      </c>
      <c r="D755" s="4" t="s">
        <v>1738</v>
      </c>
      <c r="E755" s="4" t="s">
        <v>19</v>
      </c>
      <c r="F755" s="4" t="s">
        <v>1739</v>
      </c>
      <c r="G755" s="4" t="s">
        <v>1740</v>
      </c>
    </row>
    <row r="756" customFormat="false" ht="35.05" hidden="false" customHeight="false" outlineLevel="0" collapsed="false">
      <c r="A756" s="4" t="s">
        <v>1672</v>
      </c>
      <c r="B756" s="4" t="s">
        <v>313</v>
      </c>
      <c r="C756" s="4" t="s">
        <v>234</v>
      </c>
      <c r="D756" s="4" t="s">
        <v>1741</v>
      </c>
      <c r="E756" s="4" t="s">
        <v>171</v>
      </c>
      <c r="F756" s="4" t="s">
        <v>1742</v>
      </c>
      <c r="G756" s="4" t="s">
        <v>1743</v>
      </c>
    </row>
    <row r="757" customFormat="false" ht="35.05" hidden="false" customHeight="false" outlineLevel="0" collapsed="false">
      <c r="A757" s="4" t="s">
        <v>1672</v>
      </c>
      <c r="B757" s="4" t="s">
        <v>313</v>
      </c>
      <c r="C757" s="4" t="s">
        <v>236</v>
      </c>
      <c r="D757" s="4" t="s">
        <v>1744</v>
      </c>
      <c r="E757" s="4" t="s">
        <v>19</v>
      </c>
      <c r="F757" s="4" t="s">
        <v>1745</v>
      </c>
      <c r="G757" s="4" t="s">
        <v>1746</v>
      </c>
    </row>
    <row r="758" customFormat="false" ht="57.45" hidden="false" customHeight="false" outlineLevel="0" collapsed="false">
      <c r="A758" s="4" t="s">
        <v>1672</v>
      </c>
      <c r="B758" s="4" t="s">
        <v>313</v>
      </c>
      <c r="C758" s="4" t="s">
        <v>238</v>
      </c>
      <c r="D758" s="4" t="s">
        <v>1747</v>
      </c>
      <c r="E758" s="4" t="s">
        <v>19</v>
      </c>
      <c r="F758" s="4" t="s">
        <v>1748</v>
      </c>
      <c r="G758" s="4" t="s">
        <v>1749</v>
      </c>
    </row>
    <row r="759" customFormat="false" ht="35.05" hidden="false" customHeight="false" outlineLevel="0" collapsed="false">
      <c r="A759" s="4" t="s">
        <v>1672</v>
      </c>
      <c r="B759" s="4" t="s">
        <v>329</v>
      </c>
      <c r="C759" s="4"/>
      <c r="D759" s="4" t="s">
        <v>1750</v>
      </c>
      <c r="E759" s="4" t="s">
        <v>171</v>
      </c>
      <c r="F759" s="4" t="s">
        <v>1751</v>
      </c>
      <c r="G759" s="4"/>
    </row>
    <row r="760" customFormat="false" ht="35.05" hidden="false" customHeight="false" outlineLevel="0" collapsed="false">
      <c r="A760" s="4" t="s">
        <v>1672</v>
      </c>
      <c r="B760" s="4" t="s">
        <v>329</v>
      </c>
      <c r="C760" s="4"/>
      <c r="D760" s="4" t="s">
        <v>1752</v>
      </c>
      <c r="E760" s="4" t="s">
        <v>333</v>
      </c>
      <c r="F760" s="4" t="s">
        <v>1753</v>
      </c>
      <c r="G760" s="4"/>
    </row>
    <row r="761" customFormat="false" ht="23.85" hidden="false" customHeight="false" outlineLevel="0" collapsed="false">
      <c r="A761" s="4" t="s">
        <v>1672</v>
      </c>
      <c r="B761" s="4" t="s">
        <v>329</v>
      </c>
      <c r="C761" s="4"/>
      <c r="D761" s="4" t="s">
        <v>1754</v>
      </c>
      <c r="E761" s="4" t="s">
        <v>171</v>
      </c>
      <c r="F761" s="4" t="s">
        <v>1755</v>
      </c>
      <c r="G761" s="4"/>
    </row>
    <row r="762" customFormat="false" ht="35.05" hidden="false" customHeight="false" outlineLevel="0" collapsed="false">
      <c r="A762" s="4" t="s">
        <v>1672</v>
      </c>
      <c r="B762" s="4" t="s">
        <v>329</v>
      </c>
      <c r="C762" s="4"/>
      <c r="D762" s="4" t="s">
        <v>1756</v>
      </c>
      <c r="E762" s="4" t="s">
        <v>333</v>
      </c>
      <c r="F762" s="4" t="s">
        <v>1757</v>
      </c>
      <c r="G762" s="4"/>
    </row>
    <row r="763" customFormat="false" ht="46.25" hidden="false" customHeight="false" outlineLevel="0" collapsed="false">
      <c r="A763" s="4" t="s">
        <v>1672</v>
      </c>
      <c r="B763" s="4" t="s">
        <v>329</v>
      </c>
      <c r="C763" s="4"/>
      <c r="D763" s="4" t="s">
        <v>1758</v>
      </c>
      <c r="E763" s="4" t="s">
        <v>333</v>
      </c>
      <c r="F763" s="4" t="s">
        <v>1759</v>
      </c>
      <c r="G763" s="4"/>
    </row>
    <row r="764" customFormat="false" ht="23.85" hidden="false" customHeight="false" outlineLevel="0" collapsed="false">
      <c r="A764" s="4" t="s">
        <v>1672</v>
      </c>
      <c r="B764" s="4" t="s">
        <v>329</v>
      </c>
      <c r="C764" s="4"/>
      <c r="D764" s="4" t="s">
        <v>547</v>
      </c>
      <c r="E764" s="4" t="s">
        <v>333</v>
      </c>
      <c r="F764" s="4" t="s">
        <v>1760</v>
      </c>
      <c r="G764" s="4"/>
    </row>
    <row r="765" customFormat="false" ht="23.85" hidden="false" customHeight="false" outlineLevel="0" collapsed="false">
      <c r="A765" s="4" t="s">
        <v>1672</v>
      </c>
      <c r="B765" s="4" t="s">
        <v>329</v>
      </c>
      <c r="C765" s="4"/>
      <c r="D765" s="4" t="s">
        <v>749</v>
      </c>
      <c r="E765" s="4" t="s">
        <v>171</v>
      </c>
      <c r="F765" s="4" t="s">
        <v>1761</v>
      </c>
      <c r="G765" s="4"/>
    </row>
    <row r="766" customFormat="false" ht="23.85" hidden="false" customHeight="false" outlineLevel="0" collapsed="false">
      <c r="A766" s="4" t="s">
        <v>1672</v>
      </c>
      <c r="B766" s="4" t="s">
        <v>329</v>
      </c>
      <c r="C766" s="4"/>
      <c r="D766" s="4" t="s">
        <v>751</v>
      </c>
      <c r="E766" s="4" t="s">
        <v>171</v>
      </c>
      <c r="F766" s="4" t="s">
        <v>1762</v>
      </c>
      <c r="G766" s="4"/>
    </row>
    <row r="767" customFormat="false" ht="23.85" hidden="false" customHeight="false" outlineLevel="0" collapsed="false">
      <c r="A767" s="4" t="s">
        <v>1672</v>
      </c>
      <c r="B767" s="4" t="s">
        <v>329</v>
      </c>
      <c r="C767" s="4"/>
      <c r="D767" s="4" t="s">
        <v>753</v>
      </c>
      <c r="E767" s="4" t="s">
        <v>171</v>
      </c>
      <c r="F767" s="4" t="s">
        <v>1763</v>
      </c>
      <c r="G767" s="4"/>
    </row>
    <row r="768" customFormat="false" ht="23.85" hidden="false" customHeight="false" outlineLevel="0" collapsed="false">
      <c r="A768" s="4" t="s">
        <v>1672</v>
      </c>
      <c r="B768" s="4" t="s">
        <v>329</v>
      </c>
      <c r="C768" s="4"/>
      <c r="D768" s="4" t="s">
        <v>1764</v>
      </c>
      <c r="E768" s="4" t="s">
        <v>171</v>
      </c>
      <c r="F768" s="4" t="s">
        <v>1765</v>
      </c>
      <c r="G768" s="4"/>
    </row>
    <row r="769" customFormat="false" ht="23.85" hidden="false" customHeight="false" outlineLevel="0" collapsed="false">
      <c r="A769" s="4" t="s">
        <v>1672</v>
      </c>
      <c r="B769" s="4" t="s">
        <v>329</v>
      </c>
      <c r="C769" s="4"/>
      <c r="D769" s="4" t="s">
        <v>1766</v>
      </c>
      <c r="E769" s="4" t="s">
        <v>171</v>
      </c>
      <c r="F769" s="4" t="s">
        <v>1767</v>
      </c>
      <c r="G769" s="4"/>
    </row>
    <row r="770" customFormat="false" ht="23.85" hidden="false" customHeight="false" outlineLevel="0" collapsed="false">
      <c r="A770" s="4" t="s">
        <v>1672</v>
      </c>
      <c r="B770" s="4" t="s">
        <v>329</v>
      </c>
      <c r="C770" s="4"/>
      <c r="D770" s="4" t="s">
        <v>1768</v>
      </c>
      <c r="E770" s="4" t="s">
        <v>171</v>
      </c>
      <c r="F770" s="4" t="s">
        <v>1769</v>
      </c>
      <c r="G770" s="4"/>
    </row>
    <row r="771" customFormat="false" ht="23.85" hidden="false" customHeight="false" outlineLevel="0" collapsed="false">
      <c r="A771" s="4" t="s">
        <v>1672</v>
      </c>
      <c r="B771" s="4" t="s">
        <v>329</v>
      </c>
      <c r="C771" s="4"/>
      <c r="D771" s="4" t="s">
        <v>634</v>
      </c>
      <c r="E771" s="4" t="s">
        <v>333</v>
      </c>
      <c r="F771" s="4" t="s">
        <v>1770</v>
      </c>
      <c r="G771" s="4"/>
    </row>
    <row r="772" customFormat="false" ht="23.85" hidden="false" customHeight="false" outlineLevel="0" collapsed="false">
      <c r="A772" s="4" t="s">
        <v>1672</v>
      </c>
      <c r="B772" s="4" t="s">
        <v>329</v>
      </c>
      <c r="C772" s="4"/>
      <c r="D772" s="4" t="s">
        <v>1771</v>
      </c>
      <c r="E772" s="4" t="s">
        <v>333</v>
      </c>
      <c r="F772" s="4" t="s">
        <v>1772</v>
      </c>
      <c r="G772" s="4"/>
    </row>
    <row r="773" customFormat="false" ht="23.85" hidden="false" customHeight="false" outlineLevel="0" collapsed="false">
      <c r="A773" s="4" t="s">
        <v>1672</v>
      </c>
      <c r="B773" s="4" t="s">
        <v>329</v>
      </c>
      <c r="C773" s="4"/>
      <c r="D773" s="4" t="s">
        <v>1773</v>
      </c>
      <c r="E773" s="4" t="s">
        <v>333</v>
      </c>
      <c r="F773" s="4" t="s">
        <v>1774</v>
      </c>
      <c r="G773" s="4"/>
    </row>
    <row r="774" customFormat="false" ht="46.25" hidden="false" customHeight="false" outlineLevel="0" collapsed="false">
      <c r="A774" s="4" t="s">
        <v>1775</v>
      </c>
      <c r="B774" s="4" t="s">
        <v>249</v>
      </c>
      <c r="C774" s="4" t="s">
        <v>165</v>
      </c>
      <c r="D774" s="4" t="s">
        <v>1173</v>
      </c>
      <c r="E774" s="4" t="s">
        <v>19</v>
      </c>
      <c r="F774" s="4" t="s">
        <v>1776</v>
      </c>
      <c r="G774" s="4" t="s">
        <v>1777</v>
      </c>
    </row>
    <row r="775" customFormat="false" ht="15" hidden="false" customHeight="false" outlineLevel="0" collapsed="false">
      <c r="A775" s="4" t="s">
        <v>1775</v>
      </c>
      <c r="B775" s="4" t="s">
        <v>249</v>
      </c>
      <c r="C775" s="4" t="s">
        <v>167</v>
      </c>
      <c r="D775" s="4" t="s">
        <v>168</v>
      </c>
      <c r="E775" s="4" t="s">
        <v>19</v>
      </c>
      <c r="F775" s="4" t="s">
        <v>1778</v>
      </c>
      <c r="G775" s="4" t="s">
        <v>1779</v>
      </c>
    </row>
    <row r="776" customFormat="false" ht="23.85" hidden="false" customHeight="false" outlineLevel="0" collapsed="false">
      <c r="A776" s="4" t="s">
        <v>1775</v>
      </c>
      <c r="B776" s="4" t="s">
        <v>249</v>
      </c>
      <c r="C776" s="4" t="s">
        <v>169</v>
      </c>
      <c r="D776" s="4" t="s">
        <v>651</v>
      </c>
      <c r="E776" s="4" t="s">
        <v>19</v>
      </c>
      <c r="F776" s="4" t="s">
        <v>1780</v>
      </c>
      <c r="G776" s="4" t="s">
        <v>1781</v>
      </c>
    </row>
    <row r="777" customFormat="false" ht="15" hidden="false" customHeight="false" outlineLevel="0" collapsed="false">
      <c r="A777" s="4" t="s">
        <v>1775</v>
      </c>
      <c r="B777" s="4" t="s">
        <v>249</v>
      </c>
      <c r="C777" s="4" t="s">
        <v>172</v>
      </c>
      <c r="D777" s="4" t="s">
        <v>365</v>
      </c>
      <c r="E777" s="4" t="s">
        <v>171</v>
      </c>
      <c r="F777" s="4" t="s">
        <v>1782</v>
      </c>
      <c r="G777" s="4" t="s">
        <v>1783</v>
      </c>
    </row>
    <row r="778" customFormat="false" ht="23.85" hidden="false" customHeight="false" outlineLevel="0" collapsed="false">
      <c r="A778" s="4" t="s">
        <v>1775</v>
      </c>
      <c r="B778" s="4" t="s">
        <v>249</v>
      </c>
      <c r="C778" s="4" t="s">
        <v>174</v>
      </c>
      <c r="D778" s="4" t="s">
        <v>368</v>
      </c>
      <c r="E778" s="4" t="s">
        <v>19</v>
      </c>
      <c r="F778" s="4" t="s">
        <v>1784</v>
      </c>
      <c r="G778" s="4" t="s">
        <v>1785</v>
      </c>
    </row>
    <row r="779" customFormat="false" ht="35.05" hidden="false" customHeight="false" outlineLevel="0" collapsed="false">
      <c r="A779" s="4" t="s">
        <v>1775</v>
      </c>
      <c r="B779" s="4" t="s">
        <v>249</v>
      </c>
      <c r="C779" s="4" t="s">
        <v>176</v>
      </c>
      <c r="D779" s="4" t="s">
        <v>371</v>
      </c>
      <c r="E779" s="4" t="s">
        <v>19</v>
      </c>
      <c r="F779" s="4" t="s">
        <v>1786</v>
      </c>
      <c r="G779" s="4" t="s">
        <v>1787</v>
      </c>
    </row>
    <row r="780" customFormat="false" ht="15" hidden="false" customHeight="false" outlineLevel="0" collapsed="false">
      <c r="A780" s="4" t="s">
        <v>1775</v>
      </c>
      <c r="B780" s="4" t="s">
        <v>249</v>
      </c>
      <c r="C780" s="4" t="s">
        <v>178</v>
      </c>
      <c r="D780" s="4" t="s">
        <v>374</v>
      </c>
      <c r="E780" s="4" t="s">
        <v>171</v>
      </c>
      <c r="F780" s="4" t="s">
        <v>1788</v>
      </c>
      <c r="G780" s="4" t="s">
        <v>277</v>
      </c>
    </row>
    <row r="781" customFormat="false" ht="23.85" hidden="false" customHeight="false" outlineLevel="0" collapsed="false">
      <c r="A781" s="4" t="s">
        <v>1775</v>
      </c>
      <c r="B781" s="4" t="s">
        <v>249</v>
      </c>
      <c r="C781" s="4" t="s">
        <v>180</v>
      </c>
      <c r="D781" s="4" t="s">
        <v>1286</v>
      </c>
      <c r="E781" s="4" t="s">
        <v>19</v>
      </c>
      <c r="F781" s="4" t="s">
        <v>1789</v>
      </c>
      <c r="G781" s="4" t="s">
        <v>1790</v>
      </c>
    </row>
    <row r="782" customFormat="false" ht="23.85" hidden="false" customHeight="false" outlineLevel="0" collapsed="false">
      <c r="A782" s="4" t="s">
        <v>1775</v>
      </c>
      <c r="B782" s="4" t="s">
        <v>249</v>
      </c>
      <c r="C782" s="4" t="s">
        <v>182</v>
      </c>
      <c r="D782" s="4" t="s">
        <v>183</v>
      </c>
      <c r="E782" s="4" t="s">
        <v>171</v>
      </c>
      <c r="F782" s="4" t="s">
        <v>1791</v>
      </c>
      <c r="G782" s="4" t="s">
        <v>277</v>
      </c>
    </row>
    <row r="783" customFormat="false" ht="23.85" hidden="false" customHeight="false" outlineLevel="0" collapsed="false">
      <c r="A783" s="4" t="s">
        <v>1775</v>
      </c>
      <c r="B783" s="4" t="s">
        <v>249</v>
      </c>
      <c r="C783" s="4" t="s">
        <v>184</v>
      </c>
      <c r="D783" s="4" t="s">
        <v>185</v>
      </c>
      <c r="E783" s="4" t="s">
        <v>20</v>
      </c>
      <c r="F783" s="4" t="s">
        <v>1792</v>
      </c>
      <c r="G783" s="4" t="s">
        <v>1793</v>
      </c>
    </row>
    <row r="784" customFormat="false" ht="35.05" hidden="false" customHeight="false" outlineLevel="0" collapsed="false">
      <c r="A784" s="4" t="s">
        <v>1775</v>
      </c>
      <c r="B784" s="4" t="s">
        <v>249</v>
      </c>
      <c r="C784" s="4" t="s">
        <v>186</v>
      </c>
      <c r="D784" s="4" t="s">
        <v>480</v>
      </c>
      <c r="E784" s="4" t="s">
        <v>19</v>
      </c>
      <c r="F784" s="4" t="s">
        <v>1794</v>
      </c>
      <c r="G784" s="4" t="s">
        <v>1795</v>
      </c>
    </row>
    <row r="785" customFormat="false" ht="23.85" hidden="false" customHeight="false" outlineLevel="0" collapsed="false">
      <c r="A785" s="4" t="s">
        <v>1775</v>
      </c>
      <c r="B785" s="4" t="s">
        <v>249</v>
      </c>
      <c r="C785" s="4" t="s">
        <v>188</v>
      </c>
      <c r="D785" s="4" t="s">
        <v>189</v>
      </c>
      <c r="E785" s="4" t="s">
        <v>20</v>
      </c>
      <c r="F785" s="4" t="s">
        <v>1796</v>
      </c>
      <c r="G785" s="4" t="s">
        <v>1797</v>
      </c>
    </row>
    <row r="786" customFormat="false" ht="23.85" hidden="false" customHeight="false" outlineLevel="0" collapsed="false">
      <c r="A786" s="4" t="s">
        <v>1775</v>
      </c>
      <c r="B786" s="4" t="s">
        <v>249</v>
      </c>
      <c r="C786" s="4" t="s">
        <v>190</v>
      </c>
      <c r="D786" s="4" t="s">
        <v>191</v>
      </c>
      <c r="E786" s="4" t="s">
        <v>171</v>
      </c>
      <c r="F786" s="4" t="s">
        <v>1798</v>
      </c>
      <c r="G786" s="4" t="s">
        <v>1799</v>
      </c>
    </row>
    <row r="787" customFormat="false" ht="35.05" hidden="false" customHeight="false" outlineLevel="0" collapsed="false">
      <c r="A787" s="4" t="s">
        <v>1775</v>
      </c>
      <c r="B787" s="4" t="s">
        <v>249</v>
      </c>
      <c r="C787" s="4" t="s">
        <v>192</v>
      </c>
      <c r="D787" s="4" t="s">
        <v>193</v>
      </c>
      <c r="E787" s="4" t="s">
        <v>171</v>
      </c>
      <c r="F787" s="4" t="s">
        <v>1800</v>
      </c>
      <c r="G787" s="4" t="s">
        <v>277</v>
      </c>
    </row>
    <row r="788" customFormat="false" ht="15" hidden="false" customHeight="false" outlineLevel="0" collapsed="false">
      <c r="A788" s="4" t="s">
        <v>1775</v>
      </c>
      <c r="B788" s="4" t="s">
        <v>249</v>
      </c>
      <c r="C788" s="4" t="s">
        <v>194</v>
      </c>
      <c r="D788" s="4" t="s">
        <v>195</v>
      </c>
      <c r="E788" s="4" t="s">
        <v>19</v>
      </c>
      <c r="F788" s="4" t="s">
        <v>1801</v>
      </c>
      <c r="G788" s="4" t="s">
        <v>1802</v>
      </c>
    </row>
    <row r="789" customFormat="false" ht="23.85" hidden="false" customHeight="false" outlineLevel="0" collapsed="false">
      <c r="A789" s="4" t="s">
        <v>1775</v>
      </c>
      <c r="B789" s="4" t="s">
        <v>249</v>
      </c>
      <c r="C789" s="4" t="s">
        <v>196</v>
      </c>
      <c r="D789" s="4" t="s">
        <v>197</v>
      </c>
      <c r="E789" s="4" t="s">
        <v>19</v>
      </c>
      <c r="F789" s="4" t="s">
        <v>1803</v>
      </c>
      <c r="G789" s="4" t="s">
        <v>1804</v>
      </c>
    </row>
    <row r="790" customFormat="false" ht="35.05" hidden="false" customHeight="false" outlineLevel="0" collapsed="false">
      <c r="A790" s="4" t="s">
        <v>1775</v>
      </c>
      <c r="B790" s="4" t="s">
        <v>249</v>
      </c>
      <c r="C790" s="4" t="s">
        <v>198</v>
      </c>
      <c r="D790" s="4" t="s">
        <v>199</v>
      </c>
      <c r="E790" s="4" t="s">
        <v>20</v>
      </c>
      <c r="F790" s="4" t="s">
        <v>1805</v>
      </c>
      <c r="G790" s="4" t="s">
        <v>1806</v>
      </c>
    </row>
    <row r="791" customFormat="false" ht="15" hidden="false" customHeight="false" outlineLevel="0" collapsed="false">
      <c r="A791" s="4" t="s">
        <v>1775</v>
      </c>
      <c r="B791" s="4" t="s">
        <v>249</v>
      </c>
      <c r="C791" s="4" t="s">
        <v>200</v>
      </c>
      <c r="D791" s="4" t="s">
        <v>1210</v>
      </c>
      <c r="E791" s="4" t="s">
        <v>20</v>
      </c>
      <c r="F791" s="4" t="s">
        <v>1807</v>
      </c>
      <c r="G791" s="4" t="s">
        <v>1808</v>
      </c>
    </row>
    <row r="792" customFormat="false" ht="23.85" hidden="false" customHeight="false" outlineLevel="0" collapsed="false">
      <c r="A792" s="4" t="s">
        <v>1775</v>
      </c>
      <c r="B792" s="4" t="s">
        <v>249</v>
      </c>
      <c r="C792" s="4" t="s">
        <v>202</v>
      </c>
      <c r="D792" s="4" t="s">
        <v>203</v>
      </c>
      <c r="E792" s="4" t="s">
        <v>19</v>
      </c>
      <c r="F792" s="4" t="s">
        <v>1809</v>
      </c>
      <c r="G792" s="4" t="s">
        <v>1810</v>
      </c>
    </row>
    <row r="793" customFormat="false" ht="35.05" hidden="false" customHeight="false" outlineLevel="0" collapsed="false">
      <c r="A793" s="4" t="s">
        <v>1775</v>
      </c>
      <c r="B793" s="4" t="s">
        <v>249</v>
      </c>
      <c r="C793" s="4" t="s">
        <v>204</v>
      </c>
      <c r="D793" s="4" t="s">
        <v>1811</v>
      </c>
      <c r="E793" s="4" t="s">
        <v>20</v>
      </c>
      <c r="F793" s="4" t="s">
        <v>1812</v>
      </c>
      <c r="G793" s="4" t="s">
        <v>1813</v>
      </c>
    </row>
    <row r="794" customFormat="false" ht="23.85" hidden="false" customHeight="false" outlineLevel="0" collapsed="false">
      <c r="A794" s="4" t="s">
        <v>1775</v>
      </c>
      <c r="B794" s="4" t="s">
        <v>249</v>
      </c>
      <c r="C794" s="4" t="s">
        <v>206</v>
      </c>
      <c r="D794" s="4" t="s">
        <v>207</v>
      </c>
      <c r="E794" s="4" t="s">
        <v>171</v>
      </c>
      <c r="F794" s="4" t="s">
        <v>1814</v>
      </c>
      <c r="G794" s="4" t="s">
        <v>277</v>
      </c>
    </row>
    <row r="795" customFormat="false" ht="23.85" hidden="false" customHeight="false" outlineLevel="0" collapsed="false">
      <c r="A795" s="4" t="s">
        <v>1775</v>
      </c>
      <c r="B795" s="4" t="s">
        <v>292</v>
      </c>
      <c r="C795" s="4" t="s">
        <v>208</v>
      </c>
      <c r="D795" s="4" t="s">
        <v>209</v>
      </c>
      <c r="E795" s="4" t="s">
        <v>171</v>
      </c>
      <c r="F795" s="4" t="s">
        <v>1815</v>
      </c>
      <c r="G795" s="4" t="s">
        <v>277</v>
      </c>
    </row>
    <row r="796" customFormat="false" ht="15" hidden="false" customHeight="false" outlineLevel="0" collapsed="false">
      <c r="A796" s="4" t="s">
        <v>1775</v>
      </c>
      <c r="B796" s="4" t="s">
        <v>292</v>
      </c>
      <c r="C796" s="4" t="s">
        <v>210</v>
      </c>
      <c r="D796" s="4" t="s">
        <v>211</v>
      </c>
      <c r="E796" s="4" t="s">
        <v>19</v>
      </c>
      <c r="F796" s="4" t="s">
        <v>1816</v>
      </c>
      <c r="G796" s="4" t="s">
        <v>1817</v>
      </c>
    </row>
    <row r="797" customFormat="false" ht="15" hidden="false" customHeight="false" outlineLevel="0" collapsed="false">
      <c r="A797" s="4" t="s">
        <v>1775</v>
      </c>
      <c r="B797" s="4" t="s">
        <v>292</v>
      </c>
      <c r="C797" s="4" t="s">
        <v>212</v>
      </c>
      <c r="D797" s="4" t="s">
        <v>213</v>
      </c>
      <c r="E797" s="4" t="s">
        <v>19</v>
      </c>
      <c r="F797" s="4" t="s">
        <v>1818</v>
      </c>
      <c r="G797" s="4" t="s">
        <v>1819</v>
      </c>
    </row>
    <row r="798" customFormat="false" ht="23.85" hidden="false" customHeight="false" outlineLevel="0" collapsed="false">
      <c r="A798" s="4" t="s">
        <v>1775</v>
      </c>
      <c r="B798" s="4" t="s">
        <v>292</v>
      </c>
      <c r="C798" s="4" t="s">
        <v>214</v>
      </c>
      <c r="D798" s="4" t="s">
        <v>215</v>
      </c>
      <c r="E798" s="4" t="s">
        <v>19</v>
      </c>
      <c r="F798" s="4" t="s">
        <v>1820</v>
      </c>
      <c r="G798" s="4" t="s">
        <v>1821</v>
      </c>
    </row>
    <row r="799" customFormat="false" ht="15" hidden="false" customHeight="false" outlineLevel="0" collapsed="false">
      <c r="A799" s="4" t="s">
        <v>1775</v>
      </c>
      <c r="B799" s="4" t="s">
        <v>292</v>
      </c>
      <c r="C799" s="4" t="s">
        <v>216</v>
      </c>
      <c r="D799" s="4" t="s">
        <v>217</v>
      </c>
      <c r="E799" s="4" t="s">
        <v>171</v>
      </c>
      <c r="F799" s="4" t="s">
        <v>1822</v>
      </c>
      <c r="G799" s="4" t="s">
        <v>277</v>
      </c>
    </row>
    <row r="800" customFormat="false" ht="15" hidden="false" customHeight="false" outlineLevel="0" collapsed="false">
      <c r="A800" s="4" t="s">
        <v>1775</v>
      </c>
      <c r="B800" s="4" t="s">
        <v>292</v>
      </c>
      <c r="C800" s="4" t="s">
        <v>218</v>
      </c>
      <c r="D800" s="4" t="s">
        <v>219</v>
      </c>
      <c r="E800" s="4" t="s">
        <v>171</v>
      </c>
      <c r="F800" s="4" t="s">
        <v>1823</v>
      </c>
      <c r="G800" s="4" t="s">
        <v>277</v>
      </c>
    </row>
    <row r="801" customFormat="false" ht="23.85" hidden="false" customHeight="false" outlineLevel="0" collapsed="false">
      <c r="A801" s="4" t="s">
        <v>1775</v>
      </c>
      <c r="B801" s="4" t="s">
        <v>292</v>
      </c>
      <c r="C801" s="4" t="s">
        <v>220</v>
      </c>
      <c r="D801" s="4" t="s">
        <v>221</v>
      </c>
      <c r="E801" s="4" t="s">
        <v>19</v>
      </c>
      <c r="F801" s="4" t="s">
        <v>1824</v>
      </c>
      <c r="G801" s="4" t="s">
        <v>1825</v>
      </c>
    </row>
    <row r="802" customFormat="false" ht="15" hidden="false" customHeight="false" outlineLevel="0" collapsed="false">
      <c r="A802" s="4" t="s">
        <v>1775</v>
      </c>
      <c r="B802" s="4" t="s">
        <v>292</v>
      </c>
      <c r="C802" s="4" t="s">
        <v>222</v>
      </c>
      <c r="D802" s="4" t="s">
        <v>223</v>
      </c>
      <c r="E802" s="4" t="s">
        <v>20</v>
      </c>
      <c r="F802" s="4" t="s">
        <v>1826</v>
      </c>
      <c r="G802" s="4" t="s">
        <v>1827</v>
      </c>
    </row>
    <row r="803" customFormat="false" ht="15" hidden="false" customHeight="false" outlineLevel="0" collapsed="false">
      <c r="A803" s="4" t="s">
        <v>1775</v>
      </c>
      <c r="B803" s="4" t="s">
        <v>292</v>
      </c>
      <c r="C803" s="4" t="s">
        <v>224</v>
      </c>
      <c r="D803" s="4" t="s">
        <v>225</v>
      </c>
      <c r="E803" s="4" t="s">
        <v>19</v>
      </c>
      <c r="F803" s="4" t="s">
        <v>1828</v>
      </c>
      <c r="G803" s="4" t="s">
        <v>1829</v>
      </c>
    </row>
    <row r="804" customFormat="false" ht="15" hidden="false" customHeight="false" outlineLevel="0" collapsed="false">
      <c r="A804" s="4" t="s">
        <v>1775</v>
      </c>
      <c r="B804" s="4" t="s">
        <v>292</v>
      </c>
      <c r="C804" s="4" t="s">
        <v>226</v>
      </c>
      <c r="D804" s="4" t="s">
        <v>227</v>
      </c>
      <c r="E804" s="4" t="s">
        <v>19</v>
      </c>
      <c r="F804" s="4" t="s">
        <v>1830</v>
      </c>
      <c r="G804" s="4" t="s">
        <v>1831</v>
      </c>
    </row>
    <row r="805" customFormat="false" ht="15" hidden="false" customHeight="false" outlineLevel="0" collapsed="false">
      <c r="A805" s="4" t="s">
        <v>1775</v>
      </c>
      <c r="B805" s="4" t="s">
        <v>292</v>
      </c>
      <c r="C805" s="4" t="s">
        <v>228</v>
      </c>
      <c r="D805" s="4" t="s">
        <v>229</v>
      </c>
      <c r="E805" s="4" t="s">
        <v>171</v>
      </c>
      <c r="F805" s="4" t="s">
        <v>1832</v>
      </c>
      <c r="G805" s="4" t="s">
        <v>277</v>
      </c>
    </row>
    <row r="806" customFormat="false" ht="35.05" hidden="false" customHeight="false" outlineLevel="0" collapsed="false">
      <c r="A806" s="4" t="s">
        <v>1775</v>
      </c>
      <c r="B806" s="4" t="s">
        <v>313</v>
      </c>
      <c r="C806" s="4" t="s">
        <v>230</v>
      </c>
      <c r="D806" s="4" t="s">
        <v>1833</v>
      </c>
      <c r="E806" s="4" t="s">
        <v>20</v>
      </c>
      <c r="F806" s="4" t="s">
        <v>1834</v>
      </c>
      <c r="G806" s="4" t="s">
        <v>1835</v>
      </c>
    </row>
    <row r="807" customFormat="false" ht="35.05" hidden="false" customHeight="false" outlineLevel="0" collapsed="false">
      <c r="A807" s="4" t="s">
        <v>1775</v>
      </c>
      <c r="B807" s="4" t="s">
        <v>313</v>
      </c>
      <c r="C807" s="4" t="s">
        <v>232</v>
      </c>
      <c r="D807" s="4" t="s">
        <v>1836</v>
      </c>
      <c r="E807" s="4" t="s">
        <v>171</v>
      </c>
      <c r="F807" s="4" t="s">
        <v>1837</v>
      </c>
      <c r="G807" s="4" t="s">
        <v>1838</v>
      </c>
    </row>
    <row r="808" customFormat="false" ht="23.85" hidden="false" customHeight="false" outlineLevel="0" collapsed="false">
      <c r="A808" s="4" t="s">
        <v>1775</v>
      </c>
      <c r="B808" s="4" t="s">
        <v>313</v>
      </c>
      <c r="C808" s="4" t="s">
        <v>234</v>
      </c>
      <c r="D808" s="4" t="s">
        <v>1839</v>
      </c>
      <c r="E808" s="4" t="s">
        <v>19</v>
      </c>
      <c r="F808" s="4" t="s">
        <v>1840</v>
      </c>
      <c r="G808" s="4" t="s">
        <v>1841</v>
      </c>
    </row>
    <row r="809" customFormat="false" ht="23.85" hidden="false" customHeight="false" outlineLevel="0" collapsed="false">
      <c r="A809" s="4" t="s">
        <v>1775</v>
      </c>
      <c r="B809" s="4" t="s">
        <v>313</v>
      </c>
      <c r="C809" s="4" t="s">
        <v>236</v>
      </c>
      <c r="D809" s="4" t="s">
        <v>1842</v>
      </c>
      <c r="E809" s="4" t="s">
        <v>19</v>
      </c>
      <c r="F809" s="4" t="s">
        <v>1843</v>
      </c>
      <c r="G809" s="4" t="s">
        <v>1844</v>
      </c>
    </row>
    <row r="810" customFormat="false" ht="35.05" hidden="false" customHeight="false" outlineLevel="0" collapsed="false">
      <c r="A810" s="4" t="s">
        <v>1775</v>
      </c>
      <c r="B810" s="4" t="s">
        <v>313</v>
      </c>
      <c r="C810" s="4" t="s">
        <v>238</v>
      </c>
      <c r="D810" s="4" t="s">
        <v>1845</v>
      </c>
      <c r="E810" s="4" t="s">
        <v>171</v>
      </c>
      <c r="F810" s="4" t="s">
        <v>1846</v>
      </c>
      <c r="G810" s="4" t="s">
        <v>1847</v>
      </c>
    </row>
    <row r="811" customFormat="false" ht="46.25" hidden="false" customHeight="false" outlineLevel="0" collapsed="false">
      <c r="A811" s="4" t="s">
        <v>1775</v>
      </c>
      <c r="B811" s="4" t="s">
        <v>329</v>
      </c>
      <c r="C811" s="4"/>
      <c r="D811" s="4" t="s">
        <v>1848</v>
      </c>
      <c r="E811" s="4" t="s">
        <v>333</v>
      </c>
      <c r="F811" s="4" t="s">
        <v>1849</v>
      </c>
      <c r="G811" s="4"/>
    </row>
    <row r="812" customFormat="false" ht="23.85" hidden="false" customHeight="false" outlineLevel="0" collapsed="false">
      <c r="A812" s="4" t="s">
        <v>1775</v>
      </c>
      <c r="B812" s="4" t="s">
        <v>329</v>
      </c>
      <c r="C812" s="4"/>
      <c r="D812" s="4" t="s">
        <v>1850</v>
      </c>
      <c r="E812" s="4" t="s">
        <v>171</v>
      </c>
      <c r="F812" s="4" t="s">
        <v>1851</v>
      </c>
      <c r="G812" s="4"/>
    </row>
    <row r="813" customFormat="false" ht="46.25" hidden="false" customHeight="false" outlineLevel="0" collapsed="false">
      <c r="A813" s="4" t="s">
        <v>1775</v>
      </c>
      <c r="B813" s="4" t="s">
        <v>329</v>
      </c>
      <c r="C813" s="4"/>
      <c r="D813" s="4" t="s">
        <v>1852</v>
      </c>
      <c r="E813" s="4" t="s">
        <v>333</v>
      </c>
      <c r="F813" s="4" t="s">
        <v>1853</v>
      </c>
      <c r="G813" s="4"/>
    </row>
    <row r="814" customFormat="false" ht="23.85" hidden="false" customHeight="false" outlineLevel="0" collapsed="false">
      <c r="A814" s="4" t="s">
        <v>1775</v>
      </c>
      <c r="B814" s="4" t="s">
        <v>329</v>
      </c>
      <c r="C814" s="4"/>
      <c r="D814" s="4" t="s">
        <v>1854</v>
      </c>
      <c r="E814" s="4" t="s">
        <v>171</v>
      </c>
      <c r="F814" s="4" t="s">
        <v>1855</v>
      </c>
      <c r="G814" s="4"/>
    </row>
    <row r="815" customFormat="false" ht="23.85" hidden="false" customHeight="false" outlineLevel="0" collapsed="false">
      <c r="A815" s="4" t="s">
        <v>1775</v>
      </c>
      <c r="B815" s="4" t="s">
        <v>329</v>
      </c>
      <c r="C815" s="4"/>
      <c r="D815" s="4" t="s">
        <v>1856</v>
      </c>
      <c r="E815" s="4" t="s">
        <v>333</v>
      </c>
      <c r="F815" s="4" t="s">
        <v>1857</v>
      </c>
      <c r="G815" s="4"/>
    </row>
    <row r="816" customFormat="false" ht="35.05" hidden="false" customHeight="false" outlineLevel="0" collapsed="false">
      <c r="A816" s="4" t="s">
        <v>1775</v>
      </c>
      <c r="B816" s="4" t="s">
        <v>329</v>
      </c>
      <c r="C816" s="4"/>
      <c r="D816" s="4" t="s">
        <v>1858</v>
      </c>
      <c r="E816" s="4" t="s">
        <v>333</v>
      </c>
      <c r="F816" s="4" t="s">
        <v>1859</v>
      </c>
      <c r="G816" s="4"/>
    </row>
    <row r="817" customFormat="false" ht="35.05" hidden="false" customHeight="false" outlineLevel="0" collapsed="false">
      <c r="A817" s="4" t="s">
        <v>1775</v>
      </c>
      <c r="B817" s="4" t="s">
        <v>329</v>
      </c>
      <c r="C817" s="4"/>
      <c r="D817" s="4" t="s">
        <v>1657</v>
      </c>
      <c r="E817" s="4" t="s">
        <v>333</v>
      </c>
      <c r="F817" s="4" t="s">
        <v>1860</v>
      </c>
      <c r="G817" s="4"/>
    </row>
    <row r="818" customFormat="false" ht="23.85" hidden="false" customHeight="false" outlineLevel="0" collapsed="false">
      <c r="A818" s="4" t="s">
        <v>1775</v>
      </c>
      <c r="B818" s="4" t="s">
        <v>329</v>
      </c>
      <c r="C818" s="4"/>
      <c r="D818" s="4" t="s">
        <v>547</v>
      </c>
      <c r="E818" s="4" t="s">
        <v>333</v>
      </c>
      <c r="F818" s="4" t="s">
        <v>1861</v>
      </c>
      <c r="G818" s="4"/>
    </row>
    <row r="819" customFormat="false" ht="23.85" hidden="false" customHeight="false" outlineLevel="0" collapsed="false">
      <c r="A819" s="4" t="s">
        <v>1775</v>
      </c>
      <c r="B819" s="4" t="s">
        <v>329</v>
      </c>
      <c r="C819" s="4"/>
      <c r="D819" s="4" t="s">
        <v>751</v>
      </c>
      <c r="E819" s="4" t="s">
        <v>171</v>
      </c>
      <c r="F819" s="4" t="s">
        <v>1862</v>
      </c>
      <c r="G819" s="4"/>
    </row>
    <row r="820" customFormat="false" ht="23.85" hidden="false" customHeight="false" outlineLevel="0" collapsed="false">
      <c r="A820" s="4" t="s">
        <v>1775</v>
      </c>
      <c r="B820" s="4" t="s">
        <v>329</v>
      </c>
      <c r="C820" s="4"/>
      <c r="D820" s="4" t="s">
        <v>862</v>
      </c>
      <c r="E820" s="4" t="s">
        <v>171</v>
      </c>
      <c r="F820" s="4" t="s">
        <v>1863</v>
      </c>
      <c r="G820" s="4"/>
    </row>
    <row r="821" customFormat="false" ht="23.85" hidden="false" customHeight="false" outlineLevel="0" collapsed="false">
      <c r="A821" s="4" t="s">
        <v>1775</v>
      </c>
      <c r="B821" s="4" t="s">
        <v>329</v>
      </c>
      <c r="C821" s="4"/>
      <c r="D821" s="4" t="s">
        <v>1764</v>
      </c>
      <c r="E821" s="4" t="s">
        <v>171</v>
      </c>
      <c r="F821" s="4" t="s">
        <v>1864</v>
      </c>
      <c r="G821" s="4"/>
    </row>
    <row r="822" customFormat="false" ht="23.85" hidden="false" customHeight="false" outlineLevel="0" collapsed="false">
      <c r="A822" s="4" t="s">
        <v>1775</v>
      </c>
      <c r="B822" s="4" t="s">
        <v>329</v>
      </c>
      <c r="C822" s="4"/>
      <c r="D822" s="4" t="s">
        <v>1865</v>
      </c>
      <c r="E822" s="4" t="s">
        <v>171</v>
      </c>
      <c r="F822" s="4" t="s">
        <v>1866</v>
      </c>
      <c r="G822" s="4"/>
    </row>
    <row r="823" customFormat="false" ht="35.05" hidden="false" customHeight="false" outlineLevel="0" collapsed="false">
      <c r="A823" s="4" t="s">
        <v>1775</v>
      </c>
      <c r="B823" s="4" t="s">
        <v>329</v>
      </c>
      <c r="C823" s="4"/>
      <c r="D823" s="4" t="s">
        <v>1867</v>
      </c>
      <c r="E823" s="4" t="s">
        <v>333</v>
      </c>
      <c r="F823" s="4" t="s">
        <v>1868</v>
      </c>
      <c r="G823" s="4"/>
    </row>
    <row r="824" customFormat="false" ht="23.85" hidden="false" customHeight="false" outlineLevel="0" collapsed="false">
      <c r="A824" s="4" t="s">
        <v>1775</v>
      </c>
      <c r="B824" s="4" t="s">
        <v>329</v>
      </c>
      <c r="C824" s="4"/>
      <c r="D824" s="4" t="s">
        <v>1869</v>
      </c>
      <c r="E824" s="4" t="s">
        <v>171</v>
      </c>
      <c r="F824" s="4" t="s">
        <v>1870</v>
      </c>
      <c r="G824" s="4"/>
    </row>
    <row r="825" customFormat="false" ht="23.85" hidden="false" customHeight="false" outlineLevel="0" collapsed="false">
      <c r="A825" s="4" t="s">
        <v>1775</v>
      </c>
      <c r="B825" s="4" t="s">
        <v>329</v>
      </c>
      <c r="C825" s="4"/>
      <c r="D825" s="4" t="s">
        <v>347</v>
      </c>
      <c r="E825" s="4" t="s">
        <v>171</v>
      </c>
      <c r="F825" s="4" t="s">
        <v>1871</v>
      </c>
      <c r="G825" s="4"/>
    </row>
    <row r="826" customFormat="false" ht="23.85" hidden="false" customHeight="false" outlineLevel="0" collapsed="false">
      <c r="A826" s="4" t="s">
        <v>1872</v>
      </c>
      <c r="B826" s="4" t="s">
        <v>249</v>
      </c>
      <c r="C826" s="4" t="s">
        <v>165</v>
      </c>
      <c r="D826" s="4" t="s">
        <v>1173</v>
      </c>
      <c r="E826" s="4" t="s">
        <v>19</v>
      </c>
      <c r="F826" s="4" t="s">
        <v>1873</v>
      </c>
      <c r="G826" s="4" t="s">
        <v>1874</v>
      </c>
    </row>
    <row r="827" customFormat="false" ht="15" hidden="false" customHeight="false" outlineLevel="0" collapsed="false">
      <c r="A827" s="4" t="s">
        <v>1872</v>
      </c>
      <c r="B827" s="4" t="s">
        <v>249</v>
      </c>
      <c r="C827" s="4" t="s">
        <v>167</v>
      </c>
      <c r="D827" s="4" t="s">
        <v>168</v>
      </c>
      <c r="E827" s="4" t="s">
        <v>19</v>
      </c>
      <c r="F827" s="4" t="s">
        <v>1875</v>
      </c>
      <c r="G827" s="4" t="s">
        <v>1876</v>
      </c>
    </row>
    <row r="828" customFormat="false" ht="23.85" hidden="false" customHeight="false" outlineLevel="0" collapsed="false">
      <c r="A828" s="4" t="s">
        <v>1872</v>
      </c>
      <c r="B828" s="4" t="s">
        <v>249</v>
      </c>
      <c r="C828" s="4" t="s">
        <v>169</v>
      </c>
      <c r="D828" s="4" t="s">
        <v>170</v>
      </c>
      <c r="E828" s="4" t="s">
        <v>171</v>
      </c>
      <c r="F828" s="4" t="s">
        <v>1877</v>
      </c>
      <c r="G828" s="4" t="s">
        <v>1878</v>
      </c>
    </row>
    <row r="829" customFormat="false" ht="23.85" hidden="false" customHeight="false" outlineLevel="0" collapsed="false">
      <c r="A829" s="4" t="s">
        <v>1872</v>
      </c>
      <c r="B829" s="4" t="s">
        <v>249</v>
      </c>
      <c r="C829" s="4" t="s">
        <v>172</v>
      </c>
      <c r="D829" s="4" t="s">
        <v>365</v>
      </c>
      <c r="E829" s="4" t="s">
        <v>171</v>
      </c>
      <c r="F829" s="4" t="s">
        <v>1879</v>
      </c>
      <c r="G829" s="4" t="s">
        <v>277</v>
      </c>
    </row>
    <row r="830" customFormat="false" ht="35.05" hidden="false" customHeight="false" outlineLevel="0" collapsed="false">
      <c r="A830" s="4" t="s">
        <v>1872</v>
      </c>
      <c r="B830" s="4" t="s">
        <v>249</v>
      </c>
      <c r="C830" s="4" t="s">
        <v>174</v>
      </c>
      <c r="D830" s="4" t="s">
        <v>368</v>
      </c>
      <c r="E830" s="4" t="s">
        <v>19</v>
      </c>
      <c r="F830" s="4" t="s">
        <v>1880</v>
      </c>
      <c r="G830" s="4" t="s">
        <v>1881</v>
      </c>
    </row>
    <row r="831" customFormat="false" ht="23.85" hidden="false" customHeight="false" outlineLevel="0" collapsed="false">
      <c r="A831" s="4" t="s">
        <v>1872</v>
      </c>
      <c r="B831" s="4" t="s">
        <v>249</v>
      </c>
      <c r="C831" s="4" t="s">
        <v>176</v>
      </c>
      <c r="D831" s="4" t="s">
        <v>371</v>
      </c>
      <c r="E831" s="4" t="s">
        <v>19</v>
      </c>
      <c r="F831" s="4" t="s">
        <v>1882</v>
      </c>
      <c r="G831" s="4" t="s">
        <v>1883</v>
      </c>
    </row>
    <row r="832" customFormat="false" ht="15" hidden="false" customHeight="false" outlineLevel="0" collapsed="false">
      <c r="A832" s="4" t="s">
        <v>1872</v>
      </c>
      <c r="B832" s="4" t="s">
        <v>249</v>
      </c>
      <c r="C832" s="4" t="s">
        <v>178</v>
      </c>
      <c r="D832" s="4" t="s">
        <v>1186</v>
      </c>
      <c r="E832" s="4" t="s">
        <v>171</v>
      </c>
      <c r="F832" s="4" t="s">
        <v>1884</v>
      </c>
      <c r="G832" s="4" t="s">
        <v>277</v>
      </c>
    </row>
    <row r="833" customFormat="false" ht="23.85" hidden="false" customHeight="false" outlineLevel="0" collapsed="false">
      <c r="A833" s="4" t="s">
        <v>1872</v>
      </c>
      <c r="B833" s="4" t="s">
        <v>249</v>
      </c>
      <c r="C833" s="4" t="s">
        <v>180</v>
      </c>
      <c r="D833" s="4" t="s">
        <v>1286</v>
      </c>
      <c r="E833" s="4" t="s">
        <v>19</v>
      </c>
      <c r="F833" s="4" t="s">
        <v>1885</v>
      </c>
      <c r="G833" s="4" t="s">
        <v>1886</v>
      </c>
    </row>
    <row r="834" customFormat="false" ht="15" hidden="false" customHeight="false" outlineLevel="0" collapsed="false">
      <c r="A834" s="4" t="s">
        <v>1872</v>
      </c>
      <c r="B834" s="4" t="s">
        <v>249</v>
      </c>
      <c r="C834" s="4" t="s">
        <v>182</v>
      </c>
      <c r="D834" s="4" t="s">
        <v>183</v>
      </c>
      <c r="E834" s="4" t="s">
        <v>171</v>
      </c>
      <c r="F834" s="4" t="s">
        <v>1887</v>
      </c>
      <c r="G834" s="4" t="s">
        <v>277</v>
      </c>
    </row>
    <row r="835" customFormat="false" ht="23.85" hidden="false" customHeight="false" outlineLevel="0" collapsed="false">
      <c r="A835" s="4" t="s">
        <v>1872</v>
      </c>
      <c r="B835" s="4" t="s">
        <v>249</v>
      </c>
      <c r="C835" s="4" t="s">
        <v>184</v>
      </c>
      <c r="D835" s="4" t="s">
        <v>185</v>
      </c>
      <c r="E835" s="4" t="s">
        <v>20</v>
      </c>
      <c r="F835" s="4" t="s">
        <v>1888</v>
      </c>
      <c r="G835" s="4" t="s">
        <v>1889</v>
      </c>
    </row>
    <row r="836" customFormat="false" ht="23.85" hidden="false" customHeight="false" outlineLevel="0" collapsed="false">
      <c r="A836" s="4" t="s">
        <v>1872</v>
      </c>
      <c r="B836" s="4" t="s">
        <v>249</v>
      </c>
      <c r="C836" s="4" t="s">
        <v>186</v>
      </c>
      <c r="D836" s="4" t="s">
        <v>1890</v>
      </c>
      <c r="E836" s="4" t="s">
        <v>19</v>
      </c>
      <c r="F836" s="4" t="s">
        <v>1891</v>
      </c>
      <c r="G836" s="4" t="s">
        <v>1892</v>
      </c>
    </row>
    <row r="837" customFormat="false" ht="23.85" hidden="false" customHeight="false" outlineLevel="0" collapsed="false">
      <c r="A837" s="4" t="s">
        <v>1872</v>
      </c>
      <c r="B837" s="4" t="s">
        <v>249</v>
      </c>
      <c r="C837" s="4" t="s">
        <v>188</v>
      </c>
      <c r="D837" s="4" t="s">
        <v>189</v>
      </c>
      <c r="E837" s="4" t="s">
        <v>19</v>
      </c>
      <c r="F837" s="4" t="s">
        <v>1893</v>
      </c>
      <c r="G837" s="4" t="s">
        <v>1894</v>
      </c>
    </row>
    <row r="838" customFormat="false" ht="23.85" hidden="false" customHeight="false" outlineLevel="0" collapsed="false">
      <c r="A838" s="4" t="s">
        <v>1872</v>
      </c>
      <c r="B838" s="4" t="s">
        <v>249</v>
      </c>
      <c r="C838" s="4" t="s">
        <v>190</v>
      </c>
      <c r="D838" s="4" t="s">
        <v>191</v>
      </c>
      <c r="E838" s="4" t="s">
        <v>171</v>
      </c>
      <c r="F838" s="4" t="s">
        <v>1895</v>
      </c>
      <c r="G838" s="4" t="s">
        <v>277</v>
      </c>
    </row>
    <row r="839" customFormat="false" ht="35.05" hidden="false" customHeight="false" outlineLevel="0" collapsed="false">
      <c r="A839" s="4" t="s">
        <v>1872</v>
      </c>
      <c r="B839" s="4" t="s">
        <v>249</v>
      </c>
      <c r="C839" s="4" t="s">
        <v>192</v>
      </c>
      <c r="D839" s="4" t="s">
        <v>193</v>
      </c>
      <c r="E839" s="4" t="s">
        <v>171</v>
      </c>
      <c r="F839" s="4" t="s">
        <v>1896</v>
      </c>
      <c r="G839" s="4" t="s">
        <v>277</v>
      </c>
    </row>
    <row r="840" customFormat="false" ht="23.85" hidden="false" customHeight="false" outlineLevel="0" collapsed="false">
      <c r="A840" s="4" t="s">
        <v>1872</v>
      </c>
      <c r="B840" s="4" t="s">
        <v>249</v>
      </c>
      <c r="C840" s="4" t="s">
        <v>194</v>
      </c>
      <c r="D840" s="4" t="s">
        <v>195</v>
      </c>
      <c r="E840" s="4" t="s">
        <v>19</v>
      </c>
      <c r="F840" s="4" t="s">
        <v>1897</v>
      </c>
      <c r="G840" s="4" t="s">
        <v>1898</v>
      </c>
    </row>
    <row r="841" customFormat="false" ht="15" hidden="false" customHeight="false" outlineLevel="0" collapsed="false">
      <c r="A841" s="4" t="s">
        <v>1872</v>
      </c>
      <c r="B841" s="4" t="s">
        <v>249</v>
      </c>
      <c r="C841" s="4" t="s">
        <v>196</v>
      </c>
      <c r="D841" s="4" t="s">
        <v>197</v>
      </c>
      <c r="E841" s="4" t="s">
        <v>171</v>
      </c>
      <c r="F841" s="4" t="s">
        <v>1899</v>
      </c>
      <c r="G841" s="4" t="s">
        <v>1900</v>
      </c>
    </row>
    <row r="842" customFormat="false" ht="35.05" hidden="false" customHeight="false" outlineLevel="0" collapsed="false">
      <c r="A842" s="4" t="s">
        <v>1872</v>
      </c>
      <c r="B842" s="4" t="s">
        <v>249</v>
      </c>
      <c r="C842" s="4" t="s">
        <v>198</v>
      </c>
      <c r="D842" s="4" t="s">
        <v>199</v>
      </c>
      <c r="E842" s="4" t="s">
        <v>19</v>
      </c>
      <c r="F842" s="4" t="s">
        <v>1901</v>
      </c>
      <c r="G842" s="4" t="s">
        <v>1902</v>
      </c>
    </row>
    <row r="843" customFormat="false" ht="15" hidden="false" customHeight="false" outlineLevel="0" collapsed="false">
      <c r="A843" s="4" t="s">
        <v>1872</v>
      </c>
      <c r="B843" s="4" t="s">
        <v>249</v>
      </c>
      <c r="C843" s="4" t="s">
        <v>200</v>
      </c>
      <c r="D843" s="4" t="s">
        <v>1210</v>
      </c>
      <c r="E843" s="4" t="s">
        <v>20</v>
      </c>
      <c r="F843" s="4" t="s">
        <v>1903</v>
      </c>
      <c r="G843" s="4" t="s">
        <v>1904</v>
      </c>
    </row>
    <row r="844" customFormat="false" ht="15" hidden="false" customHeight="false" outlineLevel="0" collapsed="false">
      <c r="A844" s="4" t="s">
        <v>1872</v>
      </c>
      <c r="B844" s="4" t="s">
        <v>249</v>
      </c>
      <c r="C844" s="4" t="s">
        <v>202</v>
      </c>
      <c r="D844" s="4" t="s">
        <v>203</v>
      </c>
      <c r="E844" s="4" t="s">
        <v>19</v>
      </c>
      <c r="F844" s="4" t="s">
        <v>1905</v>
      </c>
      <c r="G844" s="4" t="s">
        <v>1906</v>
      </c>
    </row>
    <row r="845" customFormat="false" ht="23.85" hidden="false" customHeight="false" outlineLevel="0" collapsed="false">
      <c r="A845" s="4" t="s">
        <v>1872</v>
      </c>
      <c r="B845" s="4" t="s">
        <v>249</v>
      </c>
      <c r="C845" s="4" t="s">
        <v>204</v>
      </c>
      <c r="D845" s="4" t="s">
        <v>1811</v>
      </c>
      <c r="E845" s="4" t="s">
        <v>20</v>
      </c>
      <c r="F845" s="4" t="s">
        <v>1907</v>
      </c>
      <c r="G845" s="4" t="s">
        <v>1908</v>
      </c>
    </row>
    <row r="846" customFormat="false" ht="15" hidden="false" customHeight="false" outlineLevel="0" collapsed="false">
      <c r="A846" s="4" t="s">
        <v>1872</v>
      </c>
      <c r="B846" s="4" t="s">
        <v>249</v>
      </c>
      <c r="C846" s="4" t="s">
        <v>206</v>
      </c>
      <c r="D846" s="4" t="s">
        <v>1909</v>
      </c>
      <c r="E846" s="4" t="s">
        <v>171</v>
      </c>
      <c r="F846" s="4" t="s">
        <v>1910</v>
      </c>
      <c r="G846" s="4" t="s">
        <v>277</v>
      </c>
    </row>
    <row r="847" customFormat="false" ht="15" hidden="false" customHeight="false" outlineLevel="0" collapsed="false">
      <c r="A847" s="4" t="s">
        <v>1872</v>
      </c>
      <c r="B847" s="4" t="s">
        <v>292</v>
      </c>
      <c r="C847" s="4" t="s">
        <v>208</v>
      </c>
      <c r="D847" s="4" t="s">
        <v>209</v>
      </c>
      <c r="E847" s="4" t="s">
        <v>171</v>
      </c>
      <c r="F847" s="4" t="s">
        <v>1911</v>
      </c>
      <c r="G847" s="4" t="s">
        <v>277</v>
      </c>
    </row>
    <row r="848" customFormat="false" ht="15" hidden="false" customHeight="false" outlineLevel="0" collapsed="false">
      <c r="A848" s="4" t="s">
        <v>1872</v>
      </c>
      <c r="B848" s="4" t="s">
        <v>292</v>
      </c>
      <c r="C848" s="4" t="s">
        <v>210</v>
      </c>
      <c r="D848" s="4" t="s">
        <v>211</v>
      </c>
      <c r="E848" s="4" t="s">
        <v>171</v>
      </c>
      <c r="F848" s="4" t="s">
        <v>1912</v>
      </c>
      <c r="G848" s="4" t="s">
        <v>277</v>
      </c>
    </row>
    <row r="849" customFormat="false" ht="15" hidden="false" customHeight="false" outlineLevel="0" collapsed="false">
      <c r="A849" s="4" t="s">
        <v>1872</v>
      </c>
      <c r="B849" s="4" t="s">
        <v>292</v>
      </c>
      <c r="C849" s="4" t="s">
        <v>212</v>
      </c>
      <c r="D849" s="4" t="s">
        <v>213</v>
      </c>
      <c r="E849" s="4" t="s">
        <v>19</v>
      </c>
      <c r="F849" s="4" t="s">
        <v>1913</v>
      </c>
      <c r="G849" s="4" t="s">
        <v>1914</v>
      </c>
    </row>
    <row r="850" customFormat="false" ht="15" hidden="false" customHeight="false" outlineLevel="0" collapsed="false">
      <c r="A850" s="4" t="s">
        <v>1872</v>
      </c>
      <c r="B850" s="4" t="s">
        <v>292</v>
      </c>
      <c r="C850" s="4" t="s">
        <v>214</v>
      </c>
      <c r="D850" s="4" t="s">
        <v>215</v>
      </c>
      <c r="E850" s="4" t="s">
        <v>171</v>
      </c>
      <c r="F850" s="4" t="s">
        <v>1915</v>
      </c>
      <c r="G850" s="4" t="s">
        <v>277</v>
      </c>
    </row>
    <row r="851" customFormat="false" ht="15" hidden="false" customHeight="false" outlineLevel="0" collapsed="false">
      <c r="A851" s="4" t="s">
        <v>1872</v>
      </c>
      <c r="B851" s="4" t="s">
        <v>292</v>
      </c>
      <c r="C851" s="4" t="s">
        <v>216</v>
      </c>
      <c r="D851" s="4" t="s">
        <v>217</v>
      </c>
      <c r="E851" s="4" t="s">
        <v>19</v>
      </c>
      <c r="F851" s="4" t="s">
        <v>1916</v>
      </c>
      <c r="G851" s="4" t="s">
        <v>1917</v>
      </c>
    </row>
    <row r="852" customFormat="false" ht="15" hidden="false" customHeight="false" outlineLevel="0" collapsed="false">
      <c r="A852" s="4" t="s">
        <v>1872</v>
      </c>
      <c r="B852" s="4" t="s">
        <v>292</v>
      </c>
      <c r="C852" s="4" t="s">
        <v>218</v>
      </c>
      <c r="D852" s="4" t="s">
        <v>219</v>
      </c>
      <c r="E852" s="4" t="s">
        <v>171</v>
      </c>
      <c r="F852" s="4" t="s">
        <v>1918</v>
      </c>
      <c r="G852" s="4" t="s">
        <v>277</v>
      </c>
    </row>
    <row r="853" customFormat="false" ht="15" hidden="false" customHeight="false" outlineLevel="0" collapsed="false">
      <c r="A853" s="4" t="s">
        <v>1872</v>
      </c>
      <c r="B853" s="4" t="s">
        <v>292</v>
      </c>
      <c r="C853" s="4" t="s">
        <v>220</v>
      </c>
      <c r="D853" s="4" t="s">
        <v>221</v>
      </c>
      <c r="E853" s="4" t="s">
        <v>20</v>
      </c>
      <c r="F853" s="4" t="s">
        <v>1919</v>
      </c>
      <c r="G853" s="4" t="s">
        <v>1920</v>
      </c>
    </row>
    <row r="854" customFormat="false" ht="23.85" hidden="false" customHeight="false" outlineLevel="0" collapsed="false">
      <c r="A854" s="4" t="s">
        <v>1872</v>
      </c>
      <c r="B854" s="4" t="s">
        <v>292</v>
      </c>
      <c r="C854" s="4" t="s">
        <v>222</v>
      </c>
      <c r="D854" s="4" t="s">
        <v>223</v>
      </c>
      <c r="E854" s="4" t="s">
        <v>20</v>
      </c>
      <c r="F854" s="4" t="s">
        <v>1921</v>
      </c>
      <c r="G854" s="4" t="s">
        <v>1922</v>
      </c>
    </row>
    <row r="855" customFormat="false" ht="15" hidden="false" customHeight="false" outlineLevel="0" collapsed="false">
      <c r="A855" s="4" t="s">
        <v>1872</v>
      </c>
      <c r="B855" s="4" t="s">
        <v>292</v>
      </c>
      <c r="C855" s="4" t="s">
        <v>224</v>
      </c>
      <c r="D855" s="4" t="s">
        <v>225</v>
      </c>
      <c r="E855" s="4" t="s">
        <v>19</v>
      </c>
      <c r="F855" s="4" t="s">
        <v>1923</v>
      </c>
      <c r="G855" s="4" t="s">
        <v>1924</v>
      </c>
    </row>
    <row r="856" customFormat="false" ht="15" hidden="false" customHeight="false" outlineLevel="0" collapsed="false">
      <c r="A856" s="4" t="s">
        <v>1872</v>
      </c>
      <c r="B856" s="4" t="s">
        <v>292</v>
      </c>
      <c r="C856" s="4" t="s">
        <v>226</v>
      </c>
      <c r="D856" s="4" t="s">
        <v>227</v>
      </c>
      <c r="E856" s="4" t="s">
        <v>171</v>
      </c>
      <c r="F856" s="4" t="s">
        <v>1925</v>
      </c>
      <c r="G856" s="4" t="s">
        <v>277</v>
      </c>
    </row>
    <row r="857" customFormat="false" ht="15" hidden="false" customHeight="false" outlineLevel="0" collapsed="false">
      <c r="A857" s="4" t="s">
        <v>1872</v>
      </c>
      <c r="B857" s="4" t="s">
        <v>292</v>
      </c>
      <c r="C857" s="4" t="s">
        <v>228</v>
      </c>
      <c r="D857" s="4" t="s">
        <v>229</v>
      </c>
      <c r="E857" s="4" t="s">
        <v>171</v>
      </c>
      <c r="F857" s="4" t="s">
        <v>1926</v>
      </c>
      <c r="G857" s="4" t="s">
        <v>277</v>
      </c>
    </row>
    <row r="858" customFormat="false" ht="23.85" hidden="false" customHeight="false" outlineLevel="0" collapsed="false">
      <c r="A858" s="4" t="s">
        <v>1872</v>
      </c>
      <c r="B858" s="4" t="s">
        <v>313</v>
      </c>
      <c r="C858" s="4" t="s">
        <v>230</v>
      </c>
      <c r="D858" s="4" t="s">
        <v>1927</v>
      </c>
      <c r="E858" s="4" t="s">
        <v>171</v>
      </c>
      <c r="F858" s="4" t="s">
        <v>1928</v>
      </c>
      <c r="G858" s="4" t="s">
        <v>277</v>
      </c>
    </row>
    <row r="859" customFormat="false" ht="35.05" hidden="false" customHeight="false" outlineLevel="0" collapsed="false">
      <c r="A859" s="4" t="s">
        <v>1872</v>
      </c>
      <c r="B859" s="4" t="s">
        <v>313</v>
      </c>
      <c r="C859" s="4" t="s">
        <v>232</v>
      </c>
      <c r="D859" s="4" t="s">
        <v>1929</v>
      </c>
      <c r="E859" s="4" t="s">
        <v>19</v>
      </c>
      <c r="F859" s="4" t="s">
        <v>1930</v>
      </c>
      <c r="G859" s="4" t="s">
        <v>1931</v>
      </c>
    </row>
    <row r="860" customFormat="false" ht="23.85" hidden="false" customHeight="false" outlineLevel="0" collapsed="false">
      <c r="A860" s="4" t="s">
        <v>1872</v>
      </c>
      <c r="B860" s="4" t="s">
        <v>313</v>
      </c>
      <c r="C860" s="4" t="s">
        <v>234</v>
      </c>
      <c r="D860" s="4" t="s">
        <v>1932</v>
      </c>
      <c r="E860" s="4" t="s">
        <v>171</v>
      </c>
      <c r="F860" s="4" t="s">
        <v>1933</v>
      </c>
      <c r="G860" s="4" t="s">
        <v>1934</v>
      </c>
    </row>
    <row r="861" customFormat="false" ht="23.85" hidden="false" customHeight="false" outlineLevel="0" collapsed="false">
      <c r="A861" s="4" t="s">
        <v>1872</v>
      </c>
      <c r="B861" s="4" t="s">
        <v>313</v>
      </c>
      <c r="C861" s="4" t="s">
        <v>236</v>
      </c>
      <c r="D861" s="4" t="s">
        <v>1935</v>
      </c>
      <c r="E861" s="4" t="s">
        <v>171</v>
      </c>
      <c r="F861" s="4" t="s">
        <v>1936</v>
      </c>
      <c r="G861" s="4" t="s">
        <v>1937</v>
      </c>
    </row>
    <row r="862" customFormat="false" ht="35.05" hidden="false" customHeight="false" outlineLevel="0" collapsed="false">
      <c r="A862" s="4" t="s">
        <v>1872</v>
      </c>
      <c r="B862" s="4" t="s">
        <v>313</v>
      </c>
      <c r="C862" s="4" t="s">
        <v>238</v>
      </c>
      <c r="D862" s="4" t="s">
        <v>1938</v>
      </c>
      <c r="E862" s="4" t="s">
        <v>19</v>
      </c>
      <c r="F862" s="4" t="s">
        <v>1939</v>
      </c>
      <c r="G862" s="4" t="s">
        <v>1940</v>
      </c>
    </row>
    <row r="863" customFormat="false" ht="46.25" hidden="false" customHeight="false" outlineLevel="0" collapsed="false">
      <c r="A863" s="4" t="s">
        <v>1872</v>
      </c>
      <c r="B863" s="4" t="s">
        <v>329</v>
      </c>
      <c r="C863" s="4"/>
      <c r="D863" s="4" t="s">
        <v>842</v>
      </c>
      <c r="E863" s="4" t="s">
        <v>171</v>
      </c>
      <c r="F863" s="4" t="s">
        <v>1941</v>
      </c>
      <c r="G863" s="4"/>
    </row>
    <row r="864" customFormat="false" ht="46.25" hidden="false" customHeight="false" outlineLevel="0" collapsed="false">
      <c r="A864" s="4" t="s">
        <v>1872</v>
      </c>
      <c r="B864" s="4" t="s">
        <v>329</v>
      </c>
      <c r="C864" s="4"/>
      <c r="D864" s="4" t="s">
        <v>1942</v>
      </c>
      <c r="E864" s="4" t="s">
        <v>333</v>
      </c>
      <c r="F864" s="4" t="s">
        <v>1943</v>
      </c>
      <c r="G864" s="4"/>
    </row>
    <row r="865" customFormat="false" ht="35.05" hidden="false" customHeight="false" outlineLevel="0" collapsed="false">
      <c r="A865" s="4" t="s">
        <v>1872</v>
      </c>
      <c r="B865" s="4" t="s">
        <v>329</v>
      </c>
      <c r="C865" s="4"/>
      <c r="D865" s="4" t="s">
        <v>1944</v>
      </c>
      <c r="E865" s="4" t="s">
        <v>333</v>
      </c>
      <c r="F865" s="4" t="s">
        <v>1945</v>
      </c>
      <c r="G865" s="4"/>
    </row>
    <row r="866" customFormat="false" ht="23.85" hidden="false" customHeight="false" outlineLevel="0" collapsed="false">
      <c r="A866" s="4" t="s">
        <v>1872</v>
      </c>
      <c r="B866" s="4" t="s">
        <v>329</v>
      </c>
      <c r="C866" s="4"/>
      <c r="D866" s="4" t="s">
        <v>1657</v>
      </c>
      <c r="E866" s="4" t="s">
        <v>171</v>
      </c>
      <c r="F866" s="4" t="s">
        <v>1946</v>
      </c>
      <c r="G866" s="4"/>
    </row>
    <row r="867" customFormat="false" ht="23.85" hidden="false" customHeight="false" outlineLevel="0" collapsed="false">
      <c r="A867" s="4" t="s">
        <v>1872</v>
      </c>
      <c r="B867" s="4" t="s">
        <v>329</v>
      </c>
      <c r="C867" s="4"/>
      <c r="D867" s="4" t="s">
        <v>547</v>
      </c>
      <c r="E867" s="4" t="s">
        <v>333</v>
      </c>
      <c r="F867" s="4" t="s">
        <v>1947</v>
      </c>
      <c r="G867" s="4"/>
    </row>
    <row r="868" customFormat="false" ht="23.85" hidden="false" customHeight="false" outlineLevel="0" collapsed="false">
      <c r="A868" s="4" t="s">
        <v>1872</v>
      </c>
      <c r="B868" s="4" t="s">
        <v>329</v>
      </c>
      <c r="C868" s="4"/>
      <c r="D868" s="4" t="s">
        <v>751</v>
      </c>
      <c r="E868" s="4" t="s">
        <v>171</v>
      </c>
      <c r="F868" s="4" t="s">
        <v>1948</v>
      </c>
      <c r="G868" s="4"/>
    </row>
    <row r="869" customFormat="false" ht="23.85" hidden="false" customHeight="false" outlineLevel="0" collapsed="false">
      <c r="A869" s="4" t="s">
        <v>1872</v>
      </c>
      <c r="B869" s="4" t="s">
        <v>329</v>
      </c>
      <c r="C869" s="4"/>
      <c r="D869" s="4" t="s">
        <v>862</v>
      </c>
      <c r="E869" s="4" t="s">
        <v>171</v>
      </c>
      <c r="F869" s="4" t="s">
        <v>1949</v>
      </c>
      <c r="G869" s="4"/>
    </row>
    <row r="870" customFormat="false" ht="23.85" hidden="false" customHeight="false" outlineLevel="0" collapsed="false">
      <c r="A870" s="4" t="s">
        <v>1872</v>
      </c>
      <c r="B870" s="4" t="s">
        <v>329</v>
      </c>
      <c r="C870" s="4"/>
      <c r="D870" s="4" t="s">
        <v>1764</v>
      </c>
      <c r="E870" s="4" t="s">
        <v>171</v>
      </c>
      <c r="F870" s="4" t="s">
        <v>1950</v>
      </c>
      <c r="G870" s="4"/>
    </row>
    <row r="871" customFormat="false" ht="23.85" hidden="false" customHeight="false" outlineLevel="0" collapsed="false">
      <c r="A871" s="4" t="s">
        <v>1872</v>
      </c>
      <c r="B871" s="4" t="s">
        <v>329</v>
      </c>
      <c r="C871" s="4"/>
      <c r="D871" s="4" t="s">
        <v>634</v>
      </c>
      <c r="E871" s="4" t="s">
        <v>171</v>
      </c>
      <c r="F871" s="4" t="s">
        <v>1951</v>
      </c>
      <c r="G871" s="4"/>
    </row>
    <row r="872" customFormat="false" ht="35.05" hidden="false" customHeight="false" outlineLevel="0" collapsed="false">
      <c r="A872" s="4" t="s">
        <v>1872</v>
      </c>
      <c r="B872" s="4" t="s">
        <v>329</v>
      </c>
      <c r="C872" s="4"/>
      <c r="D872" s="4" t="s">
        <v>866</v>
      </c>
      <c r="E872" s="4" t="s">
        <v>333</v>
      </c>
      <c r="F872" s="4" t="s">
        <v>1952</v>
      </c>
      <c r="G872" s="4"/>
    </row>
    <row r="873" customFormat="false" ht="23.85" hidden="false" customHeight="false" outlineLevel="0" collapsed="false">
      <c r="A873" s="4" t="s">
        <v>1872</v>
      </c>
      <c r="B873" s="4" t="s">
        <v>329</v>
      </c>
      <c r="C873" s="4"/>
      <c r="D873" s="4" t="s">
        <v>1953</v>
      </c>
      <c r="E873" s="4" t="s">
        <v>333</v>
      </c>
      <c r="F873" s="4" t="s">
        <v>1954</v>
      </c>
      <c r="G873" s="4"/>
    </row>
    <row r="874" customFormat="false" ht="35.05" hidden="false" customHeight="false" outlineLevel="0" collapsed="false">
      <c r="A874" s="4" t="s">
        <v>1955</v>
      </c>
      <c r="B874" s="4" t="s">
        <v>249</v>
      </c>
      <c r="C874" s="4" t="s">
        <v>165</v>
      </c>
      <c r="D874" s="4" t="s">
        <v>1173</v>
      </c>
      <c r="E874" s="4" t="s">
        <v>19</v>
      </c>
      <c r="F874" s="4" t="s">
        <v>1956</v>
      </c>
      <c r="G874" s="4" t="s">
        <v>1957</v>
      </c>
    </row>
    <row r="875" customFormat="false" ht="23.85" hidden="false" customHeight="false" outlineLevel="0" collapsed="false">
      <c r="A875" s="4" t="s">
        <v>1955</v>
      </c>
      <c r="B875" s="4" t="s">
        <v>249</v>
      </c>
      <c r="C875" s="4" t="s">
        <v>167</v>
      </c>
      <c r="D875" s="4" t="s">
        <v>168</v>
      </c>
      <c r="E875" s="4" t="s">
        <v>19</v>
      </c>
      <c r="F875" s="4" t="s">
        <v>1958</v>
      </c>
      <c r="G875" s="4" t="s">
        <v>1876</v>
      </c>
    </row>
    <row r="876" customFormat="false" ht="23.85" hidden="false" customHeight="false" outlineLevel="0" collapsed="false">
      <c r="A876" s="4" t="s">
        <v>1955</v>
      </c>
      <c r="B876" s="4" t="s">
        <v>249</v>
      </c>
      <c r="C876" s="4" t="s">
        <v>169</v>
      </c>
      <c r="D876" s="4" t="s">
        <v>170</v>
      </c>
      <c r="E876" s="4" t="s">
        <v>171</v>
      </c>
      <c r="F876" s="4" t="s">
        <v>1959</v>
      </c>
      <c r="G876" s="4" t="s">
        <v>1960</v>
      </c>
    </row>
    <row r="877" customFormat="false" ht="23.85" hidden="false" customHeight="false" outlineLevel="0" collapsed="false">
      <c r="A877" s="4" t="s">
        <v>1955</v>
      </c>
      <c r="B877" s="4" t="s">
        <v>249</v>
      </c>
      <c r="C877" s="4" t="s">
        <v>172</v>
      </c>
      <c r="D877" s="4" t="s">
        <v>365</v>
      </c>
      <c r="E877" s="4" t="s">
        <v>171</v>
      </c>
      <c r="F877" s="4" t="s">
        <v>1961</v>
      </c>
      <c r="G877" s="4" t="s">
        <v>1962</v>
      </c>
    </row>
    <row r="878" customFormat="false" ht="23.85" hidden="false" customHeight="false" outlineLevel="0" collapsed="false">
      <c r="A878" s="4" t="s">
        <v>1955</v>
      </c>
      <c r="B878" s="4" t="s">
        <v>249</v>
      </c>
      <c r="C878" s="4" t="s">
        <v>174</v>
      </c>
      <c r="D878" s="4" t="s">
        <v>368</v>
      </c>
      <c r="E878" s="4" t="s">
        <v>19</v>
      </c>
      <c r="F878" s="4" t="s">
        <v>1963</v>
      </c>
      <c r="G878" s="4" t="s">
        <v>1964</v>
      </c>
    </row>
    <row r="879" customFormat="false" ht="23.85" hidden="false" customHeight="false" outlineLevel="0" collapsed="false">
      <c r="A879" s="4" t="s">
        <v>1955</v>
      </c>
      <c r="B879" s="4" t="s">
        <v>249</v>
      </c>
      <c r="C879" s="4" t="s">
        <v>176</v>
      </c>
      <c r="D879" s="4" t="s">
        <v>371</v>
      </c>
      <c r="E879" s="4" t="s">
        <v>171</v>
      </c>
      <c r="F879" s="4" t="s">
        <v>1965</v>
      </c>
      <c r="G879" s="4" t="s">
        <v>1966</v>
      </c>
    </row>
    <row r="880" customFormat="false" ht="23.85" hidden="false" customHeight="false" outlineLevel="0" collapsed="false">
      <c r="A880" s="4" t="s">
        <v>1955</v>
      </c>
      <c r="B880" s="4" t="s">
        <v>249</v>
      </c>
      <c r="C880" s="4" t="s">
        <v>178</v>
      </c>
      <c r="D880" s="4" t="s">
        <v>1186</v>
      </c>
      <c r="E880" s="4" t="s">
        <v>171</v>
      </c>
      <c r="F880" s="4" t="s">
        <v>1967</v>
      </c>
      <c r="G880" s="4" t="s">
        <v>277</v>
      </c>
    </row>
    <row r="881" customFormat="false" ht="23.85" hidden="false" customHeight="false" outlineLevel="0" collapsed="false">
      <c r="A881" s="4" t="s">
        <v>1955</v>
      </c>
      <c r="B881" s="4" t="s">
        <v>249</v>
      </c>
      <c r="C881" s="4" t="s">
        <v>180</v>
      </c>
      <c r="D881" s="4" t="s">
        <v>1286</v>
      </c>
      <c r="E881" s="4" t="s">
        <v>19</v>
      </c>
      <c r="F881" s="4" t="s">
        <v>1968</v>
      </c>
      <c r="G881" s="4" t="s">
        <v>1969</v>
      </c>
    </row>
    <row r="882" customFormat="false" ht="23.85" hidden="false" customHeight="false" outlineLevel="0" collapsed="false">
      <c r="A882" s="4" t="s">
        <v>1955</v>
      </c>
      <c r="B882" s="4" t="s">
        <v>249</v>
      </c>
      <c r="C882" s="4" t="s">
        <v>182</v>
      </c>
      <c r="D882" s="4" t="s">
        <v>183</v>
      </c>
      <c r="E882" s="4" t="s">
        <v>171</v>
      </c>
      <c r="F882" s="4" t="s">
        <v>1970</v>
      </c>
      <c r="G882" s="4" t="s">
        <v>277</v>
      </c>
    </row>
    <row r="883" customFormat="false" ht="23.85" hidden="false" customHeight="false" outlineLevel="0" collapsed="false">
      <c r="A883" s="4" t="s">
        <v>1955</v>
      </c>
      <c r="B883" s="4" t="s">
        <v>249</v>
      </c>
      <c r="C883" s="4" t="s">
        <v>184</v>
      </c>
      <c r="D883" s="4" t="s">
        <v>185</v>
      </c>
      <c r="E883" s="4" t="s">
        <v>20</v>
      </c>
      <c r="F883" s="4" t="s">
        <v>1971</v>
      </c>
      <c r="G883" s="4" t="s">
        <v>1972</v>
      </c>
    </row>
    <row r="884" customFormat="false" ht="23.85" hidden="false" customHeight="false" outlineLevel="0" collapsed="false">
      <c r="A884" s="4" t="s">
        <v>1955</v>
      </c>
      <c r="B884" s="4" t="s">
        <v>249</v>
      </c>
      <c r="C884" s="4" t="s">
        <v>186</v>
      </c>
      <c r="D884" s="4" t="s">
        <v>480</v>
      </c>
      <c r="E884" s="4" t="s">
        <v>19</v>
      </c>
      <c r="F884" s="4" t="s">
        <v>1973</v>
      </c>
      <c r="G884" s="4" t="s">
        <v>1974</v>
      </c>
    </row>
    <row r="885" customFormat="false" ht="23.85" hidden="false" customHeight="false" outlineLevel="0" collapsed="false">
      <c r="A885" s="4" t="s">
        <v>1955</v>
      </c>
      <c r="B885" s="4" t="s">
        <v>249</v>
      </c>
      <c r="C885" s="4" t="s">
        <v>188</v>
      </c>
      <c r="D885" s="4" t="s">
        <v>189</v>
      </c>
      <c r="E885" s="4" t="s">
        <v>20</v>
      </c>
      <c r="F885" s="4" t="s">
        <v>1975</v>
      </c>
      <c r="G885" s="4" t="s">
        <v>1976</v>
      </c>
    </row>
    <row r="886" customFormat="false" ht="23.85" hidden="false" customHeight="false" outlineLevel="0" collapsed="false">
      <c r="A886" s="4" t="s">
        <v>1955</v>
      </c>
      <c r="B886" s="4" t="s">
        <v>249</v>
      </c>
      <c r="C886" s="4" t="s">
        <v>190</v>
      </c>
      <c r="D886" s="4" t="s">
        <v>191</v>
      </c>
      <c r="E886" s="4" t="s">
        <v>171</v>
      </c>
      <c r="F886" s="4" t="s">
        <v>1977</v>
      </c>
      <c r="G886" s="4" t="s">
        <v>277</v>
      </c>
    </row>
    <row r="887" customFormat="false" ht="35.05" hidden="false" customHeight="false" outlineLevel="0" collapsed="false">
      <c r="A887" s="4" t="s">
        <v>1955</v>
      </c>
      <c r="B887" s="4" t="s">
        <v>249</v>
      </c>
      <c r="C887" s="4" t="s">
        <v>192</v>
      </c>
      <c r="D887" s="4" t="s">
        <v>193</v>
      </c>
      <c r="E887" s="4" t="s">
        <v>171</v>
      </c>
      <c r="F887" s="4" t="s">
        <v>1978</v>
      </c>
      <c r="G887" s="4" t="s">
        <v>277</v>
      </c>
    </row>
    <row r="888" customFormat="false" ht="23.85" hidden="false" customHeight="false" outlineLevel="0" collapsed="false">
      <c r="A888" s="4" t="s">
        <v>1955</v>
      </c>
      <c r="B888" s="4" t="s">
        <v>249</v>
      </c>
      <c r="C888" s="4" t="s">
        <v>194</v>
      </c>
      <c r="D888" s="4" t="s">
        <v>195</v>
      </c>
      <c r="E888" s="4" t="s">
        <v>19</v>
      </c>
      <c r="F888" s="4" t="s">
        <v>1979</v>
      </c>
      <c r="G888" s="4" t="s">
        <v>1980</v>
      </c>
    </row>
    <row r="889" customFormat="false" ht="23.85" hidden="false" customHeight="false" outlineLevel="0" collapsed="false">
      <c r="A889" s="4" t="s">
        <v>1955</v>
      </c>
      <c r="B889" s="4" t="s">
        <v>249</v>
      </c>
      <c r="C889" s="4" t="s">
        <v>196</v>
      </c>
      <c r="D889" s="4" t="s">
        <v>197</v>
      </c>
      <c r="E889" s="4" t="s">
        <v>171</v>
      </c>
      <c r="F889" s="4" t="s">
        <v>1981</v>
      </c>
      <c r="G889" s="4" t="s">
        <v>277</v>
      </c>
    </row>
    <row r="890" customFormat="false" ht="35.05" hidden="false" customHeight="false" outlineLevel="0" collapsed="false">
      <c r="A890" s="4" t="s">
        <v>1955</v>
      </c>
      <c r="B890" s="4" t="s">
        <v>249</v>
      </c>
      <c r="C890" s="4" t="s">
        <v>198</v>
      </c>
      <c r="D890" s="4" t="s">
        <v>199</v>
      </c>
      <c r="E890" s="4" t="s">
        <v>19</v>
      </c>
      <c r="F890" s="4" t="s">
        <v>1982</v>
      </c>
      <c r="G890" s="4" t="s">
        <v>1983</v>
      </c>
    </row>
    <row r="891" customFormat="false" ht="23.85" hidden="false" customHeight="false" outlineLevel="0" collapsed="false">
      <c r="A891" s="4" t="s">
        <v>1955</v>
      </c>
      <c r="B891" s="4" t="s">
        <v>249</v>
      </c>
      <c r="C891" s="4" t="s">
        <v>200</v>
      </c>
      <c r="D891" s="4" t="s">
        <v>1210</v>
      </c>
      <c r="E891" s="4" t="s">
        <v>20</v>
      </c>
      <c r="F891" s="4" t="s">
        <v>1984</v>
      </c>
      <c r="G891" s="4" t="s">
        <v>1985</v>
      </c>
    </row>
    <row r="892" customFormat="false" ht="23.85" hidden="false" customHeight="false" outlineLevel="0" collapsed="false">
      <c r="A892" s="4" t="s">
        <v>1955</v>
      </c>
      <c r="B892" s="4" t="s">
        <v>249</v>
      </c>
      <c r="C892" s="4" t="s">
        <v>202</v>
      </c>
      <c r="D892" s="4" t="s">
        <v>203</v>
      </c>
      <c r="E892" s="4" t="s">
        <v>19</v>
      </c>
      <c r="F892" s="4" t="s">
        <v>1986</v>
      </c>
      <c r="G892" s="4" t="s">
        <v>1987</v>
      </c>
    </row>
    <row r="893" customFormat="false" ht="23.85" hidden="false" customHeight="false" outlineLevel="0" collapsed="false">
      <c r="A893" s="4" t="s">
        <v>1955</v>
      </c>
      <c r="B893" s="4" t="s">
        <v>249</v>
      </c>
      <c r="C893" s="4" t="s">
        <v>204</v>
      </c>
      <c r="D893" s="4" t="s">
        <v>1811</v>
      </c>
      <c r="E893" s="4" t="s">
        <v>20</v>
      </c>
      <c r="F893" s="4" t="s">
        <v>1988</v>
      </c>
      <c r="G893" s="4" t="s">
        <v>1989</v>
      </c>
    </row>
    <row r="894" customFormat="false" ht="23.85" hidden="false" customHeight="false" outlineLevel="0" collapsed="false">
      <c r="A894" s="4" t="s">
        <v>1955</v>
      </c>
      <c r="B894" s="4" t="s">
        <v>249</v>
      </c>
      <c r="C894" s="4" t="s">
        <v>206</v>
      </c>
      <c r="D894" s="4" t="s">
        <v>1909</v>
      </c>
      <c r="E894" s="4" t="s">
        <v>171</v>
      </c>
      <c r="F894" s="4" t="s">
        <v>1990</v>
      </c>
      <c r="G894" s="4" t="s">
        <v>277</v>
      </c>
    </row>
    <row r="895" customFormat="false" ht="23.85" hidden="false" customHeight="false" outlineLevel="0" collapsed="false">
      <c r="A895" s="4" t="s">
        <v>1955</v>
      </c>
      <c r="B895" s="4" t="s">
        <v>292</v>
      </c>
      <c r="C895" s="4" t="s">
        <v>208</v>
      </c>
      <c r="D895" s="4" t="s">
        <v>209</v>
      </c>
      <c r="E895" s="4" t="s">
        <v>171</v>
      </c>
      <c r="F895" s="4" t="s">
        <v>1991</v>
      </c>
      <c r="G895" s="4" t="s">
        <v>277</v>
      </c>
    </row>
    <row r="896" customFormat="false" ht="23.85" hidden="false" customHeight="false" outlineLevel="0" collapsed="false">
      <c r="A896" s="4" t="s">
        <v>1955</v>
      </c>
      <c r="B896" s="4" t="s">
        <v>292</v>
      </c>
      <c r="C896" s="4" t="s">
        <v>210</v>
      </c>
      <c r="D896" s="4" t="s">
        <v>211</v>
      </c>
      <c r="E896" s="4" t="s">
        <v>171</v>
      </c>
      <c r="F896" s="4" t="s">
        <v>1992</v>
      </c>
      <c r="G896" s="4" t="s">
        <v>277</v>
      </c>
    </row>
    <row r="897" customFormat="false" ht="23.85" hidden="false" customHeight="false" outlineLevel="0" collapsed="false">
      <c r="A897" s="4" t="s">
        <v>1955</v>
      </c>
      <c r="B897" s="4" t="s">
        <v>292</v>
      </c>
      <c r="C897" s="4" t="s">
        <v>212</v>
      </c>
      <c r="D897" s="4" t="s">
        <v>213</v>
      </c>
      <c r="E897" s="4" t="s">
        <v>19</v>
      </c>
      <c r="F897" s="4" t="s">
        <v>1993</v>
      </c>
      <c r="G897" s="4" t="s">
        <v>1994</v>
      </c>
    </row>
    <row r="898" customFormat="false" ht="23.85" hidden="false" customHeight="false" outlineLevel="0" collapsed="false">
      <c r="A898" s="4" t="s">
        <v>1955</v>
      </c>
      <c r="B898" s="4" t="s">
        <v>292</v>
      </c>
      <c r="C898" s="4" t="s">
        <v>214</v>
      </c>
      <c r="D898" s="4" t="s">
        <v>215</v>
      </c>
      <c r="E898" s="4" t="s">
        <v>171</v>
      </c>
      <c r="F898" s="4" t="s">
        <v>1995</v>
      </c>
      <c r="G898" s="4" t="s">
        <v>277</v>
      </c>
    </row>
    <row r="899" customFormat="false" ht="23.85" hidden="false" customHeight="false" outlineLevel="0" collapsed="false">
      <c r="A899" s="4" t="s">
        <v>1955</v>
      </c>
      <c r="B899" s="4" t="s">
        <v>292</v>
      </c>
      <c r="C899" s="4" t="s">
        <v>216</v>
      </c>
      <c r="D899" s="4" t="s">
        <v>217</v>
      </c>
      <c r="E899" s="4" t="s">
        <v>19</v>
      </c>
      <c r="F899" s="4" t="s">
        <v>1996</v>
      </c>
      <c r="G899" s="4" t="s">
        <v>920</v>
      </c>
    </row>
    <row r="900" customFormat="false" ht="23.85" hidden="false" customHeight="false" outlineLevel="0" collapsed="false">
      <c r="A900" s="4" t="s">
        <v>1955</v>
      </c>
      <c r="B900" s="4" t="s">
        <v>292</v>
      </c>
      <c r="C900" s="4" t="s">
        <v>218</v>
      </c>
      <c r="D900" s="4" t="s">
        <v>219</v>
      </c>
      <c r="E900" s="4" t="s">
        <v>171</v>
      </c>
      <c r="F900" s="4" t="s">
        <v>1997</v>
      </c>
      <c r="G900" s="4" t="s">
        <v>277</v>
      </c>
    </row>
    <row r="901" customFormat="false" ht="23.85" hidden="false" customHeight="false" outlineLevel="0" collapsed="false">
      <c r="A901" s="4" t="s">
        <v>1955</v>
      </c>
      <c r="B901" s="4" t="s">
        <v>292</v>
      </c>
      <c r="C901" s="4" t="s">
        <v>220</v>
      </c>
      <c r="D901" s="4" t="s">
        <v>221</v>
      </c>
      <c r="E901" s="4" t="s">
        <v>20</v>
      </c>
      <c r="F901" s="4" t="s">
        <v>1998</v>
      </c>
      <c r="G901" s="4" t="s">
        <v>1999</v>
      </c>
    </row>
    <row r="902" customFormat="false" ht="23.85" hidden="false" customHeight="false" outlineLevel="0" collapsed="false">
      <c r="A902" s="4" t="s">
        <v>1955</v>
      </c>
      <c r="B902" s="4" t="s">
        <v>292</v>
      </c>
      <c r="C902" s="4" t="s">
        <v>222</v>
      </c>
      <c r="D902" s="4" t="s">
        <v>223</v>
      </c>
      <c r="E902" s="4" t="s">
        <v>20</v>
      </c>
      <c r="F902" s="4" t="s">
        <v>1826</v>
      </c>
      <c r="G902" s="4" t="s">
        <v>1827</v>
      </c>
    </row>
    <row r="903" customFormat="false" ht="23.85" hidden="false" customHeight="false" outlineLevel="0" collapsed="false">
      <c r="A903" s="4" t="s">
        <v>1955</v>
      </c>
      <c r="B903" s="4" t="s">
        <v>292</v>
      </c>
      <c r="C903" s="4" t="s">
        <v>224</v>
      </c>
      <c r="D903" s="4" t="s">
        <v>225</v>
      </c>
      <c r="E903" s="4" t="s">
        <v>19</v>
      </c>
      <c r="F903" s="4" t="s">
        <v>2000</v>
      </c>
      <c r="G903" s="4" t="s">
        <v>2001</v>
      </c>
    </row>
    <row r="904" customFormat="false" ht="23.85" hidden="false" customHeight="false" outlineLevel="0" collapsed="false">
      <c r="A904" s="4" t="s">
        <v>1955</v>
      </c>
      <c r="B904" s="4" t="s">
        <v>292</v>
      </c>
      <c r="C904" s="4" t="s">
        <v>226</v>
      </c>
      <c r="D904" s="4" t="s">
        <v>227</v>
      </c>
      <c r="E904" s="4" t="s">
        <v>171</v>
      </c>
      <c r="F904" s="4" t="s">
        <v>2002</v>
      </c>
      <c r="G904" s="4" t="s">
        <v>277</v>
      </c>
    </row>
    <row r="905" customFormat="false" ht="23.85" hidden="false" customHeight="false" outlineLevel="0" collapsed="false">
      <c r="A905" s="4" t="s">
        <v>1955</v>
      </c>
      <c r="B905" s="4" t="s">
        <v>292</v>
      </c>
      <c r="C905" s="4" t="s">
        <v>228</v>
      </c>
      <c r="D905" s="4" t="s">
        <v>229</v>
      </c>
      <c r="E905" s="4" t="s">
        <v>171</v>
      </c>
      <c r="F905" s="4" t="s">
        <v>2003</v>
      </c>
      <c r="G905" s="4" t="s">
        <v>277</v>
      </c>
    </row>
    <row r="906" customFormat="false" ht="23.85" hidden="false" customHeight="false" outlineLevel="0" collapsed="false">
      <c r="A906" s="4" t="s">
        <v>1955</v>
      </c>
      <c r="B906" s="4" t="s">
        <v>313</v>
      </c>
      <c r="C906" s="4" t="s">
        <v>230</v>
      </c>
      <c r="D906" s="4" t="s">
        <v>2004</v>
      </c>
      <c r="E906" s="4" t="s">
        <v>19</v>
      </c>
      <c r="F906" s="4" t="s">
        <v>2005</v>
      </c>
      <c r="G906" s="4" t="s">
        <v>2006</v>
      </c>
    </row>
    <row r="907" customFormat="false" ht="23.85" hidden="false" customHeight="false" outlineLevel="0" collapsed="false">
      <c r="A907" s="4" t="s">
        <v>1955</v>
      </c>
      <c r="B907" s="4" t="s">
        <v>313</v>
      </c>
      <c r="C907" s="4" t="s">
        <v>232</v>
      </c>
      <c r="D907" s="4" t="s">
        <v>2007</v>
      </c>
      <c r="E907" s="4" t="s">
        <v>171</v>
      </c>
      <c r="F907" s="4" t="s">
        <v>2008</v>
      </c>
      <c r="G907" s="4" t="s">
        <v>277</v>
      </c>
    </row>
    <row r="908" customFormat="false" ht="23.85" hidden="false" customHeight="false" outlineLevel="0" collapsed="false">
      <c r="A908" s="4" t="s">
        <v>1955</v>
      </c>
      <c r="B908" s="4" t="s">
        <v>313</v>
      </c>
      <c r="C908" s="4" t="s">
        <v>234</v>
      </c>
      <c r="D908" s="4" t="s">
        <v>2009</v>
      </c>
      <c r="E908" s="4" t="s">
        <v>171</v>
      </c>
      <c r="F908" s="4" t="s">
        <v>2010</v>
      </c>
      <c r="G908" s="4" t="s">
        <v>277</v>
      </c>
    </row>
    <row r="909" customFormat="false" ht="23.85" hidden="false" customHeight="false" outlineLevel="0" collapsed="false">
      <c r="A909" s="4" t="s">
        <v>1955</v>
      </c>
      <c r="B909" s="4" t="s">
        <v>313</v>
      </c>
      <c r="C909" s="4" t="s">
        <v>236</v>
      </c>
      <c r="D909" s="4" t="s">
        <v>2011</v>
      </c>
      <c r="E909" s="4" t="s">
        <v>171</v>
      </c>
      <c r="F909" s="4" t="s">
        <v>2012</v>
      </c>
      <c r="G909" s="4" t="s">
        <v>2013</v>
      </c>
    </row>
    <row r="910" customFormat="false" ht="23.85" hidden="false" customHeight="false" outlineLevel="0" collapsed="false">
      <c r="A910" s="4" t="s">
        <v>1955</v>
      </c>
      <c r="B910" s="4" t="s">
        <v>313</v>
      </c>
      <c r="C910" s="4" t="s">
        <v>238</v>
      </c>
      <c r="D910" s="4" t="s">
        <v>2014</v>
      </c>
      <c r="E910" s="4" t="s">
        <v>19</v>
      </c>
      <c r="F910" s="4" t="s">
        <v>2015</v>
      </c>
      <c r="G910" s="4" t="s">
        <v>2016</v>
      </c>
    </row>
    <row r="911" customFormat="false" ht="35.05" hidden="false" customHeight="false" outlineLevel="0" collapsed="false">
      <c r="A911" s="4" t="s">
        <v>1955</v>
      </c>
      <c r="B911" s="4" t="s">
        <v>329</v>
      </c>
      <c r="C911" s="4"/>
      <c r="D911" s="4" t="s">
        <v>842</v>
      </c>
      <c r="E911" s="4" t="s">
        <v>171</v>
      </c>
      <c r="F911" s="4" t="s">
        <v>2017</v>
      </c>
      <c r="G911" s="4"/>
    </row>
    <row r="912" customFormat="false" ht="35.05" hidden="false" customHeight="false" outlineLevel="0" collapsed="false">
      <c r="A912" s="4" t="s">
        <v>1955</v>
      </c>
      <c r="B912" s="4" t="s">
        <v>329</v>
      </c>
      <c r="C912" s="4"/>
      <c r="D912" s="4" t="s">
        <v>2018</v>
      </c>
      <c r="E912" s="4" t="s">
        <v>333</v>
      </c>
      <c r="F912" s="4" t="s">
        <v>2019</v>
      </c>
      <c r="G912" s="4"/>
    </row>
    <row r="913" customFormat="false" ht="23.85" hidden="false" customHeight="false" outlineLevel="0" collapsed="false">
      <c r="A913" s="4" t="s">
        <v>1955</v>
      </c>
      <c r="B913" s="4" t="s">
        <v>329</v>
      </c>
      <c r="C913" s="4"/>
      <c r="D913" s="4" t="s">
        <v>2020</v>
      </c>
      <c r="E913" s="4" t="s">
        <v>171</v>
      </c>
      <c r="F913" s="4" t="s">
        <v>2021</v>
      </c>
      <c r="G913" s="4"/>
    </row>
    <row r="914" customFormat="false" ht="23.85" hidden="false" customHeight="false" outlineLevel="0" collapsed="false">
      <c r="A914" s="4" t="s">
        <v>1955</v>
      </c>
      <c r="B914" s="4" t="s">
        <v>329</v>
      </c>
      <c r="C914" s="4"/>
      <c r="D914" s="4" t="s">
        <v>1256</v>
      </c>
      <c r="E914" s="4" t="s">
        <v>333</v>
      </c>
      <c r="F914" s="4" t="s">
        <v>2022</v>
      </c>
      <c r="G914" s="4"/>
    </row>
    <row r="915" customFormat="false" ht="23.85" hidden="false" customHeight="false" outlineLevel="0" collapsed="false">
      <c r="A915" s="4" t="s">
        <v>1955</v>
      </c>
      <c r="B915" s="4" t="s">
        <v>329</v>
      </c>
      <c r="C915" s="4"/>
      <c r="D915" s="4" t="s">
        <v>1657</v>
      </c>
      <c r="E915" s="4" t="s">
        <v>171</v>
      </c>
      <c r="F915" s="4" t="s">
        <v>2023</v>
      </c>
      <c r="G915" s="4"/>
    </row>
    <row r="916" customFormat="false" ht="23.85" hidden="false" customHeight="false" outlineLevel="0" collapsed="false">
      <c r="A916" s="4" t="s">
        <v>1955</v>
      </c>
      <c r="B916" s="4" t="s">
        <v>329</v>
      </c>
      <c r="C916" s="4"/>
      <c r="D916" s="4" t="s">
        <v>2024</v>
      </c>
      <c r="E916" s="4" t="s">
        <v>333</v>
      </c>
      <c r="F916" s="4" t="s">
        <v>2025</v>
      </c>
      <c r="G916" s="4"/>
    </row>
    <row r="917" customFormat="false" ht="23.85" hidden="false" customHeight="false" outlineLevel="0" collapsed="false">
      <c r="A917" s="4" t="s">
        <v>1955</v>
      </c>
      <c r="B917" s="4" t="s">
        <v>329</v>
      </c>
      <c r="C917" s="4"/>
      <c r="D917" s="4" t="s">
        <v>547</v>
      </c>
      <c r="E917" s="4" t="s">
        <v>171</v>
      </c>
      <c r="F917" s="4" t="s">
        <v>2026</v>
      </c>
      <c r="G917" s="4"/>
    </row>
    <row r="918" customFormat="false" ht="23.85" hidden="false" customHeight="false" outlineLevel="0" collapsed="false">
      <c r="A918" s="4" t="s">
        <v>1955</v>
      </c>
      <c r="B918" s="4" t="s">
        <v>329</v>
      </c>
      <c r="C918" s="4"/>
      <c r="D918" s="4" t="s">
        <v>751</v>
      </c>
      <c r="E918" s="4" t="s">
        <v>171</v>
      </c>
      <c r="F918" s="4" t="s">
        <v>2027</v>
      </c>
      <c r="G918" s="4"/>
    </row>
    <row r="919" customFormat="false" ht="23.85" hidden="false" customHeight="false" outlineLevel="0" collapsed="false">
      <c r="A919" s="4" t="s">
        <v>1955</v>
      </c>
      <c r="B919" s="4" t="s">
        <v>329</v>
      </c>
      <c r="C919" s="4"/>
      <c r="D919" s="4" t="s">
        <v>862</v>
      </c>
      <c r="E919" s="4" t="s">
        <v>171</v>
      </c>
      <c r="F919" s="4" t="s">
        <v>1863</v>
      </c>
      <c r="G919" s="4"/>
    </row>
    <row r="920" customFormat="false" ht="23.85" hidden="false" customHeight="false" outlineLevel="0" collapsed="false">
      <c r="A920" s="4" t="s">
        <v>1955</v>
      </c>
      <c r="B920" s="4" t="s">
        <v>329</v>
      </c>
      <c r="C920" s="4"/>
      <c r="D920" s="4" t="s">
        <v>1764</v>
      </c>
      <c r="E920" s="4" t="s">
        <v>171</v>
      </c>
      <c r="F920" s="4" t="s">
        <v>2028</v>
      </c>
      <c r="G920" s="4"/>
    </row>
    <row r="921" customFormat="false" ht="23.85" hidden="false" customHeight="false" outlineLevel="0" collapsed="false">
      <c r="A921" s="4" t="s">
        <v>1955</v>
      </c>
      <c r="B921" s="4" t="s">
        <v>329</v>
      </c>
      <c r="C921" s="4"/>
      <c r="D921" s="4" t="s">
        <v>866</v>
      </c>
      <c r="E921" s="4" t="s">
        <v>171</v>
      </c>
      <c r="F921" s="4" t="s">
        <v>2029</v>
      </c>
      <c r="G921" s="4"/>
    </row>
    <row r="922" customFormat="false" ht="23.85" hidden="false" customHeight="false" outlineLevel="0" collapsed="false">
      <c r="A922" s="4" t="s">
        <v>1955</v>
      </c>
      <c r="B922" s="4" t="s">
        <v>329</v>
      </c>
      <c r="C922" s="4"/>
      <c r="D922" s="4" t="s">
        <v>2030</v>
      </c>
      <c r="E922" s="4" t="s">
        <v>333</v>
      </c>
      <c r="F922" s="4" t="s">
        <v>2031</v>
      </c>
      <c r="G922" s="4"/>
    </row>
    <row r="923" customFormat="false" ht="35.05" hidden="false" customHeight="false" outlineLevel="0" collapsed="false">
      <c r="A923" s="4" t="s">
        <v>2032</v>
      </c>
      <c r="B923" s="4" t="s">
        <v>249</v>
      </c>
      <c r="C923" s="4" t="s">
        <v>165</v>
      </c>
      <c r="D923" s="4" t="s">
        <v>1464</v>
      </c>
      <c r="E923" s="4" t="s">
        <v>19</v>
      </c>
      <c r="F923" s="4" t="s">
        <v>2033</v>
      </c>
      <c r="G923" s="4" t="s">
        <v>2034</v>
      </c>
    </row>
    <row r="924" customFormat="false" ht="23.85" hidden="false" customHeight="false" outlineLevel="0" collapsed="false">
      <c r="A924" s="4" t="s">
        <v>2032</v>
      </c>
      <c r="B924" s="4" t="s">
        <v>249</v>
      </c>
      <c r="C924" s="4" t="s">
        <v>167</v>
      </c>
      <c r="D924" s="4" t="s">
        <v>1467</v>
      </c>
      <c r="E924" s="4" t="s">
        <v>19</v>
      </c>
      <c r="F924" s="4" t="s">
        <v>2035</v>
      </c>
      <c r="G924" s="4" t="s">
        <v>2036</v>
      </c>
    </row>
    <row r="925" customFormat="false" ht="23.85" hidden="false" customHeight="false" outlineLevel="0" collapsed="false">
      <c r="A925" s="4" t="s">
        <v>2032</v>
      </c>
      <c r="B925" s="4" t="s">
        <v>249</v>
      </c>
      <c r="C925" s="4" t="s">
        <v>169</v>
      </c>
      <c r="D925" s="4" t="s">
        <v>651</v>
      </c>
      <c r="E925" s="4" t="s">
        <v>19</v>
      </c>
      <c r="F925" s="4" t="s">
        <v>2037</v>
      </c>
      <c r="G925" s="4" t="s">
        <v>2038</v>
      </c>
    </row>
    <row r="926" customFormat="false" ht="23.85" hidden="false" customHeight="false" outlineLevel="0" collapsed="false">
      <c r="A926" s="4" t="s">
        <v>2032</v>
      </c>
      <c r="B926" s="4" t="s">
        <v>249</v>
      </c>
      <c r="C926" s="4" t="s">
        <v>172</v>
      </c>
      <c r="D926" s="4" t="s">
        <v>654</v>
      </c>
      <c r="E926" s="4" t="s">
        <v>19</v>
      </c>
      <c r="F926" s="4" t="s">
        <v>2039</v>
      </c>
      <c r="G926" s="4" t="s">
        <v>2040</v>
      </c>
    </row>
    <row r="927" customFormat="false" ht="35.05" hidden="false" customHeight="false" outlineLevel="0" collapsed="false">
      <c r="A927" s="4" t="s">
        <v>2032</v>
      </c>
      <c r="B927" s="4" t="s">
        <v>249</v>
      </c>
      <c r="C927" s="4" t="s">
        <v>174</v>
      </c>
      <c r="D927" s="4" t="s">
        <v>1474</v>
      </c>
      <c r="E927" s="4" t="s">
        <v>19</v>
      </c>
      <c r="F927" s="4" t="s">
        <v>2041</v>
      </c>
      <c r="G927" s="4" t="s">
        <v>2042</v>
      </c>
    </row>
    <row r="928" customFormat="false" ht="35.05" hidden="false" customHeight="false" outlineLevel="0" collapsed="false">
      <c r="A928" s="4" t="s">
        <v>2032</v>
      </c>
      <c r="B928" s="4" t="s">
        <v>249</v>
      </c>
      <c r="C928" s="4" t="s">
        <v>176</v>
      </c>
      <c r="D928" s="4" t="s">
        <v>1477</v>
      </c>
      <c r="E928" s="4" t="s">
        <v>19</v>
      </c>
      <c r="F928" s="4" t="s">
        <v>2043</v>
      </c>
      <c r="G928" s="4" t="s">
        <v>2044</v>
      </c>
    </row>
    <row r="929" customFormat="false" ht="23.85" hidden="false" customHeight="false" outlineLevel="0" collapsed="false">
      <c r="A929" s="4" t="s">
        <v>2032</v>
      </c>
      <c r="B929" s="4" t="s">
        <v>249</v>
      </c>
      <c r="C929" s="4" t="s">
        <v>178</v>
      </c>
      <c r="D929" s="4" t="s">
        <v>1480</v>
      </c>
      <c r="E929" s="4" t="s">
        <v>19</v>
      </c>
      <c r="F929" s="4" t="s">
        <v>2045</v>
      </c>
      <c r="G929" s="4" t="s">
        <v>2046</v>
      </c>
    </row>
    <row r="930" customFormat="false" ht="23.85" hidden="false" customHeight="false" outlineLevel="0" collapsed="false">
      <c r="A930" s="4" t="s">
        <v>2032</v>
      </c>
      <c r="B930" s="4" t="s">
        <v>249</v>
      </c>
      <c r="C930" s="4" t="s">
        <v>180</v>
      </c>
      <c r="D930" s="4" t="s">
        <v>665</v>
      </c>
      <c r="E930" s="4" t="s">
        <v>19</v>
      </c>
      <c r="F930" s="4" t="s">
        <v>2047</v>
      </c>
      <c r="G930" s="4" t="s">
        <v>2048</v>
      </c>
    </row>
    <row r="931" customFormat="false" ht="23.85" hidden="false" customHeight="false" outlineLevel="0" collapsed="false">
      <c r="A931" s="4" t="s">
        <v>2032</v>
      </c>
      <c r="B931" s="4" t="s">
        <v>249</v>
      </c>
      <c r="C931" s="4" t="s">
        <v>182</v>
      </c>
      <c r="D931" s="4" t="s">
        <v>1485</v>
      </c>
      <c r="E931" s="4" t="s">
        <v>19</v>
      </c>
      <c r="F931" s="4" t="s">
        <v>2049</v>
      </c>
      <c r="G931" s="4" t="s">
        <v>2050</v>
      </c>
    </row>
    <row r="932" customFormat="false" ht="23.85" hidden="false" customHeight="false" outlineLevel="0" collapsed="false">
      <c r="A932" s="4" t="s">
        <v>2032</v>
      </c>
      <c r="B932" s="4" t="s">
        <v>249</v>
      </c>
      <c r="C932" s="4" t="s">
        <v>184</v>
      </c>
      <c r="D932" s="4" t="s">
        <v>1488</v>
      </c>
      <c r="E932" s="4" t="s">
        <v>19</v>
      </c>
      <c r="F932" s="4" t="s">
        <v>2051</v>
      </c>
      <c r="G932" s="4" t="s">
        <v>2052</v>
      </c>
    </row>
    <row r="933" customFormat="false" ht="23.85" hidden="false" customHeight="false" outlineLevel="0" collapsed="false">
      <c r="A933" s="4" t="s">
        <v>2032</v>
      </c>
      <c r="B933" s="4" t="s">
        <v>249</v>
      </c>
      <c r="C933" s="4" t="s">
        <v>186</v>
      </c>
      <c r="D933" s="4" t="s">
        <v>187</v>
      </c>
      <c r="E933" s="4" t="s">
        <v>20</v>
      </c>
      <c r="F933" s="4" t="s">
        <v>2053</v>
      </c>
      <c r="G933" s="4" t="s">
        <v>2054</v>
      </c>
    </row>
    <row r="934" customFormat="false" ht="23.85" hidden="false" customHeight="false" outlineLevel="0" collapsed="false">
      <c r="A934" s="4" t="s">
        <v>2032</v>
      </c>
      <c r="B934" s="4" t="s">
        <v>249</v>
      </c>
      <c r="C934" s="4" t="s">
        <v>188</v>
      </c>
      <c r="D934" s="4" t="s">
        <v>189</v>
      </c>
      <c r="E934" s="4" t="s">
        <v>20</v>
      </c>
      <c r="F934" s="4" t="s">
        <v>2055</v>
      </c>
      <c r="G934" s="4" t="s">
        <v>2056</v>
      </c>
    </row>
    <row r="935" customFormat="false" ht="23.85" hidden="false" customHeight="false" outlineLevel="0" collapsed="false">
      <c r="A935" s="4" t="s">
        <v>2032</v>
      </c>
      <c r="B935" s="4" t="s">
        <v>249</v>
      </c>
      <c r="C935" s="4" t="s">
        <v>190</v>
      </c>
      <c r="D935" s="4" t="s">
        <v>676</v>
      </c>
      <c r="E935" s="4" t="s">
        <v>19</v>
      </c>
      <c r="F935" s="4" t="s">
        <v>2057</v>
      </c>
      <c r="G935" s="4" t="s">
        <v>2058</v>
      </c>
    </row>
    <row r="936" customFormat="false" ht="35.05" hidden="false" customHeight="false" outlineLevel="0" collapsed="false">
      <c r="A936" s="4" t="s">
        <v>2032</v>
      </c>
      <c r="B936" s="4" t="s">
        <v>249</v>
      </c>
      <c r="C936" s="4" t="s">
        <v>192</v>
      </c>
      <c r="D936" s="4" t="s">
        <v>193</v>
      </c>
      <c r="E936" s="4" t="s">
        <v>19</v>
      </c>
      <c r="F936" s="4" t="s">
        <v>2059</v>
      </c>
      <c r="G936" s="4" t="s">
        <v>2060</v>
      </c>
    </row>
    <row r="937" customFormat="false" ht="23.85" hidden="false" customHeight="false" outlineLevel="0" collapsed="false">
      <c r="A937" s="4" t="s">
        <v>2032</v>
      </c>
      <c r="B937" s="4" t="s">
        <v>249</v>
      </c>
      <c r="C937" s="4" t="s">
        <v>194</v>
      </c>
      <c r="D937" s="4" t="s">
        <v>681</v>
      </c>
      <c r="E937" s="4" t="s">
        <v>19</v>
      </c>
      <c r="F937" s="4" t="s">
        <v>2061</v>
      </c>
      <c r="G937" s="4" t="s">
        <v>2062</v>
      </c>
    </row>
    <row r="938" customFormat="false" ht="23.85" hidden="false" customHeight="false" outlineLevel="0" collapsed="false">
      <c r="A938" s="4" t="s">
        <v>2032</v>
      </c>
      <c r="B938" s="4" t="s">
        <v>249</v>
      </c>
      <c r="C938" s="4" t="s">
        <v>196</v>
      </c>
      <c r="D938" s="4" t="s">
        <v>1501</v>
      </c>
      <c r="E938" s="4" t="s">
        <v>19</v>
      </c>
      <c r="F938" s="4" t="s">
        <v>2063</v>
      </c>
      <c r="G938" s="4" t="s">
        <v>2064</v>
      </c>
    </row>
    <row r="939" customFormat="false" ht="35.05" hidden="false" customHeight="false" outlineLevel="0" collapsed="false">
      <c r="A939" s="4" t="s">
        <v>2032</v>
      </c>
      <c r="B939" s="4" t="s">
        <v>249</v>
      </c>
      <c r="C939" s="4" t="s">
        <v>198</v>
      </c>
      <c r="D939" s="4" t="s">
        <v>199</v>
      </c>
      <c r="E939" s="4" t="s">
        <v>19</v>
      </c>
      <c r="F939" s="4" t="s">
        <v>2065</v>
      </c>
      <c r="G939" s="4" t="s">
        <v>2066</v>
      </c>
    </row>
    <row r="940" customFormat="false" ht="35.05" hidden="false" customHeight="false" outlineLevel="0" collapsed="false">
      <c r="A940" s="4" t="s">
        <v>2032</v>
      </c>
      <c r="B940" s="4" t="s">
        <v>249</v>
      </c>
      <c r="C940" s="4" t="s">
        <v>200</v>
      </c>
      <c r="D940" s="4" t="s">
        <v>201</v>
      </c>
      <c r="E940" s="4" t="s">
        <v>19</v>
      </c>
      <c r="F940" s="4" t="s">
        <v>2067</v>
      </c>
      <c r="G940" s="4" t="s">
        <v>2068</v>
      </c>
    </row>
    <row r="941" customFormat="false" ht="23.85" hidden="false" customHeight="false" outlineLevel="0" collapsed="false">
      <c r="A941" s="4" t="s">
        <v>2032</v>
      </c>
      <c r="B941" s="4" t="s">
        <v>249</v>
      </c>
      <c r="C941" s="4" t="s">
        <v>202</v>
      </c>
      <c r="D941" s="4" t="s">
        <v>1508</v>
      </c>
      <c r="E941" s="4" t="s">
        <v>20</v>
      </c>
      <c r="F941" s="4" t="s">
        <v>2069</v>
      </c>
      <c r="G941" s="4" t="s">
        <v>2070</v>
      </c>
    </row>
    <row r="942" customFormat="false" ht="23.85" hidden="false" customHeight="false" outlineLevel="0" collapsed="false">
      <c r="A942" s="4" t="s">
        <v>2032</v>
      </c>
      <c r="B942" s="4" t="s">
        <v>249</v>
      </c>
      <c r="C942" s="4" t="s">
        <v>204</v>
      </c>
      <c r="D942" s="4" t="s">
        <v>692</v>
      </c>
      <c r="E942" s="4" t="s">
        <v>20</v>
      </c>
      <c r="F942" s="4" t="s">
        <v>2071</v>
      </c>
      <c r="G942" s="4" t="s">
        <v>2072</v>
      </c>
    </row>
    <row r="943" customFormat="false" ht="23.85" hidden="false" customHeight="false" outlineLevel="0" collapsed="false">
      <c r="A943" s="4" t="s">
        <v>2032</v>
      </c>
      <c r="B943" s="4" t="s">
        <v>249</v>
      </c>
      <c r="C943" s="4" t="s">
        <v>206</v>
      </c>
      <c r="D943" s="4" t="s">
        <v>695</v>
      </c>
      <c r="E943" s="4" t="s">
        <v>19</v>
      </c>
      <c r="F943" s="4" t="s">
        <v>2073</v>
      </c>
      <c r="G943" s="4" t="s">
        <v>2074</v>
      </c>
    </row>
    <row r="944" customFormat="false" ht="23.85" hidden="false" customHeight="false" outlineLevel="0" collapsed="false">
      <c r="A944" s="4" t="s">
        <v>2032</v>
      </c>
      <c r="B944" s="4" t="s">
        <v>292</v>
      </c>
      <c r="C944" s="4" t="s">
        <v>208</v>
      </c>
      <c r="D944" s="4" t="s">
        <v>209</v>
      </c>
      <c r="E944" s="4" t="s">
        <v>19</v>
      </c>
      <c r="F944" s="4" t="s">
        <v>2075</v>
      </c>
      <c r="G944" s="4" t="s">
        <v>2076</v>
      </c>
    </row>
    <row r="945" customFormat="false" ht="23.85" hidden="false" customHeight="false" outlineLevel="0" collapsed="false">
      <c r="A945" s="4" t="s">
        <v>2032</v>
      </c>
      <c r="B945" s="4" t="s">
        <v>292</v>
      </c>
      <c r="C945" s="4" t="s">
        <v>210</v>
      </c>
      <c r="D945" s="4" t="s">
        <v>211</v>
      </c>
      <c r="E945" s="4" t="s">
        <v>171</v>
      </c>
      <c r="F945" s="4" t="s">
        <v>2077</v>
      </c>
      <c r="G945" s="4" t="s">
        <v>2078</v>
      </c>
    </row>
    <row r="946" customFormat="false" ht="23.85" hidden="false" customHeight="false" outlineLevel="0" collapsed="false">
      <c r="A946" s="4" t="s">
        <v>2032</v>
      </c>
      <c r="B946" s="4" t="s">
        <v>292</v>
      </c>
      <c r="C946" s="4" t="s">
        <v>212</v>
      </c>
      <c r="D946" s="4" t="s">
        <v>213</v>
      </c>
      <c r="E946" s="4" t="s">
        <v>19</v>
      </c>
      <c r="F946" s="4" t="s">
        <v>2079</v>
      </c>
      <c r="G946" s="4" t="s">
        <v>2080</v>
      </c>
    </row>
    <row r="947" customFormat="false" ht="23.85" hidden="false" customHeight="false" outlineLevel="0" collapsed="false">
      <c r="A947" s="4" t="s">
        <v>2032</v>
      </c>
      <c r="B947" s="4" t="s">
        <v>292</v>
      </c>
      <c r="C947" s="4" t="s">
        <v>214</v>
      </c>
      <c r="D947" s="4" t="s">
        <v>215</v>
      </c>
      <c r="E947" s="4" t="s">
        <v>171</v>
      </c>
      <c r="F947" s="4" t="s">
        <v>2081</v>
      </c>
      <c r="G947" s="4"/>
    </row>
    <row r="948" customFormat="false" ht="23.85" hidden="false" customHeight="false" outlineLevel="0" collapsed="false">
      <c r="A948" s="4" t="s">
        <v>2032</v>
      </c>
      <c r="B948" s="4" t="s">
        <v>292</v>
      </c>
      <c r="C948" s="4" t="s">
        <v>216</v>
      </c>
      <c r="D948" s="4" t="s">
        <v>217</v>
      </c>
      <c r="E948" s="4" t="s">
        <v>19</v>
      </c>
      <c r="F948" s="4" t="s">
        <v>2082</v>
      </c>
      <c r="G948" s="4" t="s">
        <v>920</v>
      </c>
    </row>
    <row r="949" customFormat="false" ht="23.85" hidden="false" customHeight="false" outlineLevel="0" collapsed="false">
      <c r="A949" s="4" t="s">
        <v>2032</v>
      </c>
      <c r="B949" s="4" t="s">
        <v>292</v>
      </c>
      <c r="C949" s="4" t="s">
        <v>218</v>
      </c>
      <c r="D949" s="4" t="s">
        <v>219</v>
      </c>
      <c r="E949" s="4" t="s">
        <v>19</v>
      </c>
      <c r="F949" s="4" t="s">
        <v>2083</v>
      </c>
      <c r="G949" s="4" t="s">
        <v>2084</v>
      </c>
    </row>
    <row r="950" customFormat="false" ht="23.85" hidden="false" customHeight="false" outlineLevel="0" collapsed="false">
      <c r="A950" s="4" t="s">
        <v>2032</v>
      </c>
      <c r="B950" s="4" t="s">
        <v>292</v>
      </c>
      <c r="C950" s="4" t="s">
        <v>220</v>
      </c>
      <c r="D950" s="4" t="s">
        <v>221</v>
      </c>
      <c r="E950" s="4" t="s">
        <v>20</v>
      </c>
      <c r="F950" s="4" t="s">
        <v>2085</v>
      </c>
      <c r="G950" s="4" t="s">
        <v>2086</v>
      </c>
    </row>
    <row r="951" customFormat="false" ht="23.85" hidden="false" customHeight="false" outlineLevel="0" collapsed="false">
      <c r="A951" s="4" t="s">
        <v>2032</v>
      </c>
      <c r="B951" s="4" t="s">
        <v>292</v>
      </c>
      <c r="C951" s="4" t="s">
        <v>222</v>
      </c>
      <c r="D951" s="4" t="s">
        <v>223</v>
      </c>
      <c r="E951" s="4" t="s">
        <v>20</v>
      </c>
      <c r="F951" s="4" t="s">
        <v>2087</v>
      </c>
      <c r="G951" s="4" t="s">
        <v>609</v>
      </c>
    </row>
    <row r="952" customFormat="false" ht="23.85" hidden="false" customHeight="false" outlineLevel="0" collapsed="false">
      <c r="A952" s="4" t="s">
        <v>2032</v>
      </c>
      <c r="B952" s="4" t="s">
        <v>292</v>
      </c>
      <c r="C952" s="4" t="s">
        <v>224</v>
      </c>
      <c r="D952" s="4" t="s">
        <v>225</v>
      </c>
      <c r="E952" s="4" t="s">
        <v>19</v>
      </c>
      <c r="F952" s="4" t="s">
        <v>2088</v>
      </c>
      <c r="G952" s="4" t="s">
        <v>2089</v>
      </c>
    </row>
    <row r="953" customFormat="false" ht="23.85" hidden="false" customHeight="false" outlineLevel="0" collapsed="false">
      <c r="A953" s="4" t="s">
        <v>2032</v>
      </c>
      <c r="B953" s="4" t="s">
        <v>292</v>
      </c>
      <c r="C953" s="4" t="s">
        <v>226</v>
      </c>
      <c r="D953" s="4" t="s">
        <v>227</v>
      </c>
      <c r="E953" s="4" t="s">
        <v>20</v>
      </c>
      <c r="F953" s="4" t="s">
        <v>2090</v>
      </c>
      <c r="G953" s="4" t="s">
        <v>2091</v>
      </c>
    </row>
    <row r="954" customFormat="false" ht="23.85" hidden="false" customHeight="false" outlineLevel="0" collapsed="false">
      <c r="A954" s="4" t="s">
        <v>2032</v>
      </c>
      <c r="B954" s="4" t="s">
        <v>292</v>
      </c>
      <c r="C954" s="4" t="s">
        <v>228</v>
      </c>
      <c r="D954" s="4" t="s">
        <v>229</v>
      </c>
      <c r="E954" s="4" t="s">
        <v>19</v>
      </c>
      <c r="F954" s="4" t="s">
        <v>2092</v>
      </c>
      <c r="G954" s="4"/>
    </row>
    <row r="955" customFormat="false" ht="57.45" hidden="false" customHeight="false" outlineLevel="0" collapsed="false">
      <c r="A955" s="4" t="s">
        <v>2032</v>
      </c>
      <c r="B955" s="4" t="s">
        <v>313</v>
      </c>
      <c r="C955" s="4" t="s">
        <v>230</v>
      </c>
      <c r="D955" s="4" t="s">
        <v>2093</v>
      </c>
      <c r="E955" s="4" t="s">
        <v>171</v>
      </c>
      <c r="F955" s="4" t="s">
        <v>2094</v>
      </c>
      <c r="G955" s="4" t="s">
        <v>2095</v>
      </c>
    </row>
    <row r="956" customFormat="false" ht="35.05" hidden="false" customHeight="false" outlineLevel="0" collapsed="false">
      <c r="A956" s="4" t="s">
        <v>2032</v>
      </c>
      <c r="B956" s="4" t="s">
        <v>313</v>
      </c>
      <c r="C956" s="4" t="s">
        <v>232</v>
      </c>
      <c r="D956" s="4" t="s">
        <v>2096</v>
      </c>
      <c r="E956" s="4" t="s">
        <v>20</v>
      </c>
      <c r="F956" s="4" t="s">
        <v>2097</v>
      </c>
      <c r="G956" s="4" t="s">
        <v>2098</v>
      </c>
    </row>
    <row r="957" customFormat="false" ht="46.25" hidden="false" customHeight="false" outlineLevel="0" collapsed="false">
      <c r="A957" s="4" t="s">
        <v>2032</v>
      </c>
      <c r="B957" s="4" t="s">
        <v>313</v>
      </c>
      <c r="C957" s="4" t="s">
        <v>234</v>
      </c>
      <c r="D957" s="4" t="s">
        <v>2099</v>
      </c>
      <c r="E957" s="4" t="s">
        <v>20</v>
      </c>
      <c r="F957" s="4" t="s">
        <v>2100</v>
      </c>
      <c r="G957" s="4" t="s">
        <v>2101</v>
      </c>
    </row>
    <row r="958" customFormat="false" ht="23.85" hidden="false" customHeight="false" outlineLevel="0" collapsed="false">
      <c r="A958" s="4" t="s">
        <v>2032</v>
      </c>
      <c r="B958" s="4" t="s">
        <v>313</v>
      </c>
      <c r="C958" s="4" t="s">
        <v>236</v>
      </c>
      <c r="D958" s="4" t="s">
        <v>2102</v>
      </c>
      <c r="E958" s="4" t="s">
        <v>19</v>
      </c>
      <c r="F958" s="4" t="s">
        <v>2103</v>
      </c>
      <c r="G958" s="4" t="s">
        <v>2104</v>
      </c>
    </row>
    <row r="959" customFormat="false" ht="35.05" hidden="false" customHeight="false" outlineLevel="0" collapsed="false">
      <c r="A959" s="4" t="s">
        <v>2032</v>
      </c>
      <c r="B959" s="4" t="s">
        <v>313</v>
      </c>
      <c r="C959" s="4" t="s">
        <v>238</v>
      </c>
      <c r="D959" s="4" t="s">
        <v>2105</v>
      </c>
      <c r="E959" s="4" t="s">
        <v>19</v>
      </c>
      <c r="F959" s="4" t="s">
        <v>2106</v>
      </c>
      <c r="G959" s="4" t="s">
        <v>2107</v>
      </c>
    </row>
    <row r="960" customFormat="false" ht="23.85" hidden="false" customHeight="false" outlineLevel="0" collapsed="false">
      <c r="A960" s="4" t="s">
        <v>2032</v>
      </c>
      <c r="B960" s="4" t="s">
        <v>329</v>
      </c>
      <c r="C960" s="4"/>
      <c r="D960" s="4" t="s">
        <v>2108</v>
      </c>
      <c r="E960" s="4" t="s">
        <v>444</v>
      </c>
      <c r="F960" s="4" t="s">
        <v>2109</v>
      </c>
      <c r="G960" s="4"/>
    </row>
    <row r="961" customFormat="false" ht="46.25" hidden="false" customHeight="false" outlineLevel="0" collapsed="false">
      <c r="A961" s="4" t="s">
        <v>2032</v>
      </c>
      <c r="B961" s="4" t="s">
        <v>329</v>
      </c>
      <c r="C961" s="4"/>
      <c r="D961" s="4" t="s">
        <v>1554</v>
      </c>
      <c r="E961" s="4" t="s">
        <v>444</v>
      </c>
      <c r="F961" s="4" t="s">
        <v>2110</v>
      </c>
      <c r="G961" s="4"/>
    </row>
    <row r="962" customFormat="false" ht="23.85" hidden="false" customHeight="false" outlineLevel="0" collapsed="false">
      <c r="A962" s="4" t="s">
        <v>2032</v>
      </c>
      <c r="B962" s="4" t="s">
        <v>329</v>
      </c>
      <c r="C962" s="4"/>
      <c r="D962" s="4" t="s">
        <v>2111</v>
      </c>
      <c r="E962" s="4" t="s">
        <v>444</v>
      </c>
      <c r="F962" s="4" t="s">
        <v>2112</v>
      </c>
      <c r="G962" s="4"/>
    </row>
    <row r="963" customFormat="false" ht="23.85" hidden="false" customHeight="false" outlineLevel="0" collapsed="false">
      <c r="A963" s="4" t="s">
        <v>2032</v>
      </c>
      <c r="B963" s="4" t="s">
        <v>329</v>
      </c>
      <c r="C963" s="4"/>
      <c r="D963" s="4" t="s">
        <v>2113</v>
      </c>
      <c r="E963" s="4" t="s">
        <v>333</v>
      </c>
      <c r="F963" s="4" t="s">
        <v>2114</v>
      </c>
      <c r="G963" s="4"/>
    </row>
    <row r="964" customFormat="false" ht="23.85" hidden="false" customHeight="false" outlineLevel="0" collapsed="false">
      <c r="A964" s="4" t="s">
        <v>2032</v>
      </c>
      <c r="B964" s="4" t="s">
        <v>329</v>
      </c>
      <c r="C964" s="4"/>
      <c r="D964" s="4" t="s">
        <v>2115</v>
      </c>
      <c r="E964" s="4" t="s">
        <v>333</v>
      </c>
      <c r="F964" s="4" t="s">
        <v>2116</v>
      </c>
      <c r="G964" s="4"/>
    </row>
    <row r="965" customFormat="false" ht="23.85" hidden="false" customHeight="false" outlineLevel="0" collapsed="false">
      <c r="A965" s="4" t="s">
        <v>2032</v>
      </c>
      <c r="B965" s="4" t="s">
        <v>329</v>
      </c>
      <c r="C965" s="4"/>
      <c r="D965" s="4" t="s">
        <v>452</v>
      </c>
      <c r="E965" s="4" t="s">
        <v>444</v>
      </c>
      <c r="F965" s="4" t="s">
        <v>2117</v>
      </c>
      <c r="G965" s="4"/>
    </row>
    <row r="966" customFormat="false" ht="35.05" hidden="false" customHeight="false" outlineLevel="0" collapsed="false">
      <c r="A966" s="4" t="s">
        <v>2032</v>
      </c>
      <c r="B966" s="4" t="s">
        <v>329</v>
      </c>
      <c r="C966" s="4"/>
      <c r="D966" s="4" t="s">
        <v>2118</v>
      </c>
      <c r="E966" s="4" t="s">
        <v>333</v>
      </c>
      <c r="F966" s="4" t="s">
        <v>2119</v>
      </c>
      <c r="G966" s="4"/>
    </row>
    <row r="967" customFormat="false" ht="57.45" hidden="false" customHeight="false" outlineLevel="0" collapsed="false">
      <c r="A967" s="4" t="s">
        <v>2032</v>
      </c>
      <c r="B967" s="4" t="s">
        <v>329</v>
      </c>
      <c r="C967" s="4"/>
      <c r="D967" s="4" t="s">
        <v>1657</v>
      </c>
      <c r="E967" s="4" t="s">
        <v>333</v>
      </c>
      <c r="F967" s="4" t="s">
        <v>2120</v>
      </c>
      <c r="G967" s="4"/>
    </row>
    <row r="968" customFormat="false" ht="23.85" hidden="false" customHeight="false" outlineLevel="0" collapsed="false">
      <c r="A968" s="4" t="s">
        <v>2032</v>
      </c>
      <c r="B968" s="4" t="s">
        <v>329</v>
      </c>
      <c r="C968" s="4"/>
      <c r="D968" s="4" t="s">
        <v>1661</v>
      </c>
      <c r="E968" s="4" t="s">
        <v>333</v>
      </c>
      <c r="F968" s="4" t="s">
        <v>2121</v>
      </c>
      <c r="G968" s="4"/>
    </row>
    <row r="969" customFormat="false" ht="23.85" hidden="false" customHeight="false" outlineLevel="0" collapsed="false">
      <c r="A969" s="4" t="s">
        <v>2032</v>
      </c>
      <c r="B969" s="4" t="s">
        <v>329</v>
      </c>
      <c r="C969" s="4"/>
      <c r="D969" s="4" t="s">
        <v>753</v>
      </c>
      <c r="E969" s="4" t="s">
        <v>171</v>
      </c>
      <c r="F969" s="4" t="s">
        <v>2122</v>
      </c>
      <c r="G969" s="4"/>
    </row>
    <row r="970" customFormat="false" ht="35.05" hidden="false" customHeight="false" outlineLevel="0" collapsed="false">
      <c r="A970" s="4" t="s">
        <v>2123</v>
      </c>
      <c r="B970" s="4" t="s">
        <v>249</v>
      </c>
      <c r="C970" s="4" t="s">
        <v>165</v>
      </c>
      <c r="D970" s="4" t="s">
        <v>1464</v>
      </c>
      <c r="E970" s="4" t="s">
        <v>20</v>
      </c>
      <c r="F970" s="4" t="s">
        <v>2124</v>
      </c>
      <c r="G970" s="4" t="s">
        <v>2125</v>
      </c>
    </row>
    <row r="971" customFormat="false" ht="23.85" hidden="false" customHeight="false" outlineLevel="0" collapsed="false">
      <c r="A971" s="4" t="s">
        <v>2123</v>
      </c>
      <c r="B971" s="4" t="s">
        <v>249</v>
      </c>
      <c r="C971" s="4" t="s">
        <v>167</v>
      </c>
      <c r="D971" s="4" t="s">
        <v>1467</v>
      </c>
      <c r="E971" s="4" t="s">
        <v>19</v>
      </c>
      <c r="F971" s="4" t="s">
        <v>2126</v>
      </c>
      <c r="G971" s="4" t="s">
        <v>2036</v>
      </c>
    </row>
    <row r="972" customFormat="false" ht="23.85" hidden="false" customHeight="false" outlineLevel="0" collapsed="false">
      <c r="A972" s="4" t="s">
        <v>2123</v>
      </c>
      <c r="B972" s="4" t="s">
        <v>249</v>
      </c>
      <c r="C972" s="4" t="s">
        <v>169</v>
      </c>
      <c r="D972" s="4" t="s">
        <v>651</v>
      </c>
      <c r="E972" s="4" t="s">
        <v>19</v>
      </c>
      <c r="F972" s="4" t="s">
        <v>2127</v>
      </c>
      <c r="G972" s="4" t="s">
        <v>2128</v>
      </c>
    </row>
    <row r="973" customFormat="false" ht="23.85" hidden="false" customHeight="false" outlineLevel="0" collapsed="false">
      <c r="A973" s="4" t="s">
        <v>2123</v>
      </c>
      <c r="B973" s="4" t="s">
        <v>249</v>
      </c>
      <c r="C973" s="4" t="s">
        <v>172</v>
      </c>
      <c r="D973" s="4" t="s">
        <v>654</v>
      </c>
      <c r="E973" s="4" t="s">
        <v>19</v>
      </c>
      <c r="F973" s="4" t="s">
        <v>2129</v>
      </c>
      <c r="G973" s="4" t="s">
        <v>2130</v>
      </c>
    </row>
    <row r="974" customFormat="false" ht="35.05" hidden="false" customHeight="false" outlineLevel="0" collapsed="false">
      <c r="A974" s="4" t="s">
        <v>2123</v>
      </c>
      <c r="B974" s="4" t="s">
        <v>249</v>
      </c>
      <c r="C974" s="4" t="s">
        <v>174</v>
      </c>
      <c r="D974" s="4" t="s">
        <v>1474</v>
      </c>
      <c r="E974" s="4" t="s">
        <v>19</v>
      </c>
      <c r="F974" s="4" t="s">
        <v>2131</v>
      </c>
      <c r="G974" s="4" t="s">
        <v>2132</v>
      </c>
    </row>
    <row r="975" customFormat="false" ht="35.05" hidden="false" customHeight="false" outlineLevel="0" collapsed="false">
      <c r="A975" s="4" t="s">
        <v>2123</v>
      </c>
      <c r="B975" s="4" t="s">
        <v>249</v>
      </c>
      <c r="C975" s="4" t="s">
        <v>176</v>
      </c>
      <c r="D975" s="4" t="s">
        <v>1477</v>
      </c>
      <c r="E975" s="4" t="s">
        <v>19</v>
      </c>
      <c r="F975" s="4" t="s">
        <v>2133</v>
      </c>
      <c r="G975" s="4" t="s">
        <v>2134</v>
      </c>
    </row>
    <row r="976" customFormat="false" ht="23.85" hidden="false" customHeight="false" outlineLevel="0" collapsed="false">
      <c r="A976" s="4" t="s">
        <v>2123</v>
      </c>
      <c r="B976" s="4" t="s">
        <v>249</v>
      </c>
      <c r="C976" s="4" t="s">
        <v>178</v>
      </c>
      <c r="D976" s="4" t="s">
        <v>1480</v>
      </c>
      <c r="E976" s="4" t="s">
        <v>19</v>
      </c>
      <c r="F976" s="4" t="s">
        <v>2135</v>
      </c>
      <c r="G976" s="4" t="s">
        <v>2136</v>
      </c>
    </row>
    <row r="977" customFormat="false" ht="23.85" hidden="false" customHeight="false" outlineLevel="0" collapsed="false">
      <c r="A977" s="4" t="s">
        <v>2123</v>
      </c>
      <c r="B977" s="4" t="s">
        <v>249</v>
      </c>
      <c r="C977" s="4" t="s">
        <v>180</v>
      </c>
      <c r="D977" s="4" t="s">
        <v>665</v>
      </c>
      <c r="E977" s="4" t="s">
        <v>19</v>
      </c>
      <c r="F977" s="4" t="s">
        <v>2137</v>
      </c>
      <c r="G977" s="4" t="s">
        <v>2138</v>
      </c>
    </row>
    <row r="978" customFormat="false" ht="23.85" hidden="false" customHeight="false" outlineLevel="0" collapsed="false">
      <c r="A978" s="4" t="s">
        <v>2123</v>
      </c>
      <c r="B978" s="4" t="s">
        <v>249</v>
      </c>
      <c r="C978" s="4" t="s">
        <v>182</v>
      </c>
      <c r="D978" s="4" t="s">
        <v>1485</v>
      </c>
      <c r="E978" s="4" t="s">
        <v>19</v>
      </c>
      <c r="F978" s="4" t="s">
        <v>2139</v>
      </c>
      <c r="G978" s="4" t="s">
        <v>2140</v>
      </c>
    </row>
    <row r="979" customFormat="false" ht="23.85" hidden="false" customHeight="false" outlineLevel="0" collapsed="false">
      <c r="A979" s="4" t="s">
        <v>2123</v>
      </c>
      <c r="B979" s="4" t="s">
        <v>249</v>
      </c>
      <c r="C979" s="4" t="s">
        <v>184</v>
      </c>
      <c r="D979" s="4" t="s">
        <v>1488</v>
      </c>
      <c r="E979" s="4" t="s">
        <v>19</v>
      </c>
      <c r="F979" s="4" t="s">
        <v>2141</v>
      </c>
      <c r="G979" s="4" t="s">
        <v>2052</v>
      </c>
    </row>
    <row r="980" customFormat="false" ht="23.85" hidden="false" customHeight="false" outlineLevel="0" collapsed="false">
      <c r="A980" s="4" t="s">
        <v>2123</v>
      </c>
      <c r="B980" s="4" t="s">
        <v>249</v>
      </c>
      <c r="C980" s="4" t="s">
        <v>186</v>
      </c>
      <c r="D980" s="4" t="s">
        <v>187</v>
      </c>
      <c r="E980" s="4" t="s">
        <v>20</v>
      </c>
      <c r="F980" s="4" t="s">
        <v>2053</v>
      </c>
      <c r="G980" s="4" t="s">
        <v>2142</v>
      </c>
    </row>
    <row r="981" customFormat="false" ht="23.85" hidden="false" customHeight="false" outlineLevel="0" collapsed="false">
      <c r="A981" s="4" t="s">
        <v>2123</v>
      </c>
      <c r="B981" s="4" t="s">
        <v>249</v>
      </c>
      <c r="C981" s="4" t="s">
        <v>188</v>
      </c>
      <c r="D981" s="4" t="s">
        <v>189</v>
      </c>
      <c r="E981" s="4" t="s">
        <v>20</v>
      </c>
      <c r="F981" s="4" t="s">
        <v>2143</v>
      </c>
      <c r="G981" s="4" t="s">
        <v>2056</v>
      </c>
    </row>
    <row r="982" customFormat="false" ht="23.85" hidden="false" customHeight="false" outlineLevel="0" collapsed="false">
      <c r="A982" s="4" t="s">
        <v>2123</v>
      </c>
      <c r="B982" s="4" t="s">
        <v>249</v>
      </c>
      <c r="C982" s="4" t="s">
        <v>190</v>
      </c>
      <c r="D982" s="4" t="s">
        <v>676</v>
      </c>
      <c r="E982" s="4" t="s">
        <v>19</v>
      </c>
      <c r="F982" s="4" t="s">
        <v>2144</v>
      </c>
      <c r="G982" s="4" t="s">
        <v>2145</v>
      </c>
    </row>
    <row r="983" customFormat="false" ht="35.05" hidden="false" customHeight="false" outlineLevel="0" collapsed="false">
      <c r="A983" s="4" t="s">
        <v>2123</v>
      </c>
      <c r="B983" s="4" t="s">
        <v>249</v>
      </c>
      <c r="C983" s="4" t="s">
        <v>192</v>
      </c>
      <c r="D983" s="4" t="s">
        <v>193</v>
      </c>
      <c r="E983" s="4" t="s">
        <v>19</v>
      </c>
      <c r="F983" s="4" t="s">
        <v>2146</v>
      </c>
      <c r="G983" s="4" t="s">
        <v>2147</v>
      </c>
    </row>
    <row r="984" customFormat="false" ht="23.85" hidden="false" customHeight="false" outlineLevel="0" collapsed="false">
      <c r="A984" s="4" t="s">
        <v>2123</v>
      </c>
      <c r="B984" s="4" t="s">
        <v>249</v>
      </c>
      <c r="C984" s="4" t="s">
        <v>194</v>
      </c>
      <c r="D984" s="4" t="s">
        <v>681</v>
      </c>
      <c r="E984" s="4" t="s">
        <v>19</v>
      </c>
      <c r="F984" s="4" t="s">
        <v>2148</v>
      </c>
      <c r="G984" s="4" t="s">
        <v>2149</v>
      </c>
    </row>
    <row r="985" customFormat="false" ht="23.85" hidden="false" customHeight="false" outlineLevel="0" collapsed="false">
      <c r="A985" s="4" t="s">
        <v>2123</v>
      </c>
      <c r="B985" s="4" t="s">
        <v>249</v>
      </c>
      <c r="C985" s="4" t="s">
        <v>196</v>
      </c>
      <c r="D985" s="4" t="s">
        <v>1501</v>
      </c>
      <c r="E985" s="4" t="s">
        <v>19</v>
      </c>
      <c r="F985" s="4" t="s">
        <v>2150</v>
      </c>
      <c r="G985" s="4" t="s">
        <v>2151</v>
      </c>
    </row>
    <row r="986" customFormat="false" ht="35.05" hidden="false" customHeight="false" outlineLevel="0" collapsed="false">
      <c r="A986" s="4" t="s">
        <v>2123</v>
      </c>
      <c r="B986" s="4" t="s">
        <v>249</v>
      </c>
      <c r="C986" s="4" t="s">
        <v>198</v>
      </c>
      <c r="D986" s="4" t="s">
        <v>199</v>
      </c>
      <c r="E986" s="4" t="s">
        <v>19</v>
      </c>
      <c r="F986" s="4" t="s">
        <v>2152</v>
      </c>
      <c r="G986" s="4" t="s">
        <v>2153</v>
      </c>
    </row>
    <row r="987" customFormat="false" ht="23.85" hidden="false" customHeight="false" outlineLevel="0" collapsed="false">
      <c r="A987" s="4" t="s">
        <v>2123</v>
      </c>
      <c r="B987" s="4" t="s">
        <v>249</v>
      </c>
      <c r="C987" s="4" t="s">
        <v>200</v>
      </c>
      <c r="D987" s="4" t="s">
        <v>201</v>
      </c>
      <c r="E987" s="4" t="s">
        <v>19</v>
      </c>
      <c r="F987" s="4" t="s">
        <v>2154</v>
      </c>
      <c r="G987" s="4" t="s">
        <v>2155</v>
      </c>
    </row>
    <row r="988" customFormat="false" ht="23.85" hidden="false" customHeight="false" outlineLevel="0" collapsed="false">
      <c r="A988" s="4" t="s">
        <v>2123</v>
      </c>
      <c r="B988" s="4" t="s">
        <v>249</v>
      </c>
      <c r="C988" s="4" t="s">
        <v>202</v>
      </c>
      <c r="D988" s="4" t="s">
        <v>1508</v>
      </c>
      <c r="E988" s="4" t="s">
        <v>20</v>
      </c>
      <c r="F988" s="4" t="s">
        <v>2156</v>
      </c>
      <c r="G988" s="4" t="s">
        <v>2157</v>
      </c>
    </row>
    <row r="989" customFormat="false" ht="23.85" hidden="false" customHeight="false" outlineLevel="0" collapsed="false">
      <c r="A989" s="4" t="s">
        <v>2123</v>
      </c>
      <c r="B989" s="4" t="s">
        <v>249</v>
      </c>
      <c r="C989" s="4" t="s">
        <v>204</v>
      </c>
      <c r="D989" s="4" t="s">
        <v>692</v>
      </c>
      <c r="E989" s="4" t="s">
        <v>20</v>
      </c>
      <c r="F989" s="4" t="s">
        <v>2158</v>
      </c>
      <c r="G989" s="4" t="s">
        <v>2159</v>
      </c>
    </row>
    <row r="990" customFormat="false" ht="23.85" hidden="false" customHeight="false" outlineLevel="0" collapsed="false">
      <c r="A990" s="4" t="s">
        <v>2123</v>
      </c>
      <c r="B990" s="4" t="s">
        <v>249</v>
      </c>
      <c r="C990" s="4" t="s">
        <v>206</v>
      </c>
      <c r="D990" s="4" t="s">
        <v>695</v>
      </c>
      <c r="E990" s="4" t="s">
        <v>19</v>
      </c>
      <c r="F990" s="4" t="s">
        <v>2160</v>
      </c>
      <c r="G990" s="4" t="s">
        <v>2161</v>
      </c>
    </row>
    <row r="991" customFormat="false" ht="23.85" hidden="false" customHeight="false" outlineLevel="0" collapsed="false">
      <c r="A991" s="4" t="s">
        <v>2123</v>
      </c>
      <c r="B991" s="4" t="s">
        <v>292</v>
      </c>
      <c r="C991" s="4" t="s">
        <v>208</v>
      </c>
      <c r="D991" s="4" t="s">
        <v>209</v>
      </c>
      <c r="E991" s="4" t="s">
        <v>19</v>
      </c>
      <c r="F991" s="4" t="s">
        <v>2162</v>
      </c>
      <c r="G991" s="4" t="s">
        <v>2163</v>
      </c>
    </row>
    <row r="992" customFormat="false" ht="23.85" hidden="false" customHeight="false" outlineLevel="0" collapsed="false">
      <c r="A992" s="4" t="s">
        <v>2123</v>
      </c>
      <c r="B992" s="4" t="s">
        <v>292</v>
      </c>
      <c r="C992" s="4" t="s">
        <v>210</v>
      </c>
      <c r="D992" s="4" t="s">
        <v>211</v>
      </c>
      <c r="E992" s="4" t="s">
        <v>171</v>
      </c>
      <c r="F992" s="4" t="s">
        <v>2164</v>
      </c>
      <c r="G992" s="4" t="s">
        <v>2078</v>
      </c>
    </row>
    <row r="993" customFormat="false" ht="23.85" hidden="false" customHeight="false" outlineLevel="0" collapsed="false">
      <c r="A993" s="4" t="s">
        <v>2123</v>
      </c>
      <c r="B993" s="4" t="s">
        <v>292</v>
      </c>
      <c r="C993" s="4" t="s">
        <v>212</v>
      </c>
      <c r="D993" s="4" t="s">
        <v>213</v>
      </c>
      <c r="E993" s="4" t="s">
        <v>171</v>
      </c>
      <c r="F993" s="4" t="s">
        <v>2165</v>
      </c>
      <c r="G993" s="4" t="s">
        <v>2166</v>
      </c>
    </row>
    <row r="994" customFormat="false" ht="23.85" hidden="false" customHeight="false" outlineLevel="0" collapsed="false">
      <c r="A994" s="4" t="s">
        <v>2123</v>
      </c>
      <c r="B994" s="4" t="s">
        <v>292</v>
      </c>
      <c r="C994" s="4" t="s">
        <v>214</v>
      </c>
      <c r="D994" s="4" t="s">
        <v>215</v>
      </c>
      <c r="E994" s="4" t="s">
        <v>171</v>
      </c>
      <c r="F994" s="4" t="s">
        <v>2167</v>
      </c>
      <c r="G994" s="4"/>
    </row>
    <row r="995" customFormat="false" ht="23.85" hidden="false" customHeight="false" outlineLevel="0" collapsed="false">
      <c r="A995" s="4" t="s">
        <v>2123</v>
      </c>
      <c r="B995" s="4" t="s">
        <v>292</v>
      </c>
      <c r="C995" s="4" t="s">
        <v>216</v>
      </c>
      <c r="D995" s="4" t="s">
        <v>217</v>
      </c>
      <c r="E995" s="4" t="s">
        <v>19</v>
      </c>
      <c r="F995" s="4" t="s">
        <v>2168</v>
      </c>
      <c r="G995" s="4" t="s">
        <v>920</v>
      </c>
    </row>
    <row r="996" customFormat="false" ht="23.85" hidden="false" customHeight="false" outlineLevel="0" collapsed="false">
      <c r="A996" s="4" t="s">
        <v>2123</v>
      </c>
      <c r="B996" s="4" t="s">
        <v>292</v>
      </c>
      <c r="C996" s="4" t="s">
        <v>218</v>
      </c>
      <c r="D996" s="4" t="s">
        <v>219</v>
      </c>
      <c r="E996" s="4" t="s">
        <v>19</v>
      </c>
      <c r="F996" s="4" t="s">
        <v>2169</v>
      </c>
      <c r="G996" s="4" t="s">
        <v>2170</v>
      </c>
    </row>
    <row r="997" customFormat="false" ht="23.85" hidden="false" customHeight="false" outlineLevel="0" collapsed="false">
      <c r="A997" s="4" t="s">
        <v>2123</v>
      </c>
      <c r="B997" s="4" t="s">
        <v>292</v>
      </c>
      <c r="C997" s="4" t="s">
        <v>220</v>
      </c>
      <c r="D997" s="4" t="s">
        <v>221</v>
      </c>
      <c r="E997" s="4" t="s">
        <v>20</v>
      </c>
      <c r="F997" s="4" t="s">
        <v>2171</v>
      </c>
      <c r="G997" s="4" t="s">
        <v>2172</v>
      </c>
    </row>
    <row r="998" customFormat="false" ht="23.85" hidden="false" customHeight="false" outlineLevel="0" collapsed="false">
      <c r="A998" s="4" t="s">
        <v>2123</v>
      </c>
      <c r="B998" s="4" t="s">
        <v>292</v>
      </c>
      <c r="C998" s="4" t="s">
        <v>222</v>
      </c>
      <c r="D998" s="4" t="s">
        <v>223</v>
      </c>
      <c r="E998" s="4" t="s">
        <v>20</v>
      </c>
      <c r="F998" s="4" t="s">
        <v>2173</v>
      </c>
      <c r="G998" s="4" t="s">
        <v>2174</v>
      </c>
    </row>
    <row r="999" customFormat="false" ht="23.85" hidden="false" customHeight="false" outlineLevel="0" collapsed="false">
      <c r="A999" s="4" t="s">
        <v>2123</v>
      </c>
      <c r="B999" s="4" t="s">
        <v>292</v>
      </c>
      <c r="C999" s="4" t="s">
        <v>224</v>
      </c>
      <c r="D999" s="4" t="s">
        <v>225</v>
      </c>
      <c r="E999" s="4" t="s">
        <v>19</v>
      </c>
      <c r="F999" s="4" t="s">
        <v>2175</v>
      </c>
      <c r="G999" s="4" t="s">
        <v>2176</v>
      </c>
    </row>
    <row r="1000" customFormat="false" ht="23.85" hidden="false" customHeight="false" outlineLevel="0" collapsed="false">
      <c r="A1000" s="4" t="s">
        <v>2123</v>
      </c>
      <c r="B1000" s="4" t="s">
        <v>292</v>
      </c>
      <c r="C1000" s="4" t="s">
        <v>226</v>
      </c>
      <c r="D1000" s="4" t="s">
        <v>227</v>
      </c>
      <c r="E1000" s="4" t="s">
        <v>20</v>
      </c>
      <c r="F1000" s="4" t="s">
        <v>2177</v>
      </c>
      <c r="G1000" s="4" t="s">
        <v>2178</v>
      </c>
    </row>
    <row r="1001" customFormat="false" ht="23.85" hidden="false" customHeight="false" outlineLevel="0" collapsed="false">
      <c r="A1001" s="4" t="s">
        <v>2123</v>
      </c>
      <c r="B1001" s="4" t="s">
        <v>292</v>
      </c>
      <c r="C1001" s="4" t="s">
        <v>228</v>
      </c>
      <c r="D1001" s="4" t="s">
        <v>229</v>
      </c>
      <c r="E1001" s="4" t="s">
        <v>19</v>
      </c>
      <c r="F1001" s="4" t="s">
        <v>2092</v>
      </c>
      <c r="G1001" s="4"/>
    </row>
    <row r="1002" customFormat="false" ht="57.45" hidden="false" customHeight="false" outlineLevel="0" collapsed="false">
      <c r="A1002" s="4" t="s">
        <v>2123</v>
      </c>
      <c r="B1002" s="4" t="s">
        <v>313</v>
      </c>
      <c r="C1002" s="4" t="s">
        <v>230</v>
      </c>
      <c r="D1002" s="4" t="s">
        <v>2179</v>
      </c>
      <c r="E1002" s="4" t="s">
        <v>171</v>
      </c>
      <c r="F1002" s="4" t="s">
        <v>2180</v>
      </c>
      <c r="G1002" s="4" t="s">
        <v>2181</v>
      </c>
    </row>
    <row r="1003" customFormat="false" ht="46.25" hidden="false" customHeight="false" outlineLevel="0" collapsed="false">
      <c r="A1003" s="4" t="s">
        <v>2123</v>
      </c>
      <c r="B1003" s="4" t="s">
        <v>313</v>
      </c>
      <c r="C1003" s="4" t="s">
        <v>232</v>
      </c>
      <c r="D1003" s="4" t="s">
        <v>2182</v>
      </c>
      <c r="E1003" s="4" t="s">
        <v>20</v>
      </c>
      <c r="F1003" s="4" t="s">
        <v>2183</v>
      </c>
      <c r="G1003" s="4" t="s">
        <v>2184</v>
      </c>
    </row>
    <row r="1004" customFormat="false" ht="23.85" hidden="false" customHeight="false" outlineLevel="0" collapsed="false">
      <c r="A1004" s="4" t="s">
        <v>2123</v>
      </c>
      <c r="B1004" s="4" t="s">
        <v>313</v>
      </c>
      <c r="C1004" s="4" t="s">
        <v>234</v>
      </c>
      <c r="D1004" s="4" t="s">
        <v>2185</v>
      </c>
      <c r="E1004" s="4" t="s">
        <v>20</v>
      </c>
      <c r="F1004" s="4" t="s">
        <v>2186</v>
      </c>
      <c r="G1004" s="4" t="s">
        <v>2187</v>
      </c>
    </row>
    <row r="1005" customFormat="false" ht="23.85" hidden="false" customHeight="false" outlineLevel="0" collapsed="false">
      <c r="A1005" s="4" t="s">
        <v>2123</v>
      </c>
      <c r="B1005" s="4" t="s">
        <v>313</v>
      </c>
      <c r="C1005" s="4" t="s">
        <v>236</v>
      </c>
      <c r="D1005" s="4" t="s">
        <v>2188</v>
      </c>
      <c r="E1005" s="4" t="s">
        <v>19</v>
      </c>
      <c r="F1005" s="4" t="s">
        <v>2189</v>
      </c>
      <c r="G1005" s="4" t="s">
        <v>2190</v>
      </c>
    </row>
    <row r="1006" customFormat="false" ht="23.85" hidden="false" customHeight="false" outlineLevel="0" collapsed="false">
      <c r="A1006" s="4" t="s">
        <v>2123</v>
      </c>
      <c r="B1006" s="4" t="s">
        <v>313</v>
      </c>
      <c r="C1006" s="4" t="s">
        <v>238</v>
      </c>
      <c r="D1006" s="4" t="s">
        <v>2191</v>
      </c>
      <c r="E1006" s="4" t="s">
        <v>19</v>
      </c>
      <c r="F1006" s="4" t="s">
        <v>2192</v>
      </c>
      <c r="G1006" s="4" t="s">
        <v>2193</v>
      </c>
    </row>
    <row r="1007" customFormat="false" ht="23.85" hidden="false" customHeight="false" outlineLevel="0" collapsed="false">
      <c r="A1007" s="4" t="s">
        <v>2123</v>
      </c>
      <c r="B1007" s="4" t="s">
        <v>329</v>
      </c>
      <c r="C1007" s="4"/>
      <c r="D1007" s="4" t="s">
        <v>2108</v>
      </c>
      <c r="E1007" s="4" t="s">
        <v>444</v>
      </c>
      <c r="F1007" s="4" t="s">
        <v>2194</v>
      </c>
      <c r="G1007" s="4"/>
    </row>
    <row r="1008" customFormat="false" ht="46.25" hidden="false" customHeight="false" outlineLevel="0" collapsed="false">
      <c r="A1008" s="4" t="s">
        <v>2123</v>
      </c>
      <c r="B1008" s="4" t="s">
        <v>329</v>
      </c>
      <c r="C1008" s="4"/>
      <c r="D1008" s="4" t="s">
        <v>1554</v>
      </c>
      <c r="E1008" s="4" t="s">
        <v>444</v>
      </c>
      <c r="F1008" s="4" t="s">
        <v>2195</v>
      </c>
      <c r="G1008" s="4"/>
    </row>
    <row r="1009" customFormat="false" ht="35.05" hidden="false" customHeight="false" outlineLevel="0" collapsed="false">
      <c r="A1009" s="4" t="s">
        <v>2123</v>
      </c>
      <c r="B1009" s="4" t="s">
        <v>329</v>
      </c>
      <c r="C1009" s="4"/>
      <c r="D1009" s="4" t="s">
        <v>2196</v>
      </c>
      <c r="E1009" s="4" t="s">
        <v>333</v>
      </c>
      <c r="F1009" s="4" t="s">
        <v>2197</v>
      </c>
      <c r="G1009" s="4"/>
    </row>
    <row r="1010" customFormat="false" ht="23.85" hidden="false" customHeight="false" outlineLevel="0" collapsed="false">
      <c r="A1010" s="4" t="s">
        <v>2123</v>
      </c>
      <c r="B1010" s="4" t="s">
        <v>329</v>
      </c>
      <c r="C1010" s="4"/>
      <c r="D1010" s="4" t="s">
        <v>2115</v>
      </c>
      <c r="E1010" s="4" t="s">
        <v>333</v>
      </c>
      <c r="F1010" s="4" t="s">
        <v>2198</v>
      </c>
      <c r="G1010" s="4"/>
    </row>
    <row r="1011" customFormat="false" ht="35.05" hidden="false" customHeight="false" outlineLevel="0" collapsed="false">
      <c r="A1011" s="4" t="s">
        <v>2123</v>
      </c>
      <c r="B1011" s="4" t="s">
        <v>329</v>
      </c>
      <c r="C1011" s="4"/>
      <c r="D1011" s="4" t="s">
        <v>1657</v>
      </c>
      <c r="E1011" s="4" t="s">
        <v>333</v>
      </c>
      <c r="F1011" s="4" t="s">
        <v>2199</v>
      </c>
      <c r="G1011" s="4"/>
    </row>
    <row r="1012" customFormat="false" ht="23.85" hidden="false" customHeight="false" outlineLevel="0" collapsed="false">
      <c r="A1012" s="4" t="s">
        <v>2123</v>
      </c>
      <c r="B1012" s="4" t="s">
        <v>329</v>
      </c>
      <c r="C1012" s="4"/>
      <c r="D1012" s="4" t="s">
        <v>452</v>
      </c>
      <c r="E1012" s="4" t="s">
        <v>333</v>
      </c>
      <c r="F1012" s="4" t="s">
        <v>2200</v>
      </c>
      <c r="G1012" s="4"/>
    </row>
    <row r="1013" customFormat="false" ht="23.85" hidden="false" customHeight="false" outlineLevel="0" collapsed="false">
      <c r="A1013" s="4" t="s">
        <v>2123</v>
      </c>
      <c r="B1013" s="4" t="s">
        <v>329</v>
      </c>
      <c r="C1013" s="4"/>
      <c r="D1013" s="4" t="s">
        <v>2201</v>
      </c>
      <c r="E1013" s="4" t="s">
        <v>333</v>
      </c>
      <c r="F1013" s="4" t="s">
        <v>2202</v>
      </c>
      <c r="G1013" s="4"/>
    </row>
    <row r="1014" customFormat="false" ht="23.85" hidden="false" customHeight="false" outlineLevel="0" collapsed="false">
      <c r="A1014" s="4" t="s">
        <v>2123</v>
      </c>
      <c r="B1014" s="4" t="s">
        <v>329</v>
      </c>
      <c r="C1014" s="4"/>
      <c r="D1014" s="4" t="s">
        <v>1661</v>
      </c>
      <c r="E1014" s="4" t="s">
        <v>333</v>
      </c>
      <c r="F1014" s="4" t="s">
        <v>2203</v>
      </c>
      <c r="G1014" s="4"/>
    </row>
    <row r="1015" customFormat="false" ht="23.85" hidden="false" customHeight="false" outlineLevel="0" collapsed="false">
      <c r="A1015" s="4" t="s">
        <v>2123</v>
      </c>
      <c r="B1015" s="4" t="s">
        <v>329</v>
      </c>
      <c r="C1015" s="4"/>
      <c r="D1015" s="4" t="s">
        <v>2204</v>
      </c>
      <c r="E1015" s="4" t="s">
        <v>171</v>
      </c>
      <c r="F1015" s="4" t="s">
        <v>2205</v>
      </c>
      <c r="G1015" s="4"/>
    </row>
    <row r="1016" customFormat="false" ht="23.85" hidden="false" customHeight="false" outlineLevel="0" collapsed="false">
      <c r="A1016" s="4" t="s">
        <v>2123</v>
      </c>
      <c r="B1016" s="4" t="s">
        <v>329</v>
      </c>
      <c r="C1016" s="4"/>
      <c r="D1016" s="4" t="s">
        <v>753</v>
      </c>
      <c r="E1016" s="4" t="s">
        <v>171</v>
      </c>
      <c r="F1016" s="4" t="s">
        <v>1665</v>
      </c>
      <c r="G1016" s="4"/>
    </row>
    <row r="1017" customFormat="false" ht="23.85" hidden="false" customHeight="false" outlineLevel="0" collapsed="false">
      <c r="A1017" s="4" t="s">
        <v>2206</v>
      </c>
      <c r="B1017" s="4" t="s">
        <v>249</v>
      </c>
      <c r="C1017" s="4" t="s">
        <v>165</v>
      </c>
      <c r="D1017" s="4" t="s">
        <v>1173</v>
      </c>
      <c r="E1017" s="4" t="s">
        <v>19</v>
      </c>
      <c r="F1017" s="4" t="s">
        <v>2207</v>
      </c>
      <c r="G1017" s="4" t="s">
        <v>2208</v>
      </c>
    </row>
    <row r="1018" customFormat="false" ht="23.85" hidden="false" customHeight="false" outlineLevel="0" collapsed="false">
      <c r="A1018" s="4" t="s">
        <v>2206</v>
      </c>
      <c r="B1018" s="4" t="s">
        <v>249</v>
      </c>
      <c r="C1018" s="4" t="s">
        <v>167</v>
      </c>
      <c r="D1018" s="4" t="s">
        <v>168</v>
      </c>
      <c r="E1018" s="4" t="s">
        <v>19</v>
      </c>
      <c r="F1018" s="4" t="s">
        <v>2209</v>
      </c>
      <c r="G1018" s="4" t="s">
        <v>2210</v>
      </c>
    </row>
    <row r="1019" customFormat="false" ht="23.85" hidden="false" customHeight="false" outlineLevel="0" collapsed="false">
      <c r="A1019" s="4" t="s">
        <v>2206</v>
      </c>
      <c r="B1019" s="4" t="s">
        <v>249</v>
      </c>
      <c r="C1019" s="4" t="s">
        <v>169</v>
      </c>
      <c r="D1019" s="4" t="s">
        <v>170</v>
      </c>
      <c r="E1019" s="4" t="s">
        <v>171</v>
      </c>
      <c r="F1019" s="4" t="s">
        <v>2211</v>
      </c>
      <c r="G1019" s="4" t="s">
        <v>277</v>
      </c>
    </row>
    <row r="1020" customFormat="false" ht="23.85" hidden="false" customHeight="false" outlineLevel="0" collapsed="false">
      <c r="A1020" s="4" t="s">
        <v>2206</v>
      </c>
      <c r="B1020" s="4" t="s">
        <v>249</v>
      </c>
      <c r="C1020" s="4" t="s">
        <v>172</v>
      </c>
      <c r="D1020" s="4" t="s">
        <v>365</v>
      </c>
      <c r="E1020" s="4" t="s">
        <v>171</v>
      </c>
      <c r="F1020" s="4" t="s">
        <v>2212</v>
      </c>
      <c r="G1020" s="4" t="s">
        <v>2213</v>
      </c>
    </row>
    <row r="1021" customFormat="false" ht="23.85" hidden="false" customHeight="false" outlineLevel="0" collapsed="false">
      <c r="A1021" s="4" t="s">
        <v>2206</v>
      </c>
      <c r="B1021" s="4" t="s">
        <v>249</v>
      </c>
      <c r="C1021" s="4" t="s">
        <v>174</v>
      </c>
      <c r="D1021" s="4" t="s">
        <v>368</v>
      </c>
      <c r="E1021" s="4" t="s">
        <v>19</v>
      </c>
      <c r="F1021" s="4" t="s">
        <v>2214</v>
      </c>
      <c r="G1021" s="4" t="s">
        <v>2215</v>
      </c>
    </row>
    <row r="1022" customFormat="false" ht="23.85" hidden="false" customHeight="false" outlineLevel="0" collapsed="false">
      <c r="A1022" s="4" t="s">
        <v>2206</v>
      </c>
      <c r="B1022" s="4" t="s">
        <v>249</v>
      </c>
      <c r="C1022" s="4" t="s">
        <v>176</v>
      </c>
      <c r="D1022" s="4" t="s">
        <v>371</v>
      </c>
      <c r="E1022" s="4" t="s">
        <v>171</v>
      </c>
      <c r="F1022" s="4" t="s">
        <v>2216</v>
      </c>
      <c r="G1022" s="4" t="s">
        <v>2217</v>
      </c>
    </row>
    <row r="1023" customFormat="false" ht="23.85" hidden="false" customHeight="false" outlineLevel="0" collapsed="false">
      <c r="A1023" s="4" t="s">
        <v>2206</v>
      </c>
      <c r="B1023" s="4" t="s">
        <v>249</v>
      </c>
      <c r="C1023" s="4" t="s">
        <v>178</v>
      </c>
      <c r="D1023" s="4" t="s">
        <v>1186</v>
      </c>
      <c r="E1023" s="4" t="s">
        <v>171</v>
      </c>
      <c r="F1023" s="4" t="s">
        <v>860</v>
      </c>
      <c r="G1023" s="4" t="s">
        <v>277</v>
      </c>
    </row>
    <row r="1024" customFormat="false" ht="23.85" hidden="false" customHeight="false" outlineLevel="0" collapsed="false">
      <c r="A1024" s="4" t="s">
        <v>2206</v>
      </c>
      <c r="B1024" s="4" t="s">
        <v>249</v>
      </c>
      <c r="C1024" s="4" t="s">
        <v>180</v>
      </c>
      <c r="D1024" s="4" t="s">
        <v>1286</v>
      </c>
      <c r="E1024" s="4" t="s">
        <v>19</v>
      </c>
      <c r="F1024" s="4" t="s">
        <v>2218</v>
      </c>
      <c r="G1024" s="4" t="s">
        <v>2219</v>
      </c>
    </row>
    <row r="1025" customFormat="false" ht="23.85" hidden="false" customHeight="false" outlineLevel="0" collapsed="false">
      <c r="A1025" s="4" t="s">
        <v>2206</v>
      </c>
      <c r="B1025" s="4" t="s">
        <v>249</v>
      </c>
      <c r="C1025" s="4" t="s">
        <v>182</v>
      </c>
      <c r="D1025" s="4" t="s">
        <v>183</v>
      </c>
      <c r="E1025" s="4" t="s">
        <v>171</v>
      </c>
      <c r="F1025" s="4" t="s">
        <v>2220</v>
      </c>
      <c r="G1025" s="4" t="s">
        <v>277</v>
      </c>
    </row>
    <row r="1026" customFormat="false" ht="23.85" hidden="false" customHeight="false" outlineLevel="0" collapsed="false">
      <c r="A1026" s="4" t="s">
        <v>2206</v>
      </c>
      <c r="B1026" s="4" t="s">
        <v>249</v>
      </c>
      <c r="C1026" s="4" t="s">
        <v>184</v>
      </c>
      <c r="D1026" s="4" t="s">
        <v>185</v>
      </c>
      <c r="E1026" s="4" t="s">
        <v>20</v>
      </c>
      <c r="F1026" s="4" t="s">
        <v>2221</v>
      </c>
      <c r="G1026" s="4" t="s">
        <v>2222</v>
      </c>
    </row>
    <row r="1027" customFormat="false" ht="23.85" hidden="false" customHeight="false" outlineLevel="0" collapsed="false">
      <c r="A1027" s="4" t="s">
        <v>2206</v>
      </c>
      <c r="B1027" s="4" t="s">
        <v>249</v>
      </c>
      <c r="C1027" s="4" t="s">
        <v>186</v>
      </c>
      <c r="D1027" s="4" t="s">
        <v>2223</v>
      </c>
      <c r="E1027" s="4" t="s">
        <v>19</v>
      </c>
      <c r="F1027" s="4" t="s">
        <v>2224</v>
      </c>
      <c r="G1027" s="4" t="s">
        <v>2225</v>
      </c>
    </row>
    <row r="1028" customFormat="false" ht="23.85" hidden="false" customHeight="false" outlineLevel="0" collapsed="false">
      <c r="A1028" s="4" t="s">
        <v>2206</v>
      </c>
      <c r="B1028" s="4" t="s">
        <v>249</v>
      </c>
      <c r="C1028" s="4" t="s">
        <v>188</v>
      </c>
      <c r="D1028" s="4" t="s">
        <v>189</v>
      </c>
      <c r="E1028" s="4" t="s">
        <v>20</v>
      </c>
      <c r="F1028" s="4" t="s">
        <v>2226</v>
      </c>
      <c r="G1028" s="4" t="s">
        <v>2227</v>
      </c>
    </row>
    <row r="1029" customFormat="false" ht="23.85" hidden="false" customHeight="false" outlineLevel="0" collapsed="false">
      <c r="A1029" s="4" t="s">
        <v>2206</v>
      </c>
      <c r="B1029" s="4" t="s">
        <v>249</v>
      </c>
      <c r="C1029" s="4" t="s">
        <v>190</v>
      </c>
      <c r="D1029" s="4" t="s">
        <v>191</v>
      </c>
      <c r="E1029" s="4" t="s">
        <v>171</v>
      </c>
      <c r="F1029" s="4" t="s">
        <v>2228</v>
      </c>
      <c r="G1029" s="4" t="s">
        <v>2229</v>
      </c>
    </row>
    <row r="1030" customFormat="false" ht="35.05" hidden="false" customHeight="false" outlineLevel="0" collapsed="false">
      <c r="A1030" s="4" t="s">
        <v>2206</v>
      </c>
      <c r="B1030" s="4" t="s">
        <v>249</v>
      </c>
      <c r="C1030" s="4" t="s">
        <v>192</v>
      </c>
      <c r="D1030" s="4" t="s">
        <v>193</v>
      </c>
      <c r="E1030" s="4" t="s">
        <v>171</v>
      </c>
      <c r="F1030" s="4" t="s">
        <v>2230</v>
      </c>
      <c r="G1030" s="4" t="s">
        <v>277</v>
      </c>
    </row>
    <row r="1031" customFormat="false" ht="23.85" hidden="false" customHeight="false" outlineLevel="0" collapsed="false">
      <c r="A1031" s="4" t="s">
        <v>2206</v>
      </c>
      <c r="B1031" s="4" t="s">
        <v>249</v>
      </c>
      <c r="C1031" s="4" t="s">
        <v>194</v>
      </c>
      <c r="D1031" s="4" t="s">
        <v>195</v>
      </c>
      <c r="E1031" s="4" t="s">
        <v>20</v>
      </c>
      <c r="F1031" s="4" t="s">
        <v>2231</v>
      </c>
      <c r="G1031" s="4" t="s">
        <v>2232</v>
      </c>
    </row>
    <row r="1032" customFormat="false" ht="23.85" hidden="false" customHeight="false" outlineLevel="0" collapsed="false">
      <c r="A1032" s="4" t="s">
        <v>2206</v>
      </c>
      <c r="B1032" s="4" t="s">
        <v>249</v>
      </c>
      <c r="C1032" s="4" t="s">
        <v>196</v>
      </c>
      <c r="D1032" s="4" t="s">
        <v>197</v>
      </c>
      <c r="E1032" s="4" t="s">
        <v>171</v>
      </c>
      <c r="F1032" s="4" t="s">
        <v>2233</v>
      </c>
      <c r="G1032" s="4" t="s">
        <v>2234</v>
      </c>
    </row>
    <row r="1033" customFormat="false" ht="35.05" hidden="false" customHeight="false" outlineLevel="0" collapsed="false">
      <c r="A1033" s="4" t="s">
        <v>2206</v>
      </c>
      <c r="B1033" s="4" t="s">
        <v>249</v>
      </c>
      <c r="C1033" s="4" t="s">
        <v>198</v>
      </c>
      <c r="D1033" s="4" t="s">
        <v>199</v>
      </c>
      <c r="E1033" s="4" t="s">
        <v>19</v>
      </c>
      <c r="F1033" s="4" t="s">
        <v>2235</v>
      </c>
      <c r="G1033" s="4" t="s">
        <v>2236</v>
      </c>
    </row>
    <row r="1034" customFormat="false" ht="23.85" hidden="false" customHeight="false" outlineLevel="0" collapsed="false">
      <c r="A1034" s="4" t="s">
        <v>2206</v>
      </c>
      <c r="B1034" s="4" t="s">
        <v>249</v>
      </c>
      <c r="C1034" s="4" t="s">
        <v>200</v>
      </c>
      <c r="D1034" s="4" t="s">
        <v>1210</v>
      </c>
      <c r="E1034" s="4" t="s">
        <v>20</v>
      </c>
      <c r="F1034" s="4" t="s">
        <v>2237</v>
      </c>
      <c r="G1034" s="4" t="s">
        <v>2238</v>
      </c>
    </row>
    <row r="1035" customFormat="false" ht="23.85" hidden="false" customHeight="false" outlineLevel="0" collapsed="false">
      <c r="A1035" s="4" t="s">
        <v>2206</v>
      </c>
      <c r="B1035" s="4" t="s">
        <v>249</v>
      </c>
      <c r="C1035" s="4" t="s">
        <v>202</v>
      </c>
      <c r="D1035" s="4" t="s">
        <v>203</v>
      </c>
      <c r="E1035" s="4" t="s">
        <v>19</v>
      </c>
      <c r="F1035" s="4" t="s">
        <v>2239</v>
      </c>
      <c r="G1035" s="4" t="s">
        <v>2240</v>
      </c>
    </row>
    <row r="1036" customFormat="false" ht="23.85" hidden="false" customHeight="false" outlineLevel="0" collapsed="false">
      <c r="A1036" s="4" t="s">
        <v>2206</v>
      </c>
      <c r="B1036" s="4" t="s">
        <v>249</v>
      </c>
      <c r="C1036" s="4" t="s">
        <v>204</v>
      </c>
      <c r="D1036" s="4" t="s">
        <v>1811</v>
      </c>
      <c r="E1036" s="4" t="s">
        <v>20</v>
      </c>
      <c r="F1036" s="4" t="s">
        <v>2241</v>
      </c>
      <c r="G1036" s="4" t="s">
        <v>2242</v>
      </c>
    </row>
    <row r="1037" customFormat="false" ht="23.85" hidden="false" customHeight="false" outlineLevel="0" collapsed="false">
      <c r="A1037" s="4" t="s">
        <v>2206</v>
      </c>
      <c r="B1037" s="4" t="s">
        <v>249</v>
      </c>
      <c r="C1037" s="4" t="s">
        <v>206</v>
      </c>
      <c r="D1037" s="4" t="s">
        <v>1909</v>
      </c>
      <c r="E1037" s="4" t="s">
        <v>171</v>
      </c>
      <c r="F1037" s="4" t="s">
        <v>2243</v>
      </c>
      <c r="G1037" s="4" t="s">
        <v>277</v>
      </c>
    </row>
    <row r="1038" customFormat="false" ht="23.85" hidden="false" customHeight="false" outlineLevel="0" collapsed="false">
      <c r="A1038" s="4" t="s">
        <v>2206</v>
      </c>
      <c r="B1038" s="4" t="s">
        <v>292</v>
      </c>
      <c r="C1038" s="4" t="s">
        <v>208</v>
      </c>
      <c r="D1038" s="4" t="s">
        <v>209</v>
      </c>
      <c r="E1038" s="4" t="s">
        <v>171</v>
      </c>
      <c r="F1038" s="4" t="s">
        <v>2244</v>
      </c>
      <c r="G1038" s="4" t="s">
        <v>277</v>
      </c>
    </row>
    <row r="1039" customFormat="false" ht="23.85" hidden="false" customHeight="false" outlineLevel="0" collapsed="false">
      <c r="A1039" s="4" t="s">
        <v>2206</v>
      </c>
      <c r="B1039" s="4" t="s">
        <v>292</v>
      </c>
      <c r="C1039" s="4" t="s">
        <v>210</v>
      </c>
      <c r="D1039" s="4" t="s">
        <v>211</v>
      </c>
      <c r="E1039" s="4" t="s">
        <v>171</v>
      </c>
      <c r="F1039" s="4" t="s">
        <v>2245</v>
      </c>
      <c r="G1039" s="4" t="s">
        <v>277</v>
      </c>
    </row>
    <row r="1040" customFormat="false" ht="23.85" hidden="false" customHeight="false" outlineLevel="0" collapsed="false">
      <c r="A1040" s="4" t="s">
        <v>2206</v>
      </c>
      <c r="B1040" s="4" t="s">
        <v>292</v>
      </c>
      <c r="C1040" s="4" t="s">
        <v>212</v>
      </c>
      <c r="D1040" s="4" t="s">
        <v>213</v>
      </c>
      <c r="E1040" s="4" t="s">
        <v>20</v>
      </c>
      <c r="F1040" s="4" t="s">
        <v>2246</v>
      </c>
      <c r="G1040" s="4" t="s">
        <v>2247</v>
      </c>
    </row>
    <row r="1041" customFormat="false" ht="23.85" hidden="false" customHeight="false" outlineLevel="0" collapsed="false">
      <c r="A1041" s="4" t="s">
        <v>2206</v>
      </c>
      <c r="B1041" s="4" t="s">
        <v>292</v>
      </c>
      <c r="C1041" s="4" t="s">
        <v>214</v>
      </c>
      <c r="D1041" s="4" t="s">
        <v>215</v>
      </c>
      <c r="E1041" s="4" t="s">
        <v>171</v>
      </c>
      <c r="F1041" s="4" t="s">
        <v>2248</v>
      </c>
      <c r="G1041" s="4" t="s">
        <v>277</v>
      </c>
    </row>
    <row r="1042" customFormat="false" ht="23.85" hidden="false" customHeight="false" outlineLevel="0" collapsed="false">
      <c r="A1042" s="4" t="s">
        <v>2206</v>
      </c>
      <c r="B1042" s="4" t="s">
        <v>292</v>
      </c>
      <c r="C1042" s="4" t="s">
        <v>216</v>
      </c>
      <c r="D1042" s="4" t="s">
        <v>217</v>
      </c>
      <c r="E1042" s="4" t="s">
        <v>19</v>
      </c>
      <c r="F1042" s="4" t="s">
        <v>2249</v>
      </c>
      <c r="G1042" s="4" t="s">
        <v>920</v>
      </c>
    </row>
    <row r="1043" customFormat="false" ht="23.85" hidden="false" customHeight="false" outlineLevel="0" collapsed="false">
      <c r="A1043" s="4" t="s">
        <v>2206</v>
      </c>
      <c r="B1043" s="4" t="s">
        <v>292</v>
      </c>
      <c r="C1043" s="4" t="s">
        <v>218</v>
      </c>
      <c r="D1043" s="4" t="s">
        <v>219</v>
      </c>
      <c r="E1043" s="4" t="s">
        <v>171</v>
      </c>
      <c r="F1043" s="4" t="s">
        <v>2250</v>
      </c>
      <c r="G1043" s="4" t="s">
        <v>277</v>
      </c>
    </row>
    <row r="1044" customFormat="false" ht="23.85" hidden="false" customHeight="false" outlineLevel="0" collapsed="false">
      <c r="A1044" s="4" t="s">
        <v>2206</v>
      </c>
      <c r="B1044" s="4" t="s">
        <v>292</v>
      </c>
      <c r="C1044" s="4" t="s">
        <v>220</v>
      </c>
      <c r="D1044" s="4" t="s">
        <v>221</v>
      </c>
      <c r="E1044" s="4" t="s">
        <v>20</v>
      </c>
      <c r="F1044" s="4" t="s">
        <v>2251</v>
      </c>
      <c r="G1044" s="4" t="s">
        <v>2252</v>
      </c>
    </row>
    <row r="1045" customFormat="false" ht="23.85" hidden="false" customHeight="false" outlineLevel="0" collapsed="false">
      <c r="A1045" s="4" t="s">
        <v>2206</v>
      </c>
      <c r="B1045" s="4" t="s">
        <v>292</v>
      </c>
      <c r="C1045" s="4" t="s">
        <v>222</v>
      </c>
      <c r="D1045" s="4" t="s">
        <v>223</v>
      </c>
      <c r="E1045" s="4" t="s">
        <v>20</v>
      </c>
      <c r="F1045" s="4" t="s">
        <v>2253</v>
      </c>
      <c r="G1045" s="4" t="s">
        <v>2254</v>
      </c>
    </row>
    <row r="1046" customFormat="false" ht="23.85" hidden="false" customHeight="false" outlineLevel="0" collapsed="false">
      <c r="A1046" s="4" t="s">
        <v>2206</v>
      </c>
      <c r="B1046" s="4" t="s">
        <v>292</v>
      </c>
      <c r="C1046" s="4" t="s">
        <v>224</v>
      </c>
      <c r="D1046" s="4" t="s">
        <v>225</v>
      </c>
      <c r="E1046" s="4" t="s">
        <v>19</v>
      </c>
      <c r="F1046" s="4" t="s">
        <v>2255</v>
      </c>
      <c r="G1046" s="4" t="s">
        <v>2256</v>
      </c>
    </row>
    <row r="1047" customFormat="false" ht="23.85" hidden="false" customHeight="false" outlineLevel="0" collapsed="false">
      <c r="A1047" s="4" t="s">
        <v>2206</v>
      </c>
      <c r="B1047" s="4" t="s">
        <v>292</v>
      </c>
      <c r="C1047" s="4" t="s">
        <v>226</v>
      </c>
      <c r="D1047" s="4" t="s">
        <v>227</v>
      </c>
      <c r="E1047" s="4" t="s">
        <v>19</v>
      </c>
      <c r="F1047" s="4" t="s">
        <v>2257</v>
      </c>
      <c r="G1047" s="4" t="s">
        <v>2258</v>
      </c>
    </row>
    <row r="1048" customFormat="false" ht="23.85" hidden="false" customHeight="false" outlineLevel="0" collapsed="false">
      <c r="A1048" s="4" t="s">
        <v>2206</v>
      </c>
      <c r="B1048" s="4" t="s">
        <v>292</v>
      </c>
      <c r="C1048" s="4" t="s">
        <v>228</v>
      </c>
      <c r="D1048" s="4" t="s">
        <v>229</v>
      </c>
      <c r="E1048" s="4" t="s">
        <v>171</v>
      </c>
      <c r="F1048" s="4" t="s">
        <v>2259</v>
      </c>
      <c r="G1048" s="4" t="s">
        <v>277</v>
      </c>
    </row>
    <row r="1049" customFormat="false" ht="23.85" hidden="false" customHeight="false" outlineLevel="0" collapsed="false">
      <c r="A1049" s="4" t="s">
        <v>2206</v>
      </c>
      <c r="B1049" s="4" t="s">
        <v>313</v>
      </c>
      <c r="C1049" s="4" t="s">
        <v>230</v>
      </c>
      <c r="D1049" s="4" t="s">
        <v>2260</v>
      </c>
      <c r="E1049" s="4" t="s">
        <v>19</v>
      </c>
      <c r="F1049" s="4" t="s">
        <v>2261</v>
      </c>
      <c r="G1049" s="4" t="s">
        <v>2262</v>
      </c>
    </row>
    <row r="1050" customFormat="false" ht="35.05" hidden="false" customHeight="false" outlineLevel="0" collapsed="false">
      <c r="A1050" s="4" t="s">
        <v>2206</v>
      </c>
      <c r="B1050" s="4" t="s">
        <v>313</v>
      </c>
      <c r="C1050" s="4" t="s">
        <v>232</v>
      </c>
      <c r="D1050" s="4" t="s">
        <v>2263</v>
      </c>
      <c r="E1050" s="4" t="s">
        <v>171</v>
      </c>
      <c r="F1050" s="4" t="s">
        <v>2264</v>
      </c>
      <c r="G1050" s="4" t="s">
        <v>2265</v>
      </c>
    </row>
    <row r="1051" customFormat="false" ht="23.85" hidden="false" customHeight="false" outlineLevel="0" collapsed="false">
      <c r="A1051" s="4" t="s">
        <v>2206</v>
      </c>
      <c r="B1051" s="4" t="s">
        <v>313</v>
      </c>
      <c r="C1051" s="4" t="s">
        <v>234</v>
      </c>
      <c r="D1051" s="4" t="s">
        <v>2266</v>
      </c>
      <c r="E1051" s="4" t="s">
        <v>171</v>
      </c>
      <c r="F1051" s="4" t="s">
        <v>2267</v>
      </c>
      <c r="G1051" s="4" t="s">
        <v>2268</v>
      </c>
    </row>
    <row r="1052" customFormat="false" ht="46.25" hidden="false" customHeight="false" outlineLevel="0" collapsed="false">
      <c r="A1052" s="4" t="s">
        <v>2206</v>
      </c>
      <c r="B1052" s="4" t="s">
        <v>313</v>
      </c>
      <c r="C1052" s="4" t="s">
        <v>236</v>
      </c>
      <c r="D1052" s="4" t="s">
        <v>2269</v>
      </c>
      <c r="E1052" s="4" t="s">
        <v>19</v>
      </c>
      <c r="F1052" s="4" t="s">
        <v>2270</v>
      </c>
      <c r="G1052" s="4" t="s">
        <v>2271</v>
      </c>
    </row>
    <row r="1053" customFormat="false" ht="35.05" hidden="false" customHeight="false" outlineLevel="0" collapsed="false">
      <c r="A1053" s="4" t="s">
        <v>2206</v>
      </c>
      <c r="B1053" s="4" t="s">
        <v>313</v>
      </c>
      <c r="C1053" s="4" t="s">
        <v>238</v>
      </c>
      <c r="D1053" s="4" t="s">
        <v>2272</v>
      </c>
      <c r="E1053" s="4" t="s">
        <v>19</v>
      </c>
      <c r="F1053" s="4" t="s">
        <v>2273</v>
      </c>
      <c r="G1053" s="4" t="s">
        <v>2274</v>
      </c>
    </row>
    <row r="1054" customFormat="false" ht="23.85" hidden="false" customHeight="false" outlineLevel="0" collapsed="false">
      <c r="A1054" s="4" t="s">
        <v>2206</v>
      </c>
      <c r="B1054" s="4" t="s">
        <v>329</v>
      </c>
      <c r="C1054" s="4"/>
      <c r="D1054" s="4" t="s">
        <v>842</v>
      </c>
      <c r="E1054" s="4" t="s">
        <v>171</v>
      </c>
      <c r="F1054" s="4" t="s">
        <v>2275</v>
      </c>
      <c r="G1054" s="4"/>
    </row>
    <row r="1055" customFormat="false" ht="23.85" hidden="false" customHeight="false" outlineLevel="0" collapsed="false">
      <c r="A1055" s="4" t="s">
        <v>2206</v>
      </c>
      <c r="B1055" s="4" t="s">
        <v>329</v>
      </c>
      <c r="C1055" s="4"/>
      <c r="D1055" s="4" t="s">
        <v>2276</v>
      </c>
      <c r="E1055" s="4" t="s">
        <v>333</v>
      </c>
      <c r="F1055" s="4" t="s">
        <v>2277</v>
      </c>
      <c r="G1055" s="4"/>
    </row>
    <row r="1056" customFormat="false" ht="46.25" hidden="false" customHeight="false" outlineLevel="0" collapsed="false">
      <c r="A1056" s="4" t="s">
        <v>2206</v>
      </c>
      <c r="B1056" s="4" t="s">
        <v>329</v>
      </c>
      <c r="C1056" s="4"/>
      <c r="D1056" s="4" t="s">
        <v>2278</v>
      </c>
      <c r="E1056" s="4" t="s">
        <v>444</v>
      </c>
      <c r="F1056" s="4" t="s">
        <v>2279</v>
      </c>
      <c r="G1056" s="4"/>
    </row>
    <row r="1057" customFormat="false" ht="23.85" hidden="false" customHeight="false" outlineLevel="0" collapsed="false">
      <c r="A1057" s="4" t="s">
        <v>2206</v>
      </c>
      <c r="B1057" s="4" t="s">
        <v>329</v>
      </c>
      <c r="C1057" s="4"/>
      <c r="D1057" s="4" t="s">
        <v>2280</v>
      </c>
      <c r="E1057" s="4" t="s">
        <v>171</v>
      </c>
      <c r="F1057" s="4" t="s">
        <v>2281</v>
      </c>
      <c r="G1057" s="4"/>
    </row>
    <row r="1058" customFormat="false" ht="35.05" hidden="false" customHeight="false" outlineLevel="0" collapsed="false">
      <c r="A1058" s="4" t="s">
        <v>2206</v>
      </c>
      <c r="B1058" s="4" t="s">
        <v>329</v>
      </c>
      <c r="C1058" s="4"/>
      <c r="D1058" s="4" t="s">
        <v>2282</v>
      </c>
      <c r="E1058" s="4" t="s">
        <v>333</v>
      </c>
      <c r="F1058" s="4" t="s">
        <v>2283</v>
      </c>
      <c r="G1058" s="4"/>
    </row>
    <row r="1059" customFormat="false" ht="23.85" hidden="false" customHeight="false" outlineLevel="0" collapsed="false">
      <c r="A1059" s="4" t="s">
        <v>2206</v>
      </c>
      <c r="B1059" s="4" t="s">
        <v>329</v>
      </c>
      <c r="C1059" s="4"/>
      <c r="D1059" s="4" t="s">
        <v>2284</v>
      </c>
      <c r="E1059" s="4" t="s">
        <v>171</v>
      </c>
      <c r="F1059" s="4" t="s">
        <v>2285</v>
      </c>
      <c r="G1059" s="4"/>
    </row>
    <row r="1060" customFormat="false" ht="35.05" hidden="false" customHeight="false" outlineLevel="0" collapsed="false">
      <c r="A1060" s="4" t="s">
        <v>2206</v>
      </c>
      <c r="B1060" s="4" t="s">
        <v>329</v>
      </c>
      <c r="C1060" s="4"/>
      <c r="D1060" s="4" t="s">
        <v>866</v>
      </c>
      <c r="E1060" s="4" t="s">
        <v>333</v>
      </c>
      <c r="F1060" s="4" t="s">
        <v>2286</v>
      </c>
      <c r="G1060" s="4"/>
    </row>
    <row r="1061" customFormat="false" ht="23.85" hidden="false" customHeight="false" outlineLevel="0" collapsed="false">
      <c r="A1061" s="4" t="s">
        <v>2206</v>
      </c>
      <c r="B1061" s="4" t="s">
        <v>329</v>
      </c>
      <c r="C1061" s="4"/>
      <c r="D1061" s="4" t="s">
        <v>1657</v>
      </c>
      <c r="E1061" s="4" t="s">
        <v>171</v>
      </c>
      <c r="F1061" s="4" t="s">
        <v>2287</v>
      </c>
      <c r="G1061" s="4"/>
    </row>
    <row r="1062" customFormat="false" ht="23.85" hidden="false" customHeight="false" outlineLevel="0" collapsed="false">
      <c r="A1062" s="4" t="s">
        <v>2206</v>
      </c>
      <c r="B1062" s="4" t="s">
        <v>329</v>
      </c>
      <c r="C1062" s="4"/>
      <c r="D1062" s="4" t="s">
        <v>547</v>
      </c>
      <c r="E1062" s="4" t="s">
        <v>171</v>
      </c>
      <c r="F1062" s="4" t="s">
        <v>2288</v>
      </c>
      <c r="G1062" s="4"/>
    </row>
    <row r="1063" customFormat="false" ht="23.85" hidden="false" customHeight="false" outlineLevel="0" collapsed="false">
      <c r="A1063" s="4" t="s">
        <v>2206</v>
      </c>
      <c r="B1063" s="4" t="s">
        <v>329</v>
      </c>
      <c r="C1063" s="4"/>
      <c r="D1063" s="4" t="s">
        <v>751</v>
      </c>
      <c r="E1063" s="4" t="s">
        <v>171</v>
      </c>
      <c r="F1063" s="4" t="s">
        <v>2289</v>
      </c>
      <c r="G1063" s="4"/>
    </row>
    <row r="1064" customFormat="false" ht="23.85" hidden="false" customHeight="false" outlineLevel="0" collapsed="false">
      <c r="A1064" s="4" t="s">
        <v>2206</v>
      </c>
      <c r="B1064" s="4" t="s">
        <v>329</v>
      </c>
      <c r="C1064" s="4"/>
      <c r="D1064" s="4" t="s">
        <v>862</v>
      </c>
      <c r="E1064" s="4" t="s">
        <v>171</v>
      </c>
      <c r="F1064" s="4" t="s">
        <v>2290</v>
      </c>
      <c r="G1064" s="4"/>
    </row>
    <row r="1065" customFormat="false" ht="23.85" hidden="false" customHeight="false" outlineLevel="0" collapsed="false">
      <c r="A1065" s="4" t="s">
        <v>2206</v>
      </c>
      <c r="B1065" s="4" t="s">
        <v>329</v>
      </c>
      <c r="C1065" s="4"/>
      <c r="D1065" s="4" t="s">
        <v>1764</v>
      </c>
      <c r="E1065" s="4" t="s">
        <v>171</v>
      </c>
      <c r="F1065" s="4" t="s">
        <v>2291</v>
      </c>
      <c r="G1065" s="4"/>
    </row>
    <row r="1066" customFormat="false" ht="23.85" hidden="false" customHeight="false" outlineLevel="0" collapsed="false">
      <c r="A1066" s="4" t="s">
        <v>2206</v>
      </c>
      <c r="B1066" s="4" t="s">
        <v>329</v>
      </c>
      <c r="C1066" s="4"/>
      <c r="D1066" s="4" t="s">
        <v>2292</v>
      </c>
      <c r="E1066" s="4" t="s">
        <v>333</v>
      </c>
      <c r="F1066" s="4" t="s">
        <v>2293</v>
      </c>
      <c r="G1066" s="4"/>
    </row>
  </sheetData>
  <autoFilter ref="A3:G1066"/>
  <conditionalFormatting sqref="E4:E1067">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28"/>
    <col collapsed="false" customWidth="true" hidden="false" outlineLevel="0" max="4" min="4" style="0" width="9"/>
    <col collapsed="false" customWidth="true" hidden="false" outlineLevel="0" max="7" min="5" style="0" width="70"/>
    <col collapsed="false" customWidth="true" hidden="false" outlineLevel="0" max="8" min="8" style="0" width="50"/>
  </cols>
  <sheetData>
    <row r="1" customFormat="false" ht="17.35" hidden="false" customHeight="false" outlineLevel="0" collapsed="false">
      <c r="A1" s="1" t="s">
        <v>2294</v>
      </c>
    </row>
    <row r="3" customFormat="false" ht="15" hidden="false" customHeight="false" outlineLevel="0" collapsed="false">
      <c r="A3" s="3" t="s">
        <v>3</v>
      </c>
      <c r="B3" s="3" t="s">
        <v>2295</v>
      </c>
      <c r="C3" s="3" t="s">
        <v>2296</v>
      </c>
      <c r="D3" s="3" t="s">
        <v>17</v>
      </c>
      <c r="E3" s="3" t="s">
        <v>2297</v>
      </c>
      <c r="F3" s="3" t="s">
        <v>23</v>
      </c>
      <c r="G3" s="3" t="s">
        <v>2298</v>
      </c>
      <c r="H3" s="3" t="s">
        <v>2299</v>
      </c>
    </row>
    <row r="4" customFormat="false" ht="300" hidden="false" customHeight="true" outlineLevel="0" collapsed="false">
      <c r="A4" s="4" t="s">
        <v>248</v>
      </c>
      <c r="B4" s="4" t="s">
        <v>2300</v>
      </c>
      <c r="C4" s="4" t="s">
        <v>2301</v>
      </c>
      <c r="D4" s="4" t="s">
        <v>30</v>
      </c>
      <c r="E4" s="4" t="s">
        <v>2302</v>
      </c>
      <c r="F4" s="4" t="s">
        <v>2303</v>
      </c>
      <c r="G4" s="4" t="s">
        <v>2304</v>
      </c>
      <c r="H4" s="4" t="s">
        <v>2305</v>
      </c>
    </row>
    <row r="5" customFormat="false" ht="300" hidden="false" customHeight="true" outlineLevel="0" collapsed="false">
      <c r="A5" s="4" t="s">
        <v>359</v>
      </c>
      <c r="B5" s="4" t="s">
        <v>2306</v>
      </c>
      <c r="C5" s="4" t="s">
        <v>2307</v>
      </c>
      <c r="D5" s="4" t="s">
        <v>30</v>
      </c>
      <c r="E5" s="4" t="s">
        <v>2308</v>
      </c>
      <c r="F5" s="4" t="s">
        <v>2309</v>
      </c>
      <c r="G5" s="4" t="s">
        <v>2310</v>
      </c>
      <c r="H5" s="4" t="s">
        <v>2311</v>
      </c>
    </row>
    <row r="6" customFormat="false" ht="300" hidden="false" customHeight="true" outlineLevel="0" collapsed="false">
      <c r="A6" s="4" t="s">
        <v>462</v>
      </c>
      <c r="B6" s="4" t="s">
        <v>2312</v>
      </c>
      <c r="C6" s="4" t="s">
        <v>2313</v>
      </c>
      <c r="D6" s="4" t="s">
        <v>30</v>
      </c>
      <c r="E6" s="4" t="s">
        <v>2314</v>
      </c>
      <c r="F6" s="4" t="s">
        <v>2315</v>
      </c>
      <c r="G6" s="4" t="s">
        <v>2316</v>
      </c>
      <c r="H6" s="4" t="s">
        <v>2317</v>
      </c>
    </row>
    <row r="7" customFormat="false" ht="300" hidden="false" customHeight="true" outlineLevel="0" collapsed="false">
      <c r="A7" s="4" t="s">
        <v>554</v>
      </c>
      <c r="B7" s="4" t="s">
        <v>2318</v>
      </c>
      <c r="C7" s="4" t="s">
        <v>2319</v>
      </c>
      <c r="D7" s="4" t="s">
        <v>30</v>
      </c>
      <c r="E7" s="4" t="s">
        <v>2320</v>
      </c>
      <c r="F7" s="4" t="s">
        <v>2321</v>
      </c>
      <c r="G7" s="4" t="s">
        <v>2322</v>
      </c>
      <c r="H7" s="4" t="s">
        <v>2323</v>
      </c>
    </row>
    <row r="8" customFormat="false" ht="300" hidden="false" customHeight="true" outlineLevel="0" collapsed="false">
      <c r="A8" s="4" t="s">
        <v>645</v>
      </c>
      <c r="B8" s="4" t="s">
        <v>2324</v>
      </c>
      <c r="C8" s="4" t="s">
        <v>2307</v>
      </c>
      <c r="D8" s="4" t="s">
        <v>30</v>
      </c>
      <c r="E8" s="4" t="s">
        <v>2325</v>
      </c>
      <c r="F8" s="4" t="s">
        <v>2326</v>
      </c>
      <c r="G8" s="4" t="s">
        <v>2327</v>
      </c>
      <c r="H8" s="4" t="s">
        <v>2328</v>
      </c>
    </row>
    <row r="9" customFormat="false" ht="300" hidden="false" customHeight="true" outlineLevel="0" collapsed="false">
      <c r="A9" s="4" t="s">
        <v>766</v>
      </c>
      <c r="B9" s="4" t="s">
        <v>2329</v>
      </c>
      <c r="C9" s="4" t="s">
        <v>2330</v>
      </c>
      <c r="D9" s="4" t="s">
        <v>30</v>
      </c>
      <c r="E9" s="4" t="s">
        <v>2331</v>
      </c>
      <c r="F9" s="4" t="s">
        <v>2332</v>
      </c>
      <c r="G9" s="4" t="s">
        <v>2333</v>
      </c>
      <c r="H9" s="4" t="s">
        <v>2334</v>
      </c>
    </row>
    <row r="10" customFormat="false" ht="300" hidden="false" customHeight="true" outlineLevel="0" collapsed="false">
      <c r="A10" s="4" t="s">
        <v>874</v>
      </c>
      <c r="B10" s="4" t="s">
        <v>2335</v>
      </c>
      <c r="C10" s="4" t="s">
        <v>2336</v>
      </c>
      <c r="D10" s="4" t="s">
        <v>30</v>
      </c>
      <c r="E10" s="4" t="s">
        <v>2337</v>
      </c>
      <c r="F10" s="4" t="s">
        <v>2338</v>
      </c>
      <c r="G10" s="4" t="s">
        <v>2339</v>
      </c>
      <c r="H10" s="4" t="s">
        <v>2340</v>
      </c>
    </row>
    <row r="11" customFormat="false" ht="300" hidden="false" customHeight="true" outlineLevel="0" collapsed="false">
      <c r="A11" s="4" t="s">
        <v>972</v>
      </c>
      <c r="B11" s="4" t="s">
        <v>2341</v>
      </c>
      <c r="C11" s="4" t="s">
        <v>2307</v>
      </c>
      <c r="D11" s="4" t="s">
        <v>68</v>
      </c>
      <c r="E11" s="4" t="s">
        <v>2342</v>
      </c>
      <c r="F11" s="4" t="s">
        <v>2343</v>
      </c>
      <c r="G11" s="4" t="s">
        <v>2344</v>
      </c>
      <c r="H11" s="4" t="s">
        <v>2345</v>
      </c>
    </row>
    <row r="12" customFormat="false" ht="300" hidden="false" customHeight="true" outlineLevel="0" collapsed="false">
      <c r="A12" s="4" t="s">
        <v>1072</v>
      </c>
      <c r="B12" s="4" t="s">
        <v>2346</v>
      </c>
      <c r="C12" s="4" t="s">
        <v>2347</v>
      </c>
      <c r="D12" s="4" t="s">
        <v>30</v>
      </c>
      <c r="E12" s="4" t="s">
        <v>2348</v>
      </c>
      <c r="F12" s="4" t="s">
        <v>2349</v>
      </c>
      <c r="G12" s="4" t="s">
        <v>2350</v>
      </c>
      <c r="H12" s="4" t="s">
        <v>2351</v>
      </c>
    </row>
    <row r="13" customFormat="false" ht="300" hidden="false" customHeight="true" outlineLevel="0" collapsed="false">
      <c r="A13" s="4" t="s">
        <v>1172</v>
      </c>
      <c r="B13" s="4" t="s">
        <v>2352</v>
      </c>
      <c r="C13" s="4" t="s">
        <v>2319</v>
      </c>
      <c r="D13" s="4" t="s">
        <v>30</v>
      </c>
      <c r="E13" s="4" t="s">
        <v>2353</v>
      </c>
      <c r="F13" s="4" t="s">
        <v>2354</v>
      </c>
      <c r="G13" s="4" t="s">
        <v>2355</v>
      </c>
      <c r="H13" s="4" t="s">
        <v>2356</v>
      </c>
    </row>
    <row r="14" customFormat="false" ht="300" hidden="false" customHeight="true" outlineLevel="0" collapsed="false">
      <c r="A14" s="4" t="s">
        <v>1273</v>
      </c>
      <c r="B14" s="4" t="s">
        <v>2357</v>
      </c>
      <c r="C14" s="4" t="s">
        <v>2358</v>
      </c>
      <c r="D14" s="4" t="s">
        <v>30</v>
      </c>
      <c r="E14" s="4" t="s">
        <v>2359</v>
      </c>
      <c r="F14" s="4" t="s">
        <v>2360</v>
      </c>
      <c r="G14" s="4" t="s">
        <v>2361</v>
      </c>
      <c r="H14" s="4" t="s">
        <v>2362</v>
      </c>
    </row>
    <row r="15" customFormat="false" ht="300" hidden="false" customHeight="true" outlineLevel="0" collapsed="false">
      <c r="A15" s="4" t="s">
        <v>1365</v>
      </c>
      <c r="B15" s="4" t="s">
        <v>2363</v>
      </c>
      <c r="C15" s="4" t="s">
        <v>2364</v>
      </c>
      <c r="D15" s="4" t="s">
        <v>30</v>
      </c>
      <c r="E15" s="4" t="s">
        <v>2365</v>
      </c>
      <c r="F15" s="4" t="s">
        <v>2366</v>
      </c>
      <c r="G15" s="4" t="s">
        <v>2367</v>
      </c>
      <c r="H15" s="4" t="s">
        <v>2368</v>
      </c>
    </row>
    <row r="16" customFormat="false" ht="300" hidden="false" customHeight="true" outlineLevel="0" collapsed="false">
      <c r="A16" s="4" t="s">
        <v>1463</v>
      </c>
      <c r="B16" s="4" t="s">
        <v>2369</v>
      </c>
      <c r="C16" s="4" t="s">
        <v>2313</v>
      </c>
      <c r="D16" s="4" t="s">
        <v>30</v>
      </c>
      <c r="E16" s="4" t="s">
        <v>2370</v>
      </c>
      <c r="F16" s="4" t="s">
        <v>2371</v>
      </c>
      <c r="G16" s="4" t="s">
        <v>2372</v>
      </c>
      <c r="H16" s="4" t="s">
        <v>2373</v>
      </c>
    </row>
    <row r="17" customFormat="false" ht="300" hidden="false" customHeight="true" outlineLevel="0" collapsed="false">
      <c r="A17" s="4" t="s">
        <v>1574</v>
      </c>
      <c r="B17" s="4" t="s">
        <v>2374</v>
      </c>
      <c r="C17" s="4" t="s">
        <v>2375</v>
      </c>
      <c r="D17" s="4" t="s">
        <v>30</v>
      </c>
      <c r="E17" s="4" t="s">
        <v>2376</v>
      </c>
      <c r="F17" s="4" t="s">
        <v>2377</v>
      </c>
      <c r="G17" s="4" t="s">
        <v>2378</v>
      </c>
      <c r="H17" s="4" t="s">
        <v>2379</v>
      </c>
    </row>
    <row r="18" customFormat="false" ht="300" hidden="false" customHeight="true" outlineLevel="0" collapsed="false">
      <c r="A18" s="4" t="s">
        <v>1672</v>
      </c>
      <c r="B18" s="4" t="s">
        <v>2380</v>
      </c>
      <c r="C18" s="4" t="s">
        <v>2381</v>
      </c>
      <c r="D18" s="4" t="s">
        <v>30</v>
      </c>
      <c r="E18" s="4" t="s">
        <v>2382</v>
      </c>
      <c r="F18" s="4" t="s">
        <v>2383</v>
      </c>
      <c r="G18" s="4" t="s">
        <v>2384</v>
      </c>
      <c r="H18" s="4" t="s">
        <v>2385</v>
      </c>
    </row>
    <row r="19" customFormat="false" ht="300" hidden="false" customHeight="true" outlineLevel="0" collapsed="false">
      <c r="A19" s="4" t="s">
        <v>1775</v>
      </c>
      <c r="B19" s="4" t="s">
        <v>2386</v>
      </c>
      <c r="C19" s="4" t="s">
        <v>2387</v>
      </c>
      <c r="D19" s="4" t="s">
        <v>68</v>
      </c>
      <c r="E19" s="4" t="s">
        <v>2388</v>
      </c>
      <c r="F19" s="4" t="s">
        <v>2389</v>
      </c>
      <c r="G19" s="4" t="s">
        <v>2390</v>
      </c>
      <c r="H19" s="4" t="s">
        <v>2391</v>
      </c>
    </row>
    <row r="20" customFormat="false" ht="300" hidden="false" customHeight="true" outlineLevel="0" collapsed="false">
      <c r="A20" s="4" t="s">
        <v>1872</v>
      </c>
      <c r="B20" s="4" t="s">
        <v>2392</v>
      </c>
      <c r="C20" s="4" t="s">
        <v>2393</v>
      </c>
      <c r="D20" s="4" t="s">
        <v>30</v>
      </c>
      <c r="E20" s="4" t="s">
        <v>2394</v>
      </c>
      <c r="F20" s="4" t="s">
        <v>2395</v>
      </c>
      <c r="G20" s="4" t="s">
        <v>2396</v>
      </c>
      <c r="H20" s="4" t="s">
        <v>2397</v>
      </c>
    </row>
    <row r="21" customFormat="false" ht="300" hidden="false" customHeight="true" outlineLevel="0" collapsed="false">
      <c r="A21" s="4" t="s">
        <v>1955</v>
      </c>
      <c r="B21" s="4" t="s">
        <v>2398</v>
      </c>
      <c r="C21" s="4" t="s">
        <v>2393</v>
      </c>
      <c r="D21" s="4" t="s">
        <v>30</v>
      </c>
      <c r="E21" s="4" t="s">
        <v>2399</v>
      </c>
      <c r="F21" s="4" t="s">
        <v>2400</v>
      </c>
      <c r="G21" s="4" t="s">
        <v>2401</v>
      </c>
      <c r="H21" s="4" t="s">
        <v>2402</v>
      </c>
    </row>
    <row r="22" customFormat="false" ht="300" hidden="false" customHeight="true" outlineLevel="0" collapsed="false">
      <c r="A22" s="4" t="s">
        <v>2032</v>
      </c>
      <c r="B22" s="4" t="s">
        <v>2403</v>
      </c>
      <c r="C22" s="4" t="s">
        <v>2404</v>
      </c>
      <c r="D22" s="4" t="s">
        <v>68</v>
      </c>
      <c r="E22" s="4" t="s">
        <v>2405</v>
      </c>
      <c r="F22" s="4" t="s">
        <v>2406</v>
      </c>
      <c r="G22" s="4" t="s">
        <v>2407</v>
      </c>
      <c r="H22" s="4" t="s">
        <v>2408</v>
      </c>
    </row>
    <row r="23" customFormat="false" ht="300" hidden="false" customHeight="true" outlineLevel="0" collapsed="false">
      <c r="A23" s="4" t="s">
        <v>2123</v>
      </c>
      <c r="B23" s="4" t="s">
        <v>2409</v>
      </c>
      <c r="C23" s="4" t="s">
        <v>2404</v>
      </c>
      <c r="D23" s="4" t="s">
        <v>30</v>
      </c>
      <c r="E23" s="4" t="s">
        <v>2410</v>
      </c>
      <c r="F23" s="4" t="s">
        <v>2411</v>
      </c>
      <c r="G23" s="4" t="s">
        <v>2412</v>
      </c>
      <c r="H23" s="4" t="s">
        <v>2413</v>
      </c>
    </row>
    <row r="24" customFormat="false" ht="300" hidden="false" customHeight="true" outlineLevel="0" collapsed="false">
      <c r="A24" s="4" t="s">
        <v>2206</v>
      </c>
      <c r="B24" s="4" t="s">
        <v>2414</v>
      </c>
      <c r="C24" s="4" t="s">
        <v>2415</v>
      </c>
      <c r="D24" s="4" t="s">
        <v>30</v>
      </c>
      <c r="E24" s="4" t="s">
        <v>2416</v>
      </c>
      <c r="F24" s="4" t="s">
        <v>2417</v>
      </c>
      <c r="G24" s="4" t="s">
        <v>2418</v>
      </c>
      <c r="H24" s="4" t="s">
        <v>2419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110"/>
    <col collapsed="false" customWidth="true" hidden="false" outlineLevel="0" max="4" min="4" style="0" width="14"/>
  </cols>
  <sheetData>
    <row r="1" customFormat="false" ht="17.35" hidden="false" customHeight="false" outlineLevel="0" collapsed="false">
      <c r="A1" s="1" t="s">
        <v>2420</v>
      </c>
    </row>
    <row r="2" customFormat="false" ht="15" hidden="false" customHeight="false" outlineLevel="0" collapsed="false">
      <c r="A2" s="14" t="s">
        <v>2421</v>
      </c>
    </row>
    <row r="4" customFormat="false" ht="23.85" hidden="false" customHeight="false" outlineLevel="0" collapsed="false">
      <c r="A4" s="3" t="s">
        <v>2422</v>
      </c>
      <c r="B4" s="3" t="s">
        <v>164</v>
      </c>
      <c r="C4" s="3" t="s">
        <v>2423</v>
      </c>
      <c r="D4" s="3" t="s">
        <v>2424</v>
      </c>
    </row>
    <row r="5" customFormat="false" ht="15" hidden="false" customHeight="false" outlineLevel="0" collapsed="false">
      <c r="A5" s="4" t="s">
        <v>1173</v>
      </c>
      <c r="B5" s="4" t="s">
        <v>2425</v>
      </c>
      <c r="C5" s="4" t="s">
        <v>2426</v>
      </c>
      <c r="D5" s="4" t="s">
        <v>165</v>
      </c>
    </row>
    <row r="6" customFormat="false" ht="23.85" hidden="false" customHeight="false" outlineLevel="0" collapsed="false">
      <c r="A6" s="4" t="s">
        <v>1173</v>
      </c>
      <c r="B6" s="4" t="s">
        <v>2427</v>
      </c>
      <c r="C6" s="4" t="s">
        <v>2428</v>
      </c>
      <c r="D6" s="4" t="s">
        <v>165</v>
      </c>
    </row>
    <row r="7" customFormat="false" ht="15" hidden="false" customHeight="false" outlineLevel="0" collapsed="false">
      <c r="A7" s="4" t="s">
        <v>1173</v>
      </c>
      <c r="B7" s="4" t="s">
        <v>2429</v>
      </c>
      <c r="C7" s="4" t="s">
        <v>2430</v>
      </c>
      <c r="D7" s="4" t="s">
        <v>167</v>
      </c>
    </row>
    <row r="8" customFormat="false" ht="15" hidden="false" customHeight="false" outlineLevel="0" collapsed="false">
      <c r="A8" s="4" t="s">
        <v>1173</v>
      </c>
      <c r="B8" s="4" t="s">
        <v>2431</v>
      </c>
      <c r="C8" s="4" t="s">
        <v>2432</v>
      </c>
      <c r="D8" s="4" t="s">
        <v>277</v>
      </c>
    </row>
    <row r="9" customFormat="false" ht="15" hidden="false" customHeight="false" outlineLevel="0" collapsed="false">
      <c r="A9" s="4" t="s">
        <v>1173</v>
      </c>
      <c r="B9" s="4" t="s">
        <v>2433</v>
      </c>
      <c r="C9" s="4" t="s">
        <v>2434</v>
      </c>
      <c r="D9" s="4" t="s">
        <v>277</v>
      </c>
    </row>
    <row r="10" customFormat="false" ht="23.85" hidden="false" customHeight="false" outlineLevel="0" collapsed="false">
      <c r="A10" s="4" t="s">
        <v>1173</v>
      </c>
      <c r="B10" s="4" t="s">
        <v>2435</v>
      </c>
      <c r="C10" s="4" t="s">
        <v>2436</v>
      </c>
      <c r="D10" s="4" t="s">
        <v>167</v>
      </c>
    </row>
    <row r="11" customFormat="false" ht="15" hidden="false" customHeight="false" outlineLevel="0" collapsed="false">
      <c r="A11" s="4" t="s">
        <v>1173</v>
      </c>
      <c r="B11" s="4" t="s">
        <v>170</v>
      </c>
      <c r="C11" s="4" t="s">
        <v>2437</v>
      </c>
      <c r="D11" s="4" t="s">
        <v>169</v>
      </c>
    </row>
    <row r="12" customFormat="false" ht="23.85" hidden="false" customHeight="false" outlineLevel="0" collapsed="false">
      <c r="A12" s="4" t="s">
        <v>1173</v>
      </c>
      <c r="B12" s="4" t="s">
        <v>2438</v>
      </c>
      <c r="C12" s="4" t="s">
        <v>2439</v>
      </c>
      <c r="D12" s="4" t="s">
        <v>172</v>
      </c>
    </row>
    <row r="13" customFormat="false" ht="15" hidden="false" customHeight="false" outlineLevel="0" collapsed="false">
      <c r="A13" s="4" t="s">
        <v>1173</v>
      </c>
      <c r="B13" s="4" t="s">
        <v>2440</v>
      </c>
      <c r="C13" s="4" t="s">
        <v>2441</v>
      </c>
      <c r="D13" s="4" t="s">
        <v>174</v>
      </c>
    </row>
    <row r="14" customFormat="false" ht="23.85" hidden="false" customHeight="false" outlineLevel="0" collapsed="false">
      <c r="A14" s="4" t="s">
        <v>2442</v>
      </c>
      <c r="B14" s="4" t="s">
        <v>2443</v>
      </c>
      <c r="C14" s="4" t="s">
        <v>2444</v>
      </c>
      <c r="D14" s="4" t="s">
        <v>176</v>
      </c>
    </row>
    <row r="15" customFormat="false" ht="15" hidden="false" customHeight="false" outlineLevel="0" collapsed="false">
      <c r="A15" s="4" t="s">
        <v>2442</v>
      </c>
      <c r="B15" s="4" t="s">
        <v>2445</v>
      </c>
      <c r="C15" s="4" t="s">
        <v>2446</v>
      </c>
      <c r="D15" s="4" t="s">
        <v>2447</v>
      </c>
    </row>
    <row r="16" customFormat="false" ht="15" hidden="false" customHeight="false" outlineLevel="0" collapsed="false">
      <c r="A16" s="4" t="s">
        <v>2448</v>
      </c>
      <c r="B16" s="4" t="s">
        <v>2449</v>
      </c>
      <c r="C16" s="4" t="s">
        <v>2450</v>
      </c>
      <c r="D16" s="4" t="s">
        <v>182</v>
      </c>
    </row>
    <row r="17" customFormat="false" ht="15" hidden="false" customHeight="false" outlineLevel="0" collapsed="false">
      <c r="A17" s="4" t="s">
        <v>2448</v>
      </c>
      <c r="B17" s="4" t="s">
        <v>2451</v>
      </c>
      <c r="C17" s="4" t="s">
        <v>2452</v>
      </c>
      <c r="D17" s="4" t="s">
        <v>184</v>
      </c>
    </row>
    <row r="18" customFormat="false" ht="15" hidden="false" customHeight="false" outlineLevel="0" collapsed="false">
      <c r="A18" s="4" t="s">
        <v>2448</v>
      </c>
      <c r="B18" s="4" t="s">
        <v>2453</v>
      </c>
      <c r="C18" s="4" t="s">
        <v>2454</v>
      </c>
      <c r="D18" s="4" t="s">
        <v>186</v>
      </c>
    </row>
    <row r="19" customFormat="false" ht="23.85" hidden="false" customHeight="false" outlineLevel="0" collapsed="false">
      <c r="A19" s="4" t="s">
        <v>2448</v>
      </c>
      <c r="B19" s="4" t="s">
        <v>2455</v>
      </c>
      <c r="C19" s="4" t="s">
        <v>2456</v>
      </c>
      <c r="D19" s="4" t="s">
        <v>190</v>
      </c>
    </row>
    <row r="20" customFormat="false" ht="15" hidden="false" customHeight="false" outlineLevel="0" collapsed="false">
      <c r="A20" s="4" t="s">
        <v>2448</v>
      </c>
      <c r="B20" s="4" t="s">
        <v>2457</v>
      </c>
      <c r="C20" s="4" t="s">
        <v>2458</v>
      </c>
      <c r="D20" s="4" t="s">
        <v>2459</v>
      </c>
    </row>
    <row r="21" customFormat="false" ht="15" hidden="false" customHeight="false" outlineLevel="0" collapsed="false">
      <c r="A21" s="4" t="s">
        <v>2460</v>
      </c>
      <c r="B21" s="4" t="s">
        <v>2461</v>
      </c>
      <c r="C21" s="4" t="s">
        <v>2462</v>
      </c>
      <c r="D21" s="4" t="s">
        <v>277</v>
      </c>
    </row>
    <row r="22" customFormat="false" ht="15" hidden="false" customHeight="false" outlineLevel="0" collapsed="false">
      <c r="A22" s="4" t="s">
        <v>195</v>
      </c>
      <c r="B22" s="4" t="s">
        <v>2463</v>
      </c>
      <c r="C22" s="4" t="s">
        <v>2464</v>
      </c>
      <c r="D22" s="4" t="s">
        <v>194</v>
      </c>
    </row>
    <row r="23" customFormat="false" ht="23.85" hidden="false" customHeight="false" outlineLevel="0" collapsed="false">
      <c r="A23" s="4" t="s">
        <v>197</v>
      </c>
      <c r="B23" s="4" t="s">
        <v>2465</v>
      </c>
      <c r="C23" s="4" t="s">
        <v>2466</v>
      </c>
      <c r="D23" s="4" t="s">
        <v>196</v>
      </c>
    </row>
    <row r="24" customFormat="false" ht="23.85" hidden="false" customHeight="false" outlineLevel="0" collapsed="false">
      <c r="A24" s="4" t="s">
        <v>2467</v>
      </c>
      <c r="B24" s="4" t="s">
        <v>2468</v>
      </c>
      <c r="C24" s="4" t="s">
        <v>2469</v>
      </c>
      <c r="D24" s="4" t="s">
        <v>2470</v>
      </c>
    </row>
    <row r="25" customFormat="false" ht="15" hidden="false" customHeight="false" outlineLevel="0" collapsed="false">
      <c r="A25" s="4" t="s">
        <v>2471</v>
      </c>
      <c r="B25" s="4" t="s">
        <v>2472</v>
      </c>
      <c r="C25" s="4" t="s">
        <v>2473</v>
      </c>
      <c r="D25" s="4"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5" min="3" style="0" width="12"/>
    <col collapsed="false" customWidth="true" hidden="false" outlineLevel="0" max="6" min="6" style="0" width="90"/>
    <col collapsed="false" customWidth="true" hidden="false" outlineLevel="0" max="7" min="7" style="0" width="70"/>
  </cols>
  <sheetData>
    <row r="1" customFormat="false" ht="17.35" hidden="false" customHeight="false" outlineLevel="0" collapsed="false">
      <c r="A1" s="1" t="s">
        <v>2474</v>
      </c>
    </row>
    <row r="2" customFormat="false" ht="15" hidden="false" customHeight="false" outlineLevel="0" collapsed="false">
      <c r="A2" s="14" t="s">
        <v>2475</v>
      </c>
    </row>
    <row r="4" customFormat="false" ht="23.85" hidden="false" customHeight="false" outlineLevel="0" collapsed="false">
      <c r="A4" s="3" t="s">
        <v>2476</v>
      </c>
      <c r="B4" s="3" t="s">
        <v>2477</v>
      </c>
      <c r="C4" s="3" t="s">
        <v>2478</v>
      </c>
      <c r="D4" s="3" t="s">
        <v>2479</v>
      </c>
      <c r="E4" s="3" t="s">
        <v>2480</v>
      </c>
      <c r="F4" s="3" t="s">
        <v>2481</v>
      </c>
      <c r="G4" s="3" t="s">
        <v>2482</v>
      </c>
    </row>
    <row r="5" customFormat="false" ht="46.25" hidden="false" customHeight="false" outlineLevel="0" collapsed="false">
      <c r="A5" s="4" t="s">
        <v>2483</v>
      </c>
      <c r="B5" s="12" t="s">
        <v>2484</v>
      </c>
      <c r="C5" s="19" t="n">
        <v>3500</v>
      </c>
      <c r="D5" s="19" t="n">
        <v>5500</v>
      </c>
      <c r="E5" s="19" t="n">
        <v>8000</v>
      </c>
      <c r="F5" s="4" t="s">
        <v>2485</v>
      </c>
      <c r="G5" s="4" t="s">
        <v>2486</v>
      </c>
    </row>
    <row r="6" customFormat="false" ht="23.85" hidden="false" customHeight="false" outlineLevel="0" collapsed="false">
      <c r="A6" s="4" t="s">
        <v>2487</v>
      </c>
      <c r="B6" s="12" t="s">
        <v>2484</v>
      </c>
      <c r="C6" s="19" t="n">
        <v>3000</v>
      </c>
      <c r="D6" s="19" t="n">
        <v>4500</v>
      </c>
      <c r="E6" s="19" t="n">
        <v>6500</v>
      </c>
      <c r="F6" s="4" t="s">
        <v>2488</v>
      </c>
      <c r="G6" s="4" t="s">
        <v>2489</v>
      </c>
    </row>
    <row r="7" customFormat="false" ht="23.85" hidden="false" customHeight="false" outlineLevel="0" collapsed="false">
      <c r="A7" s="4" t="s">
        <v>2490</v>
      </c>
      <c r="B7" s="12" t="s">
        <v>2484</v>
      </c>
      <c r="C7" s="19" t="n">
        <v>3000</v>
      </c>
      <c r="D7" s="19" t="n">
        <v>5000</v>
      </c>
      <c r="E7" s="19" t="n">
        <v>7000</v>
      </c>
      <c r="F7" s="4" t="s">
        <v>2491</v>
      </c>
      <c r="G7" s="4" t="s">
        <v>2492</v>
      </c>
    </row>
    <row r="8" customFormat="false" ht="23.85" hidden="false" customHeight="false" outlineLevel="0" collapsed="false">
      <c r="A8" s="4" t="s">
        <v>2493</v>
      </c>
      <c r="B8" s="12" t="s">
        <v>2484</v>
      </c>
      <c r="C8" s="19" t="n">
        <v>2000</v>
      </c>
      <c r="D8" s="19" t="n">
        <v>3000</v>
      </c>
      <c r="E8" s="19" t="n">
        <v>4000</v>
      </c>
      <c r="F8" s="4" t="s">
        <v>2494</v>
      </c>
      <c r="G8" s="4" t="s">
        <v>2495</v>
      </c>
    </row>
    <row r="9" customFormat="false" ht="23.85" hidden="false" customHeight="false" outlineLevel="0" collapsed="false">
      <c r="A9" s="4" t="s">
        <v>2496</v>
      </c>
      <c r="B9" s="12" t="s">
        <v>2497</v>
      </c>
      <c r="C9" s="19" t="n">
        <v>200</v>
      </c>
      <c r="D9" s="19" t="n">
        <v>350</v>
      </c>
      <c r="E9" s="19" t="n">
        <v>550</v>
      </c>
      <c r="F9" s="4" t="s">
        <v>2498</v>
      </c>
      <c r="G9" s="4" t="s">
        <v>2499</v>
      </c>
    </row>
    <row r="10" customFormat="false" ht="35.05" hidden="false" customHeight="false" outlineLevel="0" collapsed="false">
      <c r="A10" s="4" t="s">
        <v>2500</v>
      </c>
      <c r="B10" s="12" t="s">
        <v>2501</v>
      </c>
      <c r="C10" s="19" t="n">
        <v>80</v>
      </c>
      <c r="D10" s="19" t="n">
        <v>130</v>
      </c>
      <c r="E10" s="19" t="n">
        <v>200</v>
      </c>
      <c r="F10" s="4" t="s">
        <v>2502</v>
      </c>
      <c r="G10" s="4" t="s">
        <v>2503</v>
      </c>
    </row>
    <row r="11" customFormat="false" ht="23.85" hidden="false" customHeight="false" outlineLevel="0" collapsed="false">
      <c r="A11" s="4" t="s">
        <v>2504</v>
      </c>
      <c r="B11" s="12" t="s">
        <v>2505</v>
      </c>
      <c r="C11" s="19" t="n">
        <v>800</v>
      </c>
      <c r="D11" s="19" t="n">
        <v>1500</v>
      </c>
      <c r="E11" s="19" t="n">
        <v>3500</v>
      </c>
      <c r="F11" s="4" t="s">
        <v>2506</v>
      </c>
      <c r="G11" s="4" t="s">
        <v>2507</v>
      </c>
    </row>
    <row r="12" customFormat="false" ht="46.25" hidden="false" customHeight="false" outlineLevel="0" collapsed="false">
      <c r="A12" s="4" t="s">
        <v>2508</v>
      </c>
      <c r="B12" s="12" t="s">
        <v>2509</v>
      </c>
      <c r="C12" s="19" t="n">
        <v>1250</v>
      </c>
      <c r="D12" s="19" t="n">
        <v>3500</v>
      </c>
      <c r="E12" s="19" t="n">
        <v>25000</v>
      </c>
      <c r="F12" s="4" t="s">
        <v>2510</v>
      </c>
      <c r="G12" s="4" t="s">
        <v>2511</v>
      </c>
    </row>
    <row r="13" customFormat="false" ht="23.85" hidden="false" customHeight="false" outlineLevel="0" collapsed="false">
      <c r="A13" s="4" t="s">
        <v>2512</v>
      </c>
      <c r="B13" s="12" t="s">
        <v>2509</v>
      </c>
      <c r="C13" s="19" t="n">
        <v>5000</v>
      </c>
      <c r="D13" s="19" t="n">
        <v>7000</v>
      </c>
      <c r="E13" s="19" t="n">
        <v>50000</v>
      </c>
      <c r="F13" s="4" t="s">
        <v>2513</v>
      </c>
      <c r="G13" s="4" t="s">
        <v>2514</v>
      </c>
    </row>
    <row r="14" customFormat="false" ht="35.05" hidden="false" customHeight="false" outlineLevel="0" collapsed="false">
      <c r="A14" s="4" t="s">
        <v>2515</v>
      </c>
      <c r="B14" s="12" t="s">
        <v>2516</v>
      </c>
      <c r="C14" s="19" t="n">
        <v>500</v>
      </c>
      <c r="D14" s="19" t="n">
        <v>800</v>
      </c>
      <c r="E14" s="19" t="n">
        <v>1500</v>
      </c>
      <c r="F14" s="4" t="s">
        <v>2517</v>
      </c>
      <c r="G14" s="4" t="s">
        <v>2518</v>
      </c>
    </row>
    <row r="15" customFormat="false" ht="23.85" hidden="false" customHeight="false" outlineLevel="0" collapsed="false">
      <c r="A15" s="4" t="s">
        <v>2519</v>
      </c>
      <c r="B15" s="12" t="s">
        <v>2520</v>
      </c>
      <c r="C15" s="19" t="n">
        <v>3200</v>
      </c>
      <c r="D15" s="19" t="n">
        <v>4500</v>
      </c>
      <c r="E15" s="19" t="n">
        <v>25000</v>
      </c>
      <c r="F15" s="4" t="s">
        <v>2521</v>
      </c>
      <c r="G15" s="4" t="s">
        <v>2522</v>
      </c>
    </row>
    <row r="16" customFormat="false" ht="23.85" hidden="false" customHeight="false" outlineLevel="0" collapsed="false">
      <c r="A16" s="4" t="s">
        <v>2523</v>
      </c>
      <c r="B16" s="12" t="s">
        <v>2524</v>
      </c>
      <c r="C16" s="19" t="n">
        <v>600</v>
      </c>
      <c r="D16" s="19" t="n">
        <v>1200</v>
      </c>
      <c r="E16" s="19" t="n">
        <v>2500</v>
      </c>
      <c r="F16" s="4" t="s">
        <v>2525</v>
      </c>
      <c r="G16" s="4" t="s">
        <v>2526</v>
      </c>
    </row>
    <row r="17" customFormat="false" ht="23.85" hidden="false" customHeight="false" outlineLevel="0" collapsed="false">
      <c r="A17" s="4" t="s">
        <v>2527</v>
      </c>
      <c r="B17" s="12" t="s">
        <v>2528</v>
      </c>
      <c r="C17" s="19" t="n">
        <v>155</v>
      </c>
      <c r="D17" s="19" t="n">
        <v>220</v>
      </c>
      <c r="E17" s="19" t="n">
        <v>370</v>
      </c>
      <c r="F17" s="4" t="s">
        <v>2529</v>
      </c>
      <c r="G17" s="4" t="s">
        <v>2530</v>
      </c>
    </row>
    <row r="18" customFormat="false" ht="15" hidden="false" customHeight="false" outlineLevel="0" collapsed="false">
      <c r="A18" s="4" t="s">
        <v>2531</v>
      </c>
      <c r="B18" s="12" t="s">
        <v>2532</v>
      </c>
      <c r="C18" s="19" t="n">
        <v>5000</v>
      </c>
      <c r="D18" s="19" t="n">
        <v>10000</v>
      </c>
      <c r="E18" s="19" t="n">
        <v>18500</v>
      </c>
      <c r="F18" s="4" t="s">
        <v>2533</v>
      </c>
      <c r="G18" s="4" t="s">
        <v>2534</v>
      </c>
    </row>
    <row r="19" customFormat="false" ht="23.85" hidden="false" customHeight="false" outlineLevel="0" collapsed="false">
      <c r="A19" s="4" t="s">
        <v>2535</v>
      </c>
      <c r="B19" s="12" t="s">
        <v>2528</v>
      </c>
      <c r="C19" s="19" t="n">
        <v>25</v>
      </c>
      <c r="D19" s="19" t="n">
        <v>45</v>
      </c>
      <c r="E19" s="19" t="n">
        <v>80</v>
      </c>
      <c r="F19" s="4" t="s">
        <v>2536</v>
      </c>
      <c r="G19" s="4" t="s">
        <v>2537</v>
      </c>
    </row>
    <row r="20" customFormat="false" ht="46.25" hidden="false" customHeight="false" outlineLevel="0" collapsed="false">
      <c r="A20" s="4" t="s">
        <v>2538</v>
      </c>
      <c r="B20" s="12" t="s">
        <v>2497</v>
      </c>
      <c r="C20" s="19" t="n">
        <v>1100</v>
      </c>
      <c r="D20" s="19" t="n">
        <v>1900</v>
      </c>
      <c r="E20" s="19" t="n">
        <v>3500</v>
      </c>
      <c r="F20" s="4" t="s">
        <v>2539</v>
      </c>
      <c r="G20" s="4" t="s">
        <v>2540</v>
      </c>
    </row>
    <row r="21" customFormat="false" ht="35.05" hidden="false" customHeight="false" outlineLevel="0" collapsed="false">
      <c r="A21" s="4" t="s">
        <v>2541</v>
      </c>
      <c r="B21" s="12" t="s">
        <v>2497</v>
      </c>
      <c r="C21" s="19" t="n">
        <v>2700</v>
      </c>
      <c r="D21" s="19" t="n">
        <v>4600</v>
      </c>
      <c r="E21" s="19" t="n">
        <v>8000</v>
      </c>
      <c r="F21" s="4" t="s">
        <v>2542</v>
      </c>
      <c r="G21" s="4" t="s">
        <v>2543</v>
      </c>
    </row>
    <row r="22" customFormat="false" ht="23.85" hidden="false" customHeight="false" outlineLevel="0" collapsed="false">
      <c r="A22" s="4" t="s">
        <v>2544</v>
      </c>
      <c r="B22" s="12" t="s">
        <v>2497</v>
      </c>
      <c r="C22" s="19" t="n">
        <v>1500</v>
      </c>
      <c r="D22" s="19" t="n">
        <v>3000</v>
      </c>
      <c r="E22" s="19" t="n">
        <v>6000</v>
      </c>
      <c r="F22" s="4" t="s">
        <v>2545</v>
      </c>
      <c r="G22" s="4" t="s">
        <v>2546</v>
      </c>
    </row>
    <row r="23" customFormat="false" ht="46.25" hidden="false" customHeight="false" outlineLevel="0" collapsed="false">
      <c r="A23" s="4" t="s">
        <v>2547</v>
      </c>
      <c r="B23" s="12" t="s">
        <v>2497</v>
      </c>
      <c r="C23" s="19" t="n">
        <v>2500</v>
      </c>
      <c r="D23" s="19" t="n">
        <v>4000</v>
      </c>
      <c r="E23" s="19" t="n">
        <v>6900</v>
      </c>
      <c r="F23" s="4" t="s">
        <v>2548</v>
      </c>
      <c r="G23" s="4" t="s">
        <v>2549</v>
      </c>
    </row>
    <row r="24" customFormat="false" ht="23.85" hidden="false" customHeight="false" outlineLevel="0" collapsed="false">
      <c r="A24" s="4" t="s">
        <v>2550</v>
      </c>
      <c r="B24" s="12" t="s">
        <v>2497</v>
      </c>
      <c r="C24" s="19" t="n">
        <v>4800</v>
      </c>
      <c r="D24" s="19" t="n">
        <v>6500</v>
      </c>
      <c r="E24" s="19" t="n">
        <v>9300</v>
      </c>
      <c r="F24" s="4" t="s">
        <v>2551</v>
      </c>
      <c r="G24" s="4" t="s">
        <v>2552</v>
      </c>
    </row>
    <row r="25" customFormat="false" ht="23.85" hidden="false" customHeight="false" outlineLevel="0" collapsed="false">
      <c r="A25" s="4" t="s">
        <v>2553</v>
      </c>
      <c r="B25" s="12" t="s">
        <v>2497</v>
      </c>
      <c r="C25" s="19" t="n">
        <v>850</v>
      </c>
      <c r="D25" s="19" t="n">
        <v>1100</v>
      </c>
      <c r="E25" s="19" t="n">
        <v>2500</v>
      </c>
      <c r="F25" s="4" t="s">
        <v>2554</v>
      </c>
      <c r="G25" s="4" t="s">
        <v>2555</v>
      </c>
    </row>
    <row r="26" customFormat="false" ht="23.85" hidden="false" customHeight="false" outlineLevel="0" collapsed="false">
      <c r="A26" s="4" t="s">
        <v>2556</v>
      </c>
      <c r="B26" s="12" t="s">
        <v>2497</v>
      </c>
      <c r="C26" s="19" t="n">
        <v>2500</v>
      </c>
      <c r="D26" s="19" t="n">
        <v>3800</v>
      </c>
      <c r="E26" s="19" t="n">
        <v>8000</v>
      </c>
      <c r="F26" s="4" t="s">
        <v>2557</v>
      </c>
      <c r="G26" s="4" t="s">
        <v>2558</v>
      </c>
    </row>
    <row r="27" customFormat="false" ht="35.05" hidden="false" customHeight="false" outlineLevel="0" collapsed="false">
      <c r="A27" s="4" t="s">
        <v>2559</v>
      </c>
      <c r="B27" s="12" t="s">
        <v>2560</v>
      </c>
      <c r="C27" s="19" t="n">
        <v>160</v>
      </c>
      <c r="D27" s="19" t="n">
        <v>280</v>
      </c>
      <c r="E27" s="19" t="n">
        <v>550</v>
      </c>
      <c r="F27" s="4" t="s">
        <v>2561</v>
      </c>
      <c r="G27" s="4" t="s">
        <v>2562</v>
      </c>
    </row>
    <row r="28" customFormat="false" ht="35.05" hidden="false" customHeight="false" outlineLevel="0" collapsed="false">
      <c r="A28" s="4" t="s">
        <v>2563</v>
      </c>
      <c r="B28" s="12" t="s">
        <v>2564</v>
      </c>
      <c r="C28" s="19" t="n">
        <v>290</v>
      </c>
      <c r="D28" s="19" t="n">
        <v>400</v>
      </c>
      <c r="E28" s="19" t="n">
        <v>560</v>
      </c>
      <c r="F28" s="4" t="s">
        <v>2565</v>
      </c>
      <c r="G28" s="4" t="s">
        <v>2566</v>
      </c>
    </row>
    <row r="29" customFormat="false" ht="35.05" hidden="false" customHeight="false" outlineLevel="0" collapsed="false">
      <c r="A29" s="4" t="s">
        <v>2567</v>
      </c>
      <c r="B29" s="12" t="s">
        <v>2568</v>
      </c>
      <c r="C29" s="19" t="n">
        <v>180</v>
      </c>
      <c r="D29" s="19" t="n">
        <v>300</v>
      </c>
      <c r="E29" s="19" t="n">
        <v>470</v>
      </c>
      <c r="F29" s="4" t="s">
        <v>2569</v>
      </c>
      <c r="G29" s="4" t="s">
        <v>2570</v>
      </c>
    </row>
    <row r="30" customFormat="false" ht="35.05" hidden="false" customHeight="false" outlineLevel="0" collapsed="false">
      <c r="A30" s="4" t="s">
        <v>2571</v>
      </c>
      <c r="B30" s="12" t="s">
        <v>2572</v>
      </c>
      <c r="C30" s="19" t="n">
        <v>750</v>
      </c>
      <c r="D30" s="19" t="n">
        <v>1000</v>
      </c>
      <c r="E30" s="19" t="n">
        <v>1500</v>
      </c>
      <c r="F30" s="4" t="s">
        <v>2573</v>
      </c>
      <c r="G30" s="4" t="s">
        <v>2574</v>
      </c>
    </row>
    <row r="31" customFormat="false" ht="23.85" hidden="false" customHeight="false" outlineLevel="0" collapsed="false">
      <c r="A31" s="4" t="s">
        <v>2575</v>
      </c>
      <c r="B31" s="12" t="s">
        <v>2572</v>
      </c>
      <c r="C31" s="19" t="n">
        <v>1500</v>
      </c>
      <c r="D31" s="19" t="n">
        <v>2200</v>
      </c>
      <c r="E31" s="19" t="n">
        <v>3500</v>
      </c>
      <c r="F31" s="4" t="s">
        <v>2576</v>
      </c>
      <c r="G31" s="4" t="s">
        <v>2577</v>
      </c>
    </row>
    <row r="32" customFormat="false" ht="57.45" hidden="false" customHeight="false" outlineLevel="0" collapsed="false">
      <c r="A32" s="4" t="s">
        <v>2578</v>
      </c>
      <c r="B32" s="12" t="s">
        <v>2579</v>
      </c>
      <c r="C32" s="19" t="n">
        <v>130</v>
      </c>
      <c r="D32" s="19" t="n">
        <v>180</v>
      </c>
      <c r="E32" s="19" t="n">
        <v>250</v>
      </c>
      <c r="F32" s="4" t="s">
        <v>2580</v>
      </c>
      <c r="G32" s="4" t="s">
        <v>2581</v>
      </c>
    </row>
    <row r="33" customFormat="false" ht="46.25" hidden="false" customHeight="false" outlineLevel="0" collapsed="false">
      <c r="A33" s="4" t="s">
        <v>2582</v>
      </c>
      <c r="B33" s="12" t="s">
        <v>2583</v>
      </c>
      <c r="C33" s="19" t="n">
        <v>19</v>
      </c>
      <c r="D33" s="19" t="n">
        <v>25</v>
      </c>
      <c r="E33" s="19" t="n">
        <v>40</v>
      </c>
      <c r="F33" s="4" t="s">
        <v>2584</v>
      </c>
      <c r="G33" s="4" t="s">
        <v>2585</v>
      </c>
    </row>
    <row r="34" customFormat="false" ht="23.85" hidden="false" customHeight="false" outlineLevel="0" collapsed="false">
      <c r="A34" s="4" t="s">
        <v>2586</v>
      </c>
      <c r="B34" s="12" t="s">
        <v>2497</v>
      </c>
      <c r="C34" s="19" t="n">
        <v>55</v>
      </c>
      <c r="D34" s="19" t="n">
        <v>75</v>
      </c>
      <c r="E34" s="19" t="n">
        <v>110</v>
      </c>
      <c r="F34" s="4" t="s">
        <v>2587</v>
      </c>
      <c r="G34" s="4" t="s">
        <v>2588</v>
      </c>
    </row>
    <row r="35" customFormat="false" ht="23.85" hidden="false" customHeight="false" outlineLevel="0" collapsed="false">
      <c r="A35" s="4" t="s">
        <v>2589</v>
      </c>
      <c r="B35" s="12" t="s">
        <v>2590</v>
      </c>
      <c r="C35" s="19" t="n">
        <v>50</v>
      </c>
      <c r="D35" s="19" t="n">
        <v>120</v>
      </c>
      <c r="E35" s="19" t="n">
        <v>280</v>
      </c>
      <c r="F35" s="4" t="s">
        <v>2591</v>
      </c>
      <c r="G35" s="4" t="s">
        <v>2592</v>
      </c>
    </row>
    <row r="36" customFormat="false" ht="23.85" hidden="false" customHeight="false" outlineLevel="0" collapsed="false">
      <c r="A36" s="4" t="s">
        <v>2593</v>
      </c>
      <c r="B36" s="12" t="s">
        <v>2572</v>
      </c>
      <c r="C36" s="19" t="n">
        <v>1200</v>
      </c>
      <c r="D36" s="19" t="n">
        <v>1500</v>
      </c>
      <c r="E36" s="19" t="n">
        <v>2500</v>
      </c>
      <c r="F36" s="4" t="s">
        <v>2594</v>
      </c>
      <c r="G36" s="4" t="s">
        <v>2595</v>
      </c>
    </row>
    <row r="37" customFormat="false" ht="15" hidden="false" customHeight="false" outlineLevel="0" collapsed="false">
      <c r="A37" s="4" t="s">
        <v>2596</v>
      </c>
      <c r="B37" s="12" t="s">
        <v>2597</v>
      </c>
      <c r="C37" s="19" t="n">
        <v>2000</v>
      </c>
      <c r="D37" s="19" t="n">
        <v>5000</v>
      </c>
      <c r="E37" s="19" t="n">
        <v>10000</v>
      </c>
      <c r="F37" s="4" t="s">
        <v>2598</v>
      </c>
      <c r="G37" s="4" t="s">
        <v>2599</v>
      </c>
    </row>
    <row r="38" customFormat="false" ht="23.85" hidden="false" customHeight="false" outlineLevel="0" collapsed="false">
      <c r="A38" s="4" t="s">
        <v>2600</v>
      </c>
      <c r="B38" s="12" t="s">
        <v>2601</v>
      </c>
      <c r="C38" s="19" t="n">
        <v>5000</v>
      </c>
      <c r="D38" s="19" t="n">
        <v>15000</v>
      </c>
      <c r="E38" s="19" t="n">
        <v>40000</v>
      </c>
      <c r="F38" s="4" t="s">
        <v>2602</v>
      </c>
      <c r="G38" s="4" t="s">
        <v>2603</v>
      </c>
    </row>
    <row r="39" customFormat="false" ht="23.85" hidden="false" customHeight="false" outlineLevel="0" collapsed="false">
      <c r="A39" s="4" t="s">
        <v>2604</v>
      </c>
      <c r="B39" s="12" t="s">
        <v>2477</v>
      </c>
      <c r="C39" s="19" t="n">
        <v>300</v>
      </c>
      <c r="D39" s="19" t="n">
        <v>700</v>
      </c>
      <c r="E39" s="19" t="n">
        <v>1500</v>
      </c>
      <c r="F39" s="4" t="s">
        <v>2605</v>
      </c>
      <c r="G39" s="4" t="s">
        <v>2606</v>
      </c>
    </row>
    <row r="40" customFormat="false" ht="23.85" hidden="false" customHeight="false" outlineLevel="0" collapsed="false">
      <c r="A40" s="4" t="s">
        <v>2607</v>
      </c>
      <c r="B40" s="12" t="s">
        <v>2497</v>
      </c>
      <c r="C40" s="19" t="n">
        <v>250</v>
      </c>
      <c r="D40" s="19" t="n">
        <v>400</v>
      </c>
      <c r="E40" s="19" t="n">
        <v>750</v>
      </c>
      <c r="F40" s="4" t="s">
        <v>2608</v>
      </c>
      <c r="G40" s="4" t="s">
        <v>2609</v>
      </c>
    </row>
    <row r="41" customFormat="false" ht="15" hidden="false" customHeight="false" outlineLevel="0" collapsed="false">
      <c r="A41" s="4" t="s">
        <v>2610</v>
      </c>
      <c r="B41" s="12" t="s">
        <v>2497</v>
      </c>
      <c r="C41" s="19" t="n">
        <v>200</v>
      </c>
      <c r="D41" s="19" t="n">
        <v>300</v>
      </c>
      <c r="E41" s="19" t="n">
        <v>400</v>
      </c>
      <c r="F41" s="4" t="s">
        <v>2611</v>
      </c>
      <c r="G41" s="4" t="s">
        <v>2612</v>
      </c>
    </row>
    <row r="42" customFormat="false" ht="23.85" hidden="false" customHeight="false" outlineLevel="0" collapsed="false">
      <c r="A42" s="4" t="s">
        <v>2613</v>
      </c>
      <c r="B42" s="12" t="s">
        <v>2497</v>
      </c>
      <c r="C42" s="19" t="n">
        <v>500</v>
      </c>
      <c r="D42" s="19" t="n">
        <v>800</v>
      </c>
      <c r="E42" s="19" t="n">
        <v>1500</v>
      </c>
      <c r="F42" s="4" t="s">
        <v>2614</v>
      </c>
      <c r="G42" s="4" t="s">
        <v>2615</v>
      </c>
    </row>
    <row r="43" customFormat="false" ht="15" hidden="false" customHeight="false" outlineLevel="0" collapsed="false">
      <c r="A43" s="4" t="s">
        <v>2616</v>
      </c>
      <c r="B43" s="12" t="s">
        <v>2497</v>
      </c>
      <c r="C43" s="19" t="n">
        <v>900</v>
      </c>
      <c r="D43" s="19" t="n">
        <v>1400</v>
      </c>
      <c r="E43" s="19" t="n">
        <v>2500</v>
      </c>
      <c r="F43" s="4" t="s">
        <v>2617</v>
      </c>
      <c r="G43" s="4" t="s">
        <v>2618</v>
      </c>
    </row>
    <row r="44" customFormat="false" ht="23.85" hidden="false" customHeight="false" outlineLevel="0" collapsed="false">
      <c r="A44" s="4" t="s">
        <v>2619</v>
      </c>
      <c r="B44" s="12" t="s">
        <v>2597</v>
      </c>
      <c r="C44" s="19" t="n">
        <v>1500</v>
      </c>
      <c r="D44" s="19" t="n">
        <v>3000</v>
      </c>
      <c r="E44" s="19" t="n">
        <v>5000</v>
      </c>
      <c r="F44" s="4" t="s">
        <v>2620</v>
      </c>
      <c r="G44" s="4" t="s">
        <v>2621</v>
      </c>
    </row>
    <row r="45" customFormat="false" ht="46.25" hidden="false" customHeight="false" outlineLevel="0" collapsed="false">
      <c r="A45" s="4" t="s">
        <v>2622</v>
      </c>
      <c r="B45" s="12" t="s">
        <v>2623</v>
      </c>
      <c r="C45" s="19" t="n">
        <v>144</v>
      </c>
      <c r="D45" s="19" t="n">
        <v>192</v>
      </c>
      <c r="E45" s="19" t="n">
        <v>240</v>
      </c>
      <c r="F45" s="4" t="s">
        <v>2624</v>
      </c>
      <c r="G45" s="4" t="s">
        <v>2625</v>
      </c>
    </row>
    <row r="46" customFormat="false" ht="23.85" hidden="false" customHeight="false" outlineLevel="0" collapsed="false">
      <c r="A46" s="4" t="s">
        <v>2622</v>
      </c>
      <c r="B46" s="12" t="s">
        <v>2626</v>
      </c>
      <c r="C46" s="19" t="n">
        <v>864</v>
      </c>
      <c r="D46" s="19" t="n">
        <v>1152</v>
      </c>
      <c r="E46" s="19" t="n">
        <v>1440</v>
      </c>
      <c r="F46" s="4" t="s">
        <v>2627</v>
      </c>
      <c r="G46" s="4" t="s">
        <v>2628</v>
      </c>
    </row>
    <row r="47" customFormat="false" ht="35.05" hidden="false" customHeight="false" outlineLevel="0" collapsed="false">
      <c r="A47" s="4" t="s">
        <v>2629</v>
      </c>
      <c r="B47" s="12" t="s">
        <v>2630</v>
      </c>
      <c r="C47" s="19" t="n">
        <v>800</v>
      </c>
      <c r="D47" s="19" t="n">
        <v>1500</v>
      </c>
      <c r="E47" s="19" t="n">
        <v>2500</v>
      </c>
      <c r="F47" s="4" t="s">
        <v>2631</v>
      </c>
      <c r="G47" s="4" t="s">
        <v>2632</v>
      </c>
    </row>
    <row r="48" customFormat="false" ht="23.85" hidden="false" customHeight="false" outlineLevel="0" collapsed="false">
      <c r="A48" s="4" t="s">
        <v>2633</v>
      </c>
      <c r="B48" s="12" t="s">
        <v>2597</v>
      </c>
      <c r="C48" s="19" t="n">
        <v>1500</v>
      </c>
      <c r="D48" s="19" t="n">
        <v>3000</v>
      </c>
      <c r="E48" s="19" t="n">
        <v>6500</v>
      </c>
      <c r="F48" s="4" t="s">
        <v>2634</v>
      </c>
      <c r="G48" s="4" t="s">
        <v>2635</v>
      </c>
    </row>
    <row r="49" customFormat="false" ht="23.85" hidden="false" customHeight="false" outlineLevel="0" collapsed="false">
      <c r="A49" s="4" t="s">
        <v>2636</v>
      </c>
      <c r="B49" s="12" t="s">
        <v>2637</v>
      </c>
      <c r="C49" s="19" t="n">
        <v>8</v>
      </c>
      <c r="D49" s="19" t="n">
        <v>15</v>
      </c>
      <c r="E49" s="19" t="n">
        <v>30</v>
      </c>
      <c r="F49" s="4" t="s">
        <v>2638</v>
      </c>
      <c r="G49" s="4" t="s">
        <v>2639</v>
      </c>
    </row>
    <row r="50" customFormat="false" ht="23.85" hidden="false" customHeight="false" outlineLevel="0" collapsed="false">
      <c r="A50" s="4" t="s">
        <v>2640</v>
      </c>
      <c r="B50" s="12" t="s">
        <v>2641</v>
      </c>
      <c r="C50" s="19" t="n">
        <v>2</v>
      </c>
      <c r="D50" s="19" t="n">
        <v>4</v>
      </c>
      <c r="E50" s="19" t="n">
        <v>8</v>
      </c>
      <c r="F50" s="4" t="s">
        <v>2642</v>
      </c>
      <c r="G50" s="4" t="s">
        <v>2643</v>
      </c>
    </row>
    <row r="51" customFormat="false" ht="23.85" hidden="false" customHeight="false" outlineLevel="0" collapsed="false">
      <c r="A51" s="4" t="s">
        <v>2644</v>
      </c>
      <c r="B51" s="12" t="s">
        <v>2645</v>
      </c>
      <c r="C51" s="19" t="n">
        <v>40</v>
      </c>
      <c r="D51" s="19" t="n">
        <v>60</v>
      </c>
      <c r="E51" s="19" t="n">
        <v>100</v>
      </c>
      <c r="F51" s="4" t="s">
        <v>2646</v>
      </c>
      <c r="G51" s="4" t="s">
        <v>2647</v>
      </c>
    </row>
    <row r="52" customFormat="false" ht="15" hidden="false" customHeight="false" outlineLevel="0" collapsed="false">
      <c r="A52" s="4" t="s">
        <v>2648</v>
      </c>
      <c r="B52" s="12" t="s">
        <v>2597</v>
      </c>
      <c r="C52" s="19" t="n">
        <v>2500</v>
      </c>
      <c r="D52" s="19" t="n">
        <v>4000</v>
      </c>
      <c r="E52" s="19" t="n">
        <v>7000</v>
      </c>
      <c r="F52" s="4" t="s">
        <v>2649</v>
      </c>
      <c r="G52" s="4" t="s">
        <v>2650</v>
      </c>
    </row>
    <row r="53" customFormat="false" ht="15" hidden="false" customHeight="false" outlineLevel="0" collapsed="false">
      <c r="A53" s="4" t="s">
        <v>2651</v>
      </c>
      <c r="B53" s="12" t="s">
        <v>2484</v>
      </c>
      <c r="C53" s="19" t="n">
        <v>2500</v>
      </c>
      <c r="D53" s="19" t="n">
        <v>4000</v>
      </c>
      <c r="E53" s="19" t="n">
        <v>6000</v>
      </c>
      <c r="F53" s="4" t="s">
        <v>2652</v>
      </c>
      <c r="G53" s="4" t="s">
        <v>2653</v>
      </c>
    </row>
    <row r="54" customFormat="false" ht="15" hidden="false" customHeight="false" outlineLevel="0" collapsed="false">
      <c r="A54" s="4" t="s">
        <v>2654</v>
      </c>
      <c r="B54" s="12" t="s">
        <v>2484</v>
      </c>
      <c r="C54" s="19" t="n">
        <v>1200</v>
      </c>
      <c r="D54" s="19" t="n">
        <v>2500</v>
      </c>
      <c r="E54" s="19" t="n">
        <v>4000</v>
      </c>
      <c r="F54" s="4" t="s">
        <v>2655</v>
      </c>
      <c r="G54" s="4" t="s">
        <v>2656</v>
      </c>
    </row>
    <row r="55" customFormat="false" ht="23.85" hidden="false" customHeight="false" outlineLevel="0" collapsed="false">
      <c r="A55" s="4" t="s">
        <v>2657</v>
      </c>
      <c r="B55" s="12" t="s">
        <v>2601</v>
      </c>
      <c r="C55" s="19" t="n">
        <v>1000</v>
      </c>
      <c r="D55" s="19" t="n">
        <v>3000</v>
      </c>
      <c r="E55" s="19" t="n">
        <v>10000</v>
      </c>
      <c r="F55" s="4" t="s">
        <v>2658</v>
      </c>
      <c r="G55" s="4" t="s">
        <v>2659</v>
      </c>
    </row>
    <row r="56" customFormat="false" ht="35.05" hidden="false" customHeight="false" outlineLevel="0" collapsed="false">
      <c r="A56" s="4" t="s">
        <v>2660</v>
      </c>
      <c r="B56" s="12" t="s">
        <v>2661</v>
      </c>
      <c r="C56" s="19" t="n">
        <v>700</v>
      </c>
      <c r="D56" s="19" t="n">
        <v>1500</v>
      </c>
      <c r="E56" s="19" t="n">
        <v>3000</v>
      </c>
      <c r="F56" s="4" t="s">
        <v>2662</v>
      </c>
      <c r="G56" s="4" t="s">
        <v>2663</v>
      </c>
    </row>
    <row r="57" customFormat="false" ht="35.05" hidden="false" customHeight="false" outlineLevel="0" collapsed="false">
      <c r="A57" s="4" t="s">
        <v>2664</v>
      </c>
      <c r="B57" s="12" t="s">
        <v>2661</v>
      </c>
      <c r="C57" s="19" t="n">
        <v>240</v>
      </c>
      <c r="D57" s="19" t="n">
        <v>700</v>
      </c>
      <c r="E57" s="19" t="n">
        <v>1700</v>
      </c>
      <c r="F57" s="4" t="s">
        <v>2665</v>
      </c>
      <c r="G57" s="4" t="s">
        <v>2666</v>
      </c>
    </row>
    <row r="58" customFormat="false" ht="23.85" hidden="false" customHeight="false" outlineLevel="0" collapsed="false">
      <c r="A58" s="4" t="s">
        <v>2667</v>
      </c>
      <c r="B58" s="12" t="s">
        <v>2661</v>
      </c>
      <c r="C58" s="19" t="n">
        <v>160</v>
      </c>
      <c r="D58" s="19" t="n">
        <v>300</v>
      </c>
      <c r="E58" s="19" t="n">
        <v>1100</v>
      </c>
      <c r="F58" s="4" t="s">
        <v>2668</v>
      </c>
      <c r="G58" s="4" t="s">
        <v>2666</v>
      </c>
    </row>
    <row r="59" customFormat="false" ht="35.05" hidden="false" customHeight="false" outlineLevel="0" collapsed="false">
      <c r="A59" s="4" t="s">
        <v>2669</v>
      </c>
      <c r="B59" s="12" t="s">
        <v>2528</v>
      </c>
      <c r="C59" s="19" t="n">
        <v>66</v>
      </c>
      <c r="D59" s="19" t="n">
        <v>95</v>
      </c>
      <c r="E59" s="19" t="n">
        <v>170</v>
      </c>
      <c r="F59" s="4" t="s">
        <v>2670</v>
      </c>
      <c r="G59" s="4" t="s">
        <v>2671</v>
      </c>
    </row>
    <row r="60" customFormat="false" ht="23.85" hidden="false" customHeight="false" outlineLevel="0" collapsed="false">
      <c r="A60" s="4" t="s">
        <v>2672</v>
      </c>
      <c r="B60" s="12" t="s">
        <v>2484</v>
      </c>
      <c r="C60" s="19" t="n">
        <v>800</v>
      </c>
      <c r="D60" s="19" t="n">
        <v>1500</v>
      </c>
      <c r="E60" s="19" t="n">
        <v>3000</v>
      </c>
      <c r="F60" s="4" t="s">
        <v>2673</v>
      </c>
      <c r="G60" s="4" t="s">
        <v>2674</v>
      </c>
    </row>
    <row r="61" customFormat="false" ht="35.05" hidden="false" customHeight="false" outlineLevel="0" collapsed="false">
      <c r="A61" s="4" t="s">
        <v>2675</v>
      </c>
      <c r="B61" s="12" t="s">
        <v>2676</v>
      </c>
      <c r="C61" s="19" t="n">
        <v>1500</v>
      </c>
      <c r="D61" s="19" t="n">
        <v>3000</v>
      </c>
      <c r="E61" s="19" t="n">
        <v>5000</v>
      </c>
      <c r="F61" s="4" t="s">
        <v>2677</v>
      </c>
      <c r="G61" s="4" t="s">
        <v>2678</v>
      </c>
    </row>
    <row r="62" customFormat="false" ht="35.05" hidden="false" customHeight="false" outlineLevel="0" collapsed="false">
      <c r="A62" s="4" t="s">
        <v>2679</v>
      </c>
      <c r="B62" s="12" t="s">
        <v>2597</v>
      </c>
      <c r="C62" s="19" t="n">
        <v>3000</v>
      </c>
      <c r="D62" s="19" t="n">
        <v>8000</v>
      </c>
      <c r="E62" s="19" t="n">
        <v>20000</v>
      </c>
      <c r="F62" s="4" t="s">
        <v>2680</v>
      </c>
      <c r="G62" s="4" t="s">
        <v>2681</v>
      </c>
    </row>
    <row r="63" customFormat="false" ht="23.85" hidden="false" customHeight="false" outlineLevel="0" collapsed="false">
      <c r="A63" s="4" t="s">
        <v>2682</v>
      </c>
      <c r="B63" s="12" t="s">
        <v>2683</v>
      </c>
      <c r="C63" s="19" t="n">
        <v>800</v>
      </c>
      <c r="D63" s="19" t="n">
        <v>2000</v>
      </c>
      <c r="E63" s="19" t="n">
        <v>5000</v>
      </c>
      <c r="F63" s="4" t="s">
        <v>2684</v>
      </c>
      <c r="G63" s="4" t="s">
        <v>2685</v>
      </c>
    </row>
    <row r="64" customFormat="false" ht="35.05" hidden="false" customHeight="false" outlineLevel="0" collapsed="false">
      <c r="A64" s="4" t="s">
        <v>2686</v>
      </c>
      <c r="B64" s="12" t="s">
        <v>2687</v>
      </c>
      <c r="C64" s="19" t="n">
        <v>0</v>
      </c>
      <c r="D64" s="19" t="n">
        <v>10</v>
      </c>
      <c r="E64" s="19" t="n">
        <v>15</v>
      </c>
      <c r="F64" s="4" t="s">
        <v>2688</v>
      </c>
      <c r="G64" s="4" t="s">
        <v>2689</v>
      </c>
    </row>
    <row r="65" customFormat="false" ht="23.85" hidden="false" customHeight="false" outlineLevel="0" collapsed="false">
      <c r="A65" s="4" t="s">
        <v>2690</v>
      </c>
      <c r="B65" s="12" t="s">
        <v>2601</v>
      </c>
      <c r="C65" s="19" t="n">
        <v>300</v>
      </c>
      <c r="D65" s="19" t="n">
        <v>1500</v>
      </c>
      <c r="E65" s="19" t="n">
        <v>5000</v>
      </c>
      <c r="F65" s="4" t="s">
        <v>2691</v>
      </c>
      <c r="G65" s="4" t="s">
        <v>2692</v>
      </c>
    </row>
    <row r="66" customFormat="false" ht="15" hidden="false" customHeight="false" outlineLevel="0" collapsed="false">
      <c r="A66" s="4" t="s">
        <v>2693</v>
      </c>
      <c r="B66" s="12" t="s">
        <v>2694</v>
      </c>
      <c r="C66" s="19" t="n">
        <v>1000</v>
      </c>
      <c r="D66" s="19" t="n">
        <v>2000</v>
      </c>
      <c r="E66" s="19" t="n">
        <v>5000</v>
      </c>
      <c r="F66" s="4" t="s">
        <v>2695</v>
      </c>
      <c r="G66" s="4" t="s">
        <v>2696</v>
      </c>
    </row>
    <row r="67" customFormat="false" ht="23.85" hidden="false" customHeight="false" outlineLevel="0" collapsed="false">
      <c r="A67" s="4" t="s">
        <v>2697</v>
      </c>
      <c r="B67" s="12" t="s">
        <v>2698</v>
      </c>
      <c r="C67" s="19" t="n">
        <v>200</v>
      </c>
      <c r="D67" s="19" t="n">
        <v>260</v>
      </c>
      <c r="E67" s="19" t="n">
        <v>380</v>
      </c>
      <c r="F67" s="4" t="s">
        <v>2699</v>
      </c>
      <c r="G67" s="4" t="s">
        <v>2700</v>
      </c>
    </row>
    <row r="68" customFormat="false" ht="23.85" hidden="false" customHeight="false" outlineLevel="0" collapsed="false">
      <c r="A68" s="4" t="s">
        <v>2701</v>
      </c>
      <c r="B68" s="12" t="s">
        <v>2702</v>
      </c>
      <c r="C68" s="19" t="n">
        <v>126</v>
      </c>
      <c r="D68" s="19" t="n">
        <v>160</v>
      </c>
      <c r="E68" s="19" t="n">
        <v>190</v>
      </c>
      <c r="F68" s="4" t="s">
        <v>2703</v>
      </c>
      <c r="G68" s="4" t="s">
        <v>2566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18"/>
    <col collapsed="false" customWidth="true" hidden="false" outlineLevel="0" max="3" min="3" style="0" width="60"/>
  </cols>
  <sheetData>
    <row r="1" customFormat="false" ht="17.35" hidden="false" customHeight="false" outlineLevel="0" collapsed="false">
      <c r="A1" s="1" t="s">
        <v>2704</v>
      </c>
    </row>
    <row r="3" customFormat="false" ht="15" hidden="false" customHeight="false" outlineLevel="0" collapsed="false">
      <c r="A3" s="3" t="s">
        <v>2705</v>
      </c>
      <c r="B3" s="3" t="s">
        <v>2706</v>
      </c>
      <c r="C3" s="3" t="s">
        <v>2707</v>
      </c>
    </row>
    <row r="4" customFormat="false" ht="15" hidden="false" customHeight="false" outlineLevel="0" collapsed="false">
      <c r="A4" s="12" t="s">
        <v>2708</v>
      </c>
      <c r="B4" s="20" t="n">
        <v>0.15</v>
      </c>
      <c r="C4" s="12" t="s">
        <v>2709</v>
      </c>
    </row>
    <row r="5" customFormat="false" ht="15" hidden="false" customHeight="false" outlineLevel="0" collapsed="false">
      <c r="A5" s="12" t="s">
        <v>2710</v>
      </c>
      <c r="B5" s="20" t="n">
        <v>0.2</v>
      </c>
      <c r="C5" s="12" t="s">
        <v>2711</v>
      </c>
    </row>
    <row r="6" customFormat="false" ht="15" hidden="false" customHeight="false" outlineLevel="0" collapsed="false">
      <c r="A6" s="12" t="s">
        <v>2712</v>
      </c>
      <c r="B6" s="20" t="n">
        <v>0.1</v>
      </c>
      <c r="C6" s="12" t="s">
        <v>2713</v>
      </c>
    </row>
    <row r="7" customFormat="false" ht="15" hidden="false" customHeight="false" outlineLevel="0" collapsed="false">
      <c r="A7" s="12" t="s">
        <v>2714</v>
      </c>
      <c r="B7" s="19" t="n">
        <v>150000</v>
      </c>
      <c r="C7" s="12" t="s">
        <v>2713</v>
      </c>
    </row>
    <row r="8" customFormat="false" ht="15" hidden="false" customHeight="false" outlineLevel="0" collapsed="false">
      <c r="A8" s="12" t="s">
        <v>2715</v>
      </c>
      <c r="B8" s="19" t="n">
        <v>500000</v>
      </c>
      <c r="C8" s="12" t="s">
        <v>2716</v>
      </c>
    </row>
    <row r="9" customFormat="false" ht="15" hidden="false" customHeight="false" outlineLevel="0" collapsed="false">
      <c r="A9" s="12" t="s">
        <v>2717</v>
      </c>
      <c r="B9" s="19" t="n">
        <v>1500000</v>
      </c>
      <c r="C9" s="12" t="s">
        <v>2718</v>
      </c>
    </row>
    <row r="10" customFormat="false" ht="15" hidden="false" customHeight="false" outlineLevel="0" collapsed="false">
      <c r="A10" s="12" t="s">
        <v>2719</v>
      </c>
      <c r="B10" s="19" t="n">
        <v>15000000</v>
      </c>
      <c r="C10" s="12" t="s">
        <v>2720</v>
      </c>
    </row>
    <row r="11" customFormat="false" ht="15" hidden="false" customHeight="false" outlineLevel="0" collapsed="false">
      <c r="A11" s="12" t="s">
        <v>2721</v>
      </c>
      <c r="B11" s="19" t="n">
        <v>1500000</v>
      </c>
      <c r="C11" s="12" t="s">
        <v>2722</v>
      </c>
    </row>
    <row r="12" customFormat="false" ht="15" hidden="false" customHeight="false" outlineLevel="0" collapsed="false">
      <c r="A12" s="12" t="s">
        <v>2723</v>
      </c>
      <c r="B12" s="19" t="n">
        <v>200000</v>
      </c>
      <c r="C12" s="12" t="s">
        <v>2724</v>
      </c>
    </row>
    <row r="13" customFormat="false" ht="15" hidden="false" customHeight="false" outlineLevel="0" collapsed="false">
      <c r="A13" s="12" t="s">
        <v>2725</v>
      </c>
      <c r="B13" s="19" t="n">
        <v>25000</v>
      </c>
      <c r="C13" s="12" t="s">
        <v>2726</v>
      </c>
    </row>
    <row r="14" customFormat="false" ht="15" hidden="false" customHeight="false" outlineLevel="0" collapsed="false">
      <c r="A14" s="12" t="s">
        <v>2727</v>
      </c>
      <c r="B14" s="19" t="n">
        <v>50000</v>
      </c>
      <c r="C14" s="12" t="s">
        <v>2728</v>
      </c>
    </row>
    <row r="15" customFormat="false" ht="15" hidden="false" customHeight="false" outlineLevel="0" collapsed="false">
      <c r="A15" s="12" t="s">
        <v>2729</v>
      </c>
      <c r="B15" s="19" t="n">
        <v>5000</v>
      </c>
      <c r="C15" s="12" t="s">
        <v>2730</v>
      </c>
    </row>
    <row r="16" customFormat="false" ht="15" hidden="false" customHeight="false" outlineLevel="0" collapsed="false">
      <c r="A16" s="12" t="s">
        <v>2731</v>
      </c>
      <c r="B16" s="19" t="n">
        <v>5000</v>
      </c>
      <c r="C16" s="12" t="s">
        <v>2732</v>
      </c>
    </row>
    <row r="17" customFormat="false" ht="15" hidden="false" customHeight="false" outlineLevel="0" collapsed="false">
      <c r="A17" s="12" t="s">
        <v>2733</v>
      </c>
      <c r="B17" s="20" t="n">
        <v>0.2</v>
      </c>
      <c r="C17" s="12" t="s">
        <v>2734</v>
      </c>
    </row>
    <row r="18" customFormat="false" ht="15" hidden="false" customHeight="false" outlineLevel="0" collapsed="false">
      <c r="A18" s="12" t="s">
        <v>2735</v>
      </c>
      <c r="B18" s="20" t="n">
        <v>0.2</v>
      </c>
      <c r="C18" s="12" t="s">
        <v>2736</v>
      </c>
    </row>
    <row r="19" customFormat="false" ht="15" hidden="false" customHeight="false" outlineLevel="0" collapsed="false">
      <c r="A19" s="12" t="s">
        <v>2737</v>
      </c>
      <c r="B19" s="20" t="n">
        <v>0.1</v>
      </c>
      <c r="C19" s="12" t="s">
        <v>2738</v>
      </c>
    </row>
    <row r="20" customFormat="false" ht="15" hidden="false" customHeight="false" outlineLevel="0" collapsed="false">
      <c r="A20" s="12" t="s">
        <v>2739</v>
      </c>
      <c r="B20" s="19" t="n">
        <v>300</v>
      </c>
      <c r="C20" s="12" t="s">
        <v>2740</v>
      </c>
    </row>
    <row r="23" customFormat="false" ht="42" hidden="false" customHeight="true" outlineLevel="0" collapsed="false">
      <c r="A23" s="21" t="s">
        <v>2741</v>
      </c>
      <c r="B23" s="21"/>
      <c r="C23" s="21"/>
    </row>
    <row r="24" customFormat="false" ht="42" hidden="false" customHeight="true" outlineLevel="0" collapsed="false">
      <c r="A24" s="21" t="s">
        <v>2742</v>
      </c>
      <c r="B24" s="21"/>
      <c r="C24" s="21"/>
    </row>
    <row r="25" customFormat="false" ht="42" hidden="false" customHeight="true" outlineLevel="0" collapsed="false">
      <c r="A25" s="21" t="s">
        <v>2743</v>
      </c>
      <c r="B25" s="21"/>
      <c r="C25" s="21"/>
    </row>
    <row r="26" customFormat="false" ht="42" hidden="false" customHeight="true" outlineLevel="0" collapsed="false">
      <c r="A26" s="21" t="s">
        <v>2744</v>
      </c>
      <c r="B26" s="21"/>
      <c r="C26" s="21"/>
    </row>
    <row r="27" customFormat="false" ht="42" hidden="false" customHeight="true" outlineLevel="0" collapsed="false">
      <c r="A27" s="21" t="s">
        <v>2745</v>
      </c>
      <c r="B27" s="21"/>
      <c r="C27" s="21"/>
    </row>
    <row r="28" customFormat="false" ht="42" hidden="false" customHeight="true" outlineLevel="0" collapsed="false">
      <c r="A28" s="21" t="s">
        <v>2746</v>
      </c>
      <c r="B28" s="21"/>
      <c r="C28" s="21"/>
    </row>
  </sheetData>
  <mergeCells count="6">
    <mergeCell ref="A23:C23"/>
    <mergeCell ref="A24:C24"/>
    <mergeCell ref="A25:C25"/>
    <mergeCell ref="A26:C26"/>
    <mergeCell ref="A27:C27"/>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2747</v>
      </c>
    </row>
    <row r="2" customFormat="false" ht="30" hidden="false" customHeight="true" outlineLevel="0" collapsed="false">
      <c r="A2" s="22" t="s">
        <v>2748</v>
      </c>
      <c r="B2" s="21" t="s">
        <v>2749</v>
      </c>
      <c r="C2" s="21"/>
      <c r="D2" s="21"/>
      <c r="E2" s="21"/>
      <c r="F2" s="21"/>
      <c r="G2" s="21"/>
      <c r="H2" s="21"/>
      <c r="I2" s="21"/>
      <c r="J2" s="21"/>
      <c r="K2" s="21"/>
      <c r="L2" s="21"/>
      <c r="M2" s="21"/>
    </row>
    <row r="3" customFormat="false" ht="30" hidden="false" customHeight="true" outlineLevel="0" collapsed="false">
      <c r="A3" s="22" t="s">
        <v>2750</v>
      </c>
      <c r="B3" s="21" t="s">
        <v>2751</v>
      </c>
      <c r="C3" s="21"/>
      <c r="D3" s="21"/>
      <c r="E3" s="21"/>
      <c r="F3" s="21"/>
      <c r="G3" s="21"/>
      <c r="H3" s="21"/>
      <c r="I3" s="21"/>
      <c r="J3" s="21"/>
      <c r="K3" s="21"/>
      <c r="L3" s="21"/>
      <c r="M3" s="21"/>
    </row>
    <row r="4" customFormat="false" ht="30" hidden="false" customHeight="true" outlineLevel="0" collapsed="false">
      <c r="A4" s="22" t="s">
        <v>2752</v>
      </c>
      <c r="B4" s="21" t="s">
        <v>2753</v>
      </c>
      <c r="C4" s="21"/>
      <c r="D4" s="21"/>
      <c r="E4" s="21"/>
      <c r="F4" s="21"/>
      <c r="G4" s="21"/>
      <c r="H4" s="21"/>
      <c r="I4" s="21"/>
      <c r="J4" s="21"/>
      <c r="K4" s="21"/>
      <c r="L4" s="21"/>
      <c r="M4" s="21"/>
    </row>
    <row r="5" customFormat="false" ht="30" hidden="false" customHeight="true" outlineLevel="0" collapsed="false">
      <c r="A5" s="22" t="s">
        <v>2754</v>
      </c>
      <c r="B5" s="21" t="s">
        <v>2755</v>
      </c>
      <c r="C5" s="21"/>
      <c r="D5" s="21"/>
      <c r="E5" s="21"/>
      <c r="F5" s="21"/>
      <c r="G5" s="21"/>
      <c r="H5" s="21"/>
      <c r="I5" s="21"/>
      <c r="J5" s="21"/>
      <c r="K5" s="21"/>
      <c r="L5" s="21"/>
      <c r="M5" s="21"/>
    </row>
    <row r="6" customFormat="false" ht="30" hidden="false" customHeight="true" outlineLevel="0" collapsed="false">
      <c r="A6" s="22" t="s">
        <v>2756</v>
      </c>
      <c r="B6" s="21" t="s">
        <v>2757</v>
      </c>
      <c r="C6" s="21"/>
      <c r="D6" s="21"/>
      <c r="E6" s="21"/>
      <c r="F6" s="21"/>
      <c r="G6" s="21"/>
      <c r="H6" s="21"/>
      <c r="I6" s="21"/>
      <c r="J6" s="21"/>
      <c r="K6" s="21"/>
      <c r="L6" s="21"/>
      <c r="M6" s="21"/>
    </row>
    <row r="7" customFormat="false" ht="15" hidden="false" customHeight="false" outlineLevel="0" collapsed="false">
      <c r="A7" s="22" t="s">
        <v>2758</v>
      </c>
      <c r="B7" s="19" t="n">
        <v>500000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SUMIFS($I$26:$I$72,$B$26:$B$72,A11)</f>
        <v>34000</v>
      </c>
      <c r="C11" s="24" t="n">
        <f aca="false">IF($B$16=0,0,B11/$B$16)</f>
        <v>0.0864040660736976</v>
      </c>
    </row>
    <row r="12" customFormat="false" ht="15" hidden="false" customHeight="false" outlineLevel="0" collapsed="false">
      <c r="A12" s="12" t="s">
        <v>2765</v>
      </c>
      <c r="B12" s="23" t="n">
        <f aca="false">SUMIFS($I$26:$I$72,$B$26:$B$72,A12)</f>
        <v>310948</v>
      </c>
      <c r="C12" s="24" t="n">
        <f aca="false">IF($B$16=0,0,B12/$B$16)</f>
        <v>0.790210927573062</v>
      </c>
    </row>
    <row r="13" customFormat="false" ht="15" hidden="false" customHeight="false" outlineLevel="0" collapsed="false">
      <c r="A13" s="12" t="s">
        <v>2766</v>
      </c>
      <c r="B13" s="23" t="n">
        <f aca="false">SUMIFS($I$26:$I$72,$B$26:$B$72,A13)</f>
        <v>23000</v>
      </c>
      <c r="C13" s="24" t="n">
        <f aca="false">IF($B$16=0,0,B13/$B$16)</f>
        <v>0.0584498094027954</v>
      </c>
    </row>
    <row r="14" customFormat="false" ht="15" hidden="false" customHeight="false" outlineLevel="0" collapsed="false">
      <c r="A14" s="12" t="s">
        <v>2767</v>
      </c>
      <c r="B14" s="23" t="n">
        <f aca="false">SUMIFS($I$26:$I$72,$B$26:$B$72,A14)</f>
        <v>14500</v>
      </c>
      <c r="C14" s="24" t="n">
        <f aca="false">IF($B$16=0,0,B14/$B$16)</f>
        <v>0.036848792884371</v>
      </c>
    </row>
    <row r="15" customFormat="false" ht="15" hidden="false" customHeight="false" outlineLevel="0" collapsed="false">
      <c r="A15" s="12" t="s">
        <v>2768</v>
      </c>
      <c r="B15" s="23" t="n">
        <f aca="false">SUMIFS($I$26:$I$72,$B$26:$B$72,A15)</f>
        <v>11052</v>
      </c>
      <c r="C15" s="24" t="n">
        <f aca="false">IF($B$16=0,0,B15/$B$16)</f>
        <v>0.0280864040660737</v>
      </c>
    </row>
    <row r="16" customFormat="false" ht="15" hidden="false" customHeight="false" outlineLevel="0" collapsed="false">
      <c r="A16" s="25" t="s">
        <v>2769</v>
      </c>
      <c r="B16" s="26" t="n">
        <f aca="false">SUM(B11:B15)</f>
        <v>393500</v>
      </c>
    </row>
    <row r="17" customFormat="false" ht="23.85" hidden="false" customHeight="false" outlineLevel="0" collapsed="false">
      <c r="A17" s="4" t="s">
        <v>2770</v>
      </c>
      <c r="B17" s="23" t="n">
        <f aca="false">$B$16*C17</f>
        <v>31480</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35415</v>
      </c>
      <c r="C18" s="27" t="n">
        <v>0.09</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39350</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499745</v>
      </c>
    </row>
    <row r="21" customFormat="false" ht="15" hidden="false" customHeight="false" outlineLevel="0" collapsed="false">
      <c r="A21" s="12" t="s">
        <v>2774</v>
      </c>
      <c r="B21" s="23" t="n">
        <f aca="false">B20-B7</f>
        <v>-255</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2791</v>
      </c>
      <c r="B26" s="12" t="s">
        <v>2764</v>
      </c>
      <c r="C26" s="4" t="s">
        <v>2792</v>
      </c>
      <c r="D26" s="12" t="s">
        <v>2793</v>
      </c>
      <c r="E26" s="12" t="s">
        <v>2484</v>
      </c>
      <c r="F26" s="29" t="n">
        <v>1</v>
      </c>
      <c r="G26" s="29" t="n">
        <v>2</v>
      </c>
      <c r="H26" s="19" t="n">
        <v>7000</v>
      </c>
      <c r="I26" s="23" t="n">
        <f aca="false">F26*G26*H26</f>
        <v>14000</v>
      </c>
      <c r="J26" s="12" t="s">
        <v>2794</v>
      </c>
      <c r="K26" s="12" t="s">
        <v>2795</v>
      </c>
      <c r="L26" s="12" t="s">
        <v>2796</v>
      </c>
      <c r="M26" s="4" t="s">
        <v>2797</v>
      </c>
    </row>
    <row r="27" customFormat="false" ht="23.85" hidden="false" customHeight="false" outlineLevel="0" collapsed="false">
      <c r="A27" s="4" t="s">
        <v>2791</v>
      </c>
      <c r="B27" s="12" t="s">
        <v>2764</v>
      </c>
      <c r="C27" s="4" t="s">
        <v>2798</v>
      </c>
      <c r="D27" s="12" t="s">
        <v>2793</v>
      </c>
      <c r="E27" s="12" t="s">
        <v>2484</v>
      </c>
      <c r="F27" s="29" t="n">
        <v>1</v>
      </c>
      <c r="G27" s="29" t="n">
        <v>1</v>
      </c>
      <c r="H27" s="19" t="n">
        <v>5500</v>
      </c>
      <c r="I27" s="23" t="n">
        <f aca="false">F27*G27*H27</f>
        <v>5500</v>
      </c>
      <c r="J27" s="12" t="s">
        <v>2794</v>
      </c>
      <c r="K27" s="12" t="s">
        <v>2799</v>
      </c>
      <c r="L27" s="12" t="s">
        <v>2796</v>
      </c>
      <c r="M27" s="4" t="s">
        <v>2800</v>
      </c>
    </row>
    <row r="28" customFormat="false" ht="23.85" hidden="false" customHeight="false" outlineLevel="0" collapsed="false">
      <c r="A28" s="4" t="s">
        <v>2791</v>
      </c>
      <c r="B28" s="12" t="s">
        <v>2764</v>
      </c>
      <c r="C28" s="4" t="s">
        <v>2801</v>
      </c>
      <c r="D28" s="12" t="s">
        <v>2793</v>
      </c>
      <c r="E28" s="12" t="s">
        <v>2484</v>
      </c>
      <c r="F28" s="29" t="n">
        <v>1</v>
      </c>
      <c r="G28" s="29" t="n">
        <v>1</v>
      </c>
      <c r="H28" s="19" t="n">
        <v>5500</v>
      </c>
      <c r="I28" s="23" t="n">
        <f aca="false">F28*G28*H28</f>
        <v>5500</v>
      </c>
      <c r="J28" s="12" t="s">
        <v>2794</v>
      </c>
      <c r="K28" s="12" t="s">
        <v>2795</v>
      </c>
      <c r="L28" s="12" t="s">
        <v>2796</v>
      </c>
      <c r="M28" s="4" t="s">
        <v>2802</v>
      </c>
    </row>
    <row r="29" customFormat="false" ht="35.05" hidden="false" customHeight="false" outlineLevel="0" collapsed="false">
      <c r="A29" s="4" t="s">
        <v>2791</v>
      </c>
      <c r="B29" s="12" t="s">
        <v>2764</v>
      </c>
      <c r="C29" s="4" t="s">
        <v>2803</v>
      </c>
      <c r="D29" s="12" t="s">
        <v>2804</v>
      </c>
      <c r="E29" s="12" t="s">
        <v>2597</v>
      </c>
      <c r="F29" s="29" t="n">
        <v>4</v>
      </c>
      <c r="G29" s="29" t="n">
        <v>1</v>
      </c>
      <c r="H29" s="19" t="n">
        <v>1500</v>
      </c>
      <c r="I29" s="23" t="n">
        <f aca="false">F29*G29*H29</f>
        <v>6000</v>
      </c>
      <c r="J29" s="12" t="s">
        <v>2794</v>
      </c>
      <c r="K29" s="12" t="s">
        <v>2805</v>
      </c>
      <c r="L29" s="12"/>
      <c r="M29" s="4" t="s">
        <v>2806</v>
      </c>
    </row>
    <row r="30" customFormat="false" ht="23.85" hidden="false" customHeight="false" outlineLevel="0" collapsed="false">
      <c r="A30" s="4" t="s">
        <v>2791</v>
      </c>
      <c r="B30" s="12" t="s">
        <v>2764</v>
      </c>
      <c r="C30" s="4" t="s">
        <v>2807</v>
      </c>
      <c r="D30" s="12" t="s">
        <v>2808</v>
      </c>
      <c r="E30" s="12" t="s">
        <v>2497</v>
      </c>
      <c r="F30" s="29" t="n">
        <v>1</v>
      </c>
      <c r="G30" s="29" t="n">
        <v>3</v>
      </c>
      <c r="H30" s="19" t="n">
        <v>1000</v>
      </c>
      <c r="I30" s="23" t="n">
        <f aca="false">F30*G30*H30</f>
        <v>3000</v>
      </c>
      <c r="J30" s="12" t="s">
        <v>2809</v>
      </c>
      <c r="K30" s="12" t="s">
        <v>2810</v>
      </c>
      <c r="L30" s="12" t="s">
        <v>2796</v>
      </c>
      <c r="M30" s="4" t="s">
        <v>2811</v>
      </c>
    </row>
    <row r="31" customFormat="false" ht="23.85" hidden="false" customHeight="false" outlineLevel="0" collapsed="false">
      <c r="A31" s="4" t="s">
        <v>2791</v>
      </c>
      <c r="B31" s="12" t="s">
        <v>2765</v>
      </c>
      <c r="C31" s="4" t="s">
        <v>2792</v>
      </c>
      <c r="D31" s="12" t="s">
        <v>2793</v>
      </c>
      <c r="E31" s="12" t="s">
        <v>2484</v>
      </c>
      <c r="F31" s="29" t="n">
        <v>1</v>
      </c>
      <c r="G31" s="29" t="n">
        <v>4</v>
      </c>
      <c r="H31" s="19" t="n">
        <v>7000</v>
      </c>
      <c r="I31" s="23" t="n">
        <f aca="false">F31*G31*H31</f>
        <v>28000</v>
      </c>
      <c r="J31" s="12" t="s">
        <v>2794</v>
      </c>
      <c r="K31" s="12" t="s">
        <v>2795</v>
      </c>
      <c r="L31" s="12" t="s">
        <v>2796</v>
      </c>
      <c r="M31" s="4" t="s">
        <v>2812</v>
      </c>
    </row>
    <row r="32" customFormat="false" ht="23.85" hidden="false" customHeight="false" outlineLevel="0" collapsed="false">
      <c r="A32" s="4" t="s">
        <v>2791</v>
      </c>
      <c r="B32" s="12" t="s">
        <v>2765</v>
      </c>
      <c r="C32" s="4" t="s">
        <v>2798</v>
      </c>
      <c r="D32" s="12" t="s">
        <v>2793</v>
      </c>
      <c r="E32" s="12" t="s">
        <v>2484</v>
      </c>
      <c r="F32" s="29" t="n">
        <v>1</v>
      </c>
      <c r="G32" s="29" t="n">
        <v>4</v>
      </c>
      <c r="H32" s="19" t="n">
        <v>5500</v>
      </c>
      <c r="I32" s="23" t="n">
        <f aca="false">F32*G32*H32</f>
        <v>22000</v>
      </c>
      <c r="J32" s="12" t="s">
        <v>2794</v>
      </c>
      <c r="K32" s="12" t="s">
        <v>2799</v>
      </c>
      <c r="L32" s="12" t="s">
        <v>2796</v>
      </c>
      <c r="M32" s="4" t="s">
        <v>2813</v>
      </c>
    </row>
    <row r="33" customFormat="false" ht="23.85" hidden="false" customHeight="false" outlineLevel="0" collapsed="false">
      <c r="A33" s="4" t="s">
        <v>2791</v>
      </c>
      <c r="B33" s="12" t="s">
        <v>2765</v>
      </c>
      <c r="C33" s="4" t="s">
        <v>2801</v>
      </c>
      <c r="D33" s="12" t="s">
        <v>2793</v>
      </c>
      <c r="E33" s="12" t="s">
        <v>2484</v>
      </c>
      <c r="F33" s="29" t="n">
        <v>1</v>
      </c>
      <c r="G33" s="29" t="n">
        <v>4</v>
      </c>
      <c r="H33" s="19" t="n">
        <v>5500</v>
      </c>
      <c r="I33" s="23" t="n">
        <f aca="false">F33*G33*H33</f>
        <v>22000</v>
      </c>
      <c r="J33" s="12" t="s">
        <v>2794</v>
      </c>
      <c r="K33" s="12" t="s">
        <v>2795</v>
      </c>
      <c r="L33" s="12" t="s">
        <v>2796</v>
      </c>
      <c r="M33" s="4" t="s">
        <v>2814</v>
      </c>
    </row>
    <row r="34" customFormat="false" ht="23.85" hidden="false" customHeight="false" outlineLevel="0" collapsed="false">
      <c r="A34" s="4" t="s">
        <v>2791</v>
      </c>
      <c r="B34" s="12" t="s">
        <v>2765</v>
      </c>
      <c r="C34" s="4" t="s">
        <v>2815</v>
      </c>
      <c r="D34" s="12" t="s">
        <v>2793</v>
      </c>
      <c r="E34" s="12" t="s">
        <v>2484</v>
      </c>
      <c r="F34" s="29" t="n">
        <v>1</v>
      </c>
      <c r="G34" s="29" t="n">
        <v>4</v>
      </c>
      <c r="H34" s="19" t="n">
        <v>5000</v>
      </c>
      <c r="I34" s="23" t="n">
        <f aca="false">F34*G34*H34</f>
        <v>20000</v>
      </c>
      <c r="J34" s="12" t="s">
        <v>2794</v>
      </c>
      <c r="K34" s="12" t="s">
        <v>2805</v>
      </c>
      <c r="L34" s="12"/>
      <c r="M34" s="4" t="s">
        <v>2816</v>
      </c>
    </row>
    <row r="35" customFormat="false" ht="23.85" hidden="false" customHeight="false" outlineLevel="0" collapsed="false">
      <c r="A35" s="4" t="s">
        <v>2791</v>
      </c>
      <c r="B35" s="12" t="s">
        <v>2765</v>
      </c>
      <c r="C35" s="4" t="s">
        <v>2817</v>
      </c>
      <c r="D35" s="12" t="s">
        <v>2793</v>
      </c>
      <c r="E35" s="12" t="s">
        <v>2484</v>
      </c>
      <c r="F35" s="29" t="n">
        <v>1</v>
      </c>
      <c r="G35" s="29" t="n">
        <v>4</v>
      </c>
      <c r="H35" s="19" t="n">
        <v>3500</v>
      </c>
      <c r="I35" s="23" t="n">
        <f aca="false">F35*G35*H35</f>
        <v>14000</v>
      </c>
      <c r="J35" s="12" t="s">
        <v>2809</v>
      </c>
      <c r="K35" s="12" t="s">
        <v>2818</v>
      </c>
      <c r="L35" s="12" t="s">
        <v>2796</v>
      </c>
      <c r="M35" s="4" t="s">
        <v>2819</v>
      </c>
    </row>
    <row r="36" customFormat="false" ht="35.05" hidden="false" customHeight="false" outlineLevel="0" collapsed="false">
      <c r="A36" s="4" t="s">
        <v>2791</v>
      </c>
      <c r="B36" s="12" t="s">
        <v>2765</v>
      </c>
      <c r="C36" s="4" t="s">
        <v>2820</v>
      </c>
      <c r="D36" s="12" t="s">
        <v>2808</v>
      </c>
      <c r="E36" s="12" t="s">
        <v>2501</v>
      </c>
      <c r="F36" s="29" t="n">
        <v>9</v>
      </c>
      <c r="G36" s="29" t="n">
        <v>24</v>
      </c>
      <c r="H36" s="19" t="n">
        <v>105</v>
      </c>
      <c r="I36" s="23" t="n">
        <f aca="false">F36*G36*H36</f>
        <v>22680</v>
      </c>
      <c r="J36" s="12" t="s">
        <v>2809</v>
      </c>
      <c r="K36" s="12" t="s">
        <v>2821</v>
      </c>
      <c r="L36" s="12" t="s">
        <v>2796</v>
      </c>
      <c r="M36" s="4" t="s">
        <v>2822</v>
      </c>
    </row>
    <row r="37" customFormat="false" ht="23.85" hidden="false" customHeight="false" outlineLevel="0" collapsed="false">
      <c r="A37" s="4" t="s">
        <v>2791</v>
      </c>
      <c r="B37" s="12" t="s">
        <v>2765</v>
      </c>
      <c r="C37" s="4" t="s">
        <v>2823</v>
      </c>
      <c r="D37" s="12" t="s">
        <v>2808</v>
      </c>
      <c r="E37" s="12" t="s">
        <v>2501</v>
      </c>
      <c r="F37" s="29" t="n">
        <v>5</v>
      </c>
      <c r="G37" s="29" t="n">
        <v>16</v>
      </c>
      <c r="H37" s="19" t="n">
        <v>100</v>
      </c>
      <c r="I37" s="23" t="n">
        <f aca="false">F37*G37*H37</f>
        <v>8000</v>
      </c>
      <c r="J37" s="12" t="s">
        <v>2809</v>
      </c>
      <c r="K37" s="12" t="s">
        <v>2821</v>
      </c>
      <c r="L37" s="12" t="s">
        <v>2796</v>
      </c>
      <c r="M37" s="4" t="s">
        <v>2824</v>
      </c>
    </row>
    <row r="38" customFormat="false" ht="23.85" hidden="false" customHeight="false" outlineLevel="0" collapsed="false">
      <c r="A38" s="4" t="s">
        <v>2791</v>
      </c>
      <c r="B38" s="12" t="s">
        <v>2765</v>
      </c>
      <c r="C38" s="4" t="s">
        <v>2825</v>
      </c>
      <c r="D38" s="12" t="s">
        <v>2808</v>
      </c>
      <c r="E38" s="12" t="s">
        <v>2501</v>
      </c>
      <c r="F38" s="29" t="n">
        <v>9</v>
      </c>
      <c r="G38" s="29" t="n">
        <v>4</v>
      </c>
      <c r="H38" s="19" t="n">
        <v>130</v>
      </c>
      <c r="I38" s="23" t="n">
        <f aca="false">F38*G38*H38</f>
        <v>4680</v>
      </c>
      <c r="J38" s="12" t="s">
        <v>2794</v>
      </c>
      <c r="K38" s="12" t="s">
        <v>2821</v>
      </c>
      <c r="L38" s="12" t="s">
        <v>2796</v>
      </c>
      <c r="M38" s="4" t="s">
        <v>2826</v>
      </c>
    </row>
    <row r="39" customFormat="false" ht="23.85" hidden="false" customHeight="false" outlineLevel="0" collapsed="false">
      <c r="A39" s="4" t="s">
        <v>2791</v>
      </c>
      <c r="B39" s="12" t="s">
        <v>2765</v>
      </c>
      <c r="C39" s="4" t="s">
        <v>2827</v>
      </c>
      <c r="D39" s="12" t="s">
        <v>2808</v>
      </c>
      <c r="E39" s="12" t="s">
        <v>2497</v>
      </c>
      <c r="F39" s="29" t="n">
        <v>9</v>
      </c>
      <c r="G39" s="29" t="n">
        <v>1</v>
      </c>
      <c r="H39" s="19" t="n">
        <v>2500</v>
      </c>
      <c r="I39" s="23" t="n">
        <f aca="false">F39*G39*H39</f>
        <v>22500</v>
      </c>
      <c r="J39" s="12" t="s">
        <v>2809</v>
      </c>
      <c r="K39" s="12" t="s">
        <v>2828</v>
      </c>
      <c r="L39" s="12" t="s">
        <v>2796</v>
      </c>
      <c r="M39" s="4" t="s">
        <v>2829</v>
      </c>
    </row>
    <row r="40" customFormat="false" ht="35.05" hidden="false" customHeight="false" outlineLevel="0" collapsed="false">
      <c r="A40" s="4" t="s">
        <v>2791</v>
      </c>
      <c r="B40" s="12" t="s">
        <v>2765</v>
      </c>
      <c r="C40" s="4" t="s">
        <v>2830</v>
      </c>
      <c r="D40" s="12" t="s">
        <v>2808</v>
      </c>
      <c r="E40" s="12" t="s">
        <v>2831</v>
      </c>
      <c r="F40" s="29" t="n">
        <v>270</v>
      </c>
      <c r="G40" s="29" t="n">
        <v>1</v>
      </c>
      <c r="H40" s="19" t="n">
        <v>60</v>
      </c>
      <c r="I40" s="23" t="n">
        <f aca="false">F40*G40*H40</f>
        <v>16200</v>
      </c>
      <c r="J40" s="12" t="s">
        <v>2809</v>
      </c>
      <c r="K40" s="12" t="s">
        <v>2805</v>
      </c>
      <c r="L40" s="12"/>
      <c r="M40" s="4" t="s">
        <v>2832</v>
      </c>
    </row>
    <row r="41" customFormat="false" ht="23.85" hidden="false" customHeight="false" outlineLevel="0" collapsed="false">
      <c r="A41" s="4" t="s">
        <v>2791</v>
      </c>
      <c r="B41" s="12" t="s">
        <v>2765</v>
      </c>
      <c r="C41" s="4" t="s">
        <v>2833</v>
      </c>
      <c r="D41" s="12" t="s">
        <v>2808</v>
      </c>
      <c r="E41" s="12" t="s">
        <v>2497</v>
      </c>
      <c r="F41" s="29" t="n">
        <v>1</v>
      </c>
      <c r="G41" s="29" t="n">
        <v>8</v>
      </c>
      <c r="H41" s="19" t="n">
        <v>1500</v>
      </c>
      <c r="I41" s="23" t="n">
        <f aca="false">F41*G41*H41</f>
        <v>12000</v>
      </c>
      <c r="J41" s="12" t="s">
        <v>2809</v>
      </c>
      <c r="K41" s="12" t="s">
        <v>2834</v>
      </c>
      <c r="L41" s="12" t="s">
        <v>2796</v>
      </c>
      <c r="M41" s="4" t="s">
        <v>2835</v>
      </c>
    </row>
    <row r="42" customFormat="false" ht="23.85" hidden="false" customHeight="false" outlineLevel="0" collapsed="false">
      <c r="A42" s="4" t="s">
        <v>2791</v>
      </c>
      <c r="B42" s="12" t="s">
        <v>2765</v>
      </c>
      <c r="C42" s="4" t="s">
        <v>2836</v>
      </c>
      <c r="D42" s="12" t="s">
        <v>2808</v>
      </c>
      <c r="E42" s="12" t="s">
        <v>2497</v>
      </c>
      <c r="F42" s="29" t="n">
        <v>1</v>
      </c>
      <c r="G42" s="29" t="n">
        <v>6</v>
      </c>
      <c r="H42" s="19" t="n">
        <v>600</v>
      </c>
      <c r="I42" s="23" t="n">
        <f aca="false">F42*G42*H42</f>
        <v>3600</v>
      </c>
      <c r="J42" s="12" t="s">
        <v>2809</v>
      </c>
      <c r="K42" s="12" t="s">
        <v>2805</v>
      </c>
      <c r="L42" s="12"/>
      <c r="M42" s="4" t="s">
        <v>2837</v>
      </c>
    </row>
    <row r="43" customFormat="false" ht="23.85" hidden="false" customHeight="false" outlineLevel="0" collapsed="false">
      <c r="A43" s="4" t="s">
        <v>2791</v>
      </c>
      <c r="B43" s="12" t="s">
        <v>2765</v>
      </c>
      <c r="C43" s="4" t="s">
        <v>2838</v>
      </c>
      <c r="D43" s="12" t="s">
        <v>2793</v>
      </c>
      <c r="E43" s="12" t="s">
        <v>2484</v>
      </c>
      <c r="F43" s="29" t="n">
        <v>2</v>
      </c>
      <c r="G43" s="29" t="n">
        <v>1</v>
      </c>
      <c r="H43" s="19" t="n">
        <v>1200</v>
      </c>
      <c r="I43" s="23" t="n">
        <f aca="false">F43*G43*H43</f>
        <v>2400</v>
      </c>
      <c r="J43" s="12" t="s">
        <v>2809</v>
      </c>
      <c r="K43" s="12" t="s">
        <v>2805</v>
      </c>
      <c r="L43" s="12"/>
      <c r="M43" s="4" t="s">
        <v>2839</v>
      </c>
    </row>
    <row r="44" customFormat="false" ht="23.85" hidden="false" customHeight="false" outlineLevel="0" collapsed="false">
      <c r="A44" s="4" t="s">
        <v>2791</v>
      </c>
      <c r="B44" s="12" t="s">
        <v>2765</v>
      </c>
      <c r="C44" s="4" t="s">
        <v>2840</v>
      </c>
      <c r="D44" s="12" t="s">
        <v>2808</v>
      </c>
      <c r="E44" s="12" t="s">
        <v>2477</v>
      </c>
      <c r="F44" s="29" t="n">
        <v>270</v>
      </c>
      <c r="G44" s="29" t="n">
        <v>8</v>
      </c>
      <c r="H44" s="19" t="n">
        <v>8</v>
      </c>
      <c r="I44" s="23" t="n">
        <f aca="false">F44*G44*H44</f>
        <v>17280</v>
      </c>
      <c r="J44" s="12" t="s">
        <v>2809</v>
      </c>
      <c r="K44" s="12" t="s">
        <v>2805</v>
      </c>
      <c r="L44" s="12"/>
      <c r="M44" s="4" t="s">
        <v>2841</v>
      </c>
    </row>
    <row r="45" customFormat="false" ht="23.85" hidden="false" customHeight="false" outlineLevel="0" collapsed="false">
      <c r="A45" s="4" t="s">
        <v>2791</v>
      </c>
      <c r="B45" s="12" t="s">
        <v>2765</v>
      </c>
      <c r="C45" s="4" t="s">
        <v>2842</v>
      </c>
      <c r="D45" s="12" t="s">
        <v>2808</v>
      </c>
      <c r="E45" s="12" t="s">
        <v>2477</v>
      </c>
      <c r="F45" s="29" t="n">
        <v>270</v>
      </c>
      <c r="G45" s="29" t="n">
        <v>1</v>
      </c>
      <c r="H45" s="19" t="n">
        <v>8</v>
      </c>
      <c r="I45" s="23" t="n">
        <f aca="false">F45*G45*H45</f>
        <v>2160</v>
      </c>
      <c r="J45" s="12" t="s">
        <v>2809</v>
      </c>
      <c r="K45" s="12" t="s">
        <v>2805</v>
      </c>
      <c r="L45" s="12"/>
      <c r="M45" s="4" t="s">
        <v>2843</v>
      </c>
    </row>
    <row r="46" customFormat="false" ht="23.85" hidden="false" customHeight="false" outlineLevel="0" collapsed="false">
      <c r="A46" s="4" t="s">
        <v>2791</v>
      </c>
      <c r="B46" s="12" t="s">
        <v>2765</v>
      </c>
      <c r="C46" s="4" t="s">
        <v>2844</v>
      </c>
      <c r="D46" s="12" t="s">
        <v>2808</v>
      </c>
      <c r="E46" s="12" t="s">
        <v>2683</v>
      </c>
      <c r="F46" s="29" t="n">
        <v>1</v>
      </c>
      <c r="G46" s="29" t="n">
        <v>1</v>
      </c>
      <c r="H46" s="19" t="n">
        <v>3500</v>
      </c>
      <c r="I46" s="23" t="n">
        <f aca="false">F46*G46*H46</f>
        <v>3500</v>
      </c>
      <c r="J46" s="12" t="s">
        <v>2809</v>
      </c>
      <c r="K46" s="12" t="s">
        <v>2845</v>
      </c>
      <c r="L46" s="12" t="s">
        <v>2796</v>
      </c>
      <c r="M46" s="4" t="s">
        <v>2846</v>
      </c>
    </row>
    <row r="47" customFormat="false" ht="23.85" hidden="false" customHeight="false" outlineLevel="0" collapsed="false">
      <c r="A47" s="4" t="s">
        <v>2791</v>
      </c>
      <c r="B47" s="12" t="s">
        <v>2765</v>
      </c>
      <c r="C47" s="4" t="s">
        <v>2847</v>
      </c>
      <c r="D47" s="12" t="s">
        <v>2808</v>
      </c>
      <c r="E47" s="12" t="s">
        <v>2497</v>
      </c>
      <c r="F47" s="29" t="n">
        <v>1</v>
      </c>
      <c r="G47" s="29" t="n">
        <v>5</v>
      </c>
      <c r="H47" s="19" t="n">
        <v>900</v>
      </c>
      <c r="I47" s="23" t="n">
        <f aca="false">F47*G47*H47</f>
        <v>4500</v>
      </c>
      <c r="J47" s="12" t="s">
        <v>2809</v>
      </c>
      <c r="K47" s="12" t="s">
        <v>2848</v>
      </c>
      <c r="L47" s="12" t="s">
        <v>2796</v>
      </c>
      <c r="M47" s="4" t="s">
        <v>2849</v>
      </c>
    </row>
    <row r="48" customFormat="false" ht="23.85" hidden="false" customHeight="false" outlineLevel="0" collapsed="false">
      <c r="A48" s="4" t="s">
        <v>2791</v>
      </c>
      <c r="B48" s="12" t="s">
        <v>2765</v>
      </c>
      <c r="C48" s="4" t="s">
        <v>2850</v>
      </c>
      <c r="D48" s="12" t="s">
        <v>2808</v>
      </c>
      <c r="E48" s="12" t="s">
        <v>2497</v>
      </c>
      <c r="F48" s="29" t="n">
        <v>1</v>
      </c>
      <c r="G48" s="29" t="n">
        <v>2</v>
      </c>
      <c r="H48" s="19" t="n">
        <v>1800</v>
      </c>
      <c r="I48" s="23" t="n">
        <f aca="false">F48*G48*H48</f>
        <v>3600</v>
      </c>
      <c r="J48" s="12" t="s">
        <v>2809</v>
      </c>
      <c r="K48" s="12" t="s">
        <v>2851</v>
      </c>
      <c r="L48" s="12" t="s">
        <v>2796</v>
      </c>
      <c r="M48" s="4" t="s">
        <v>2852</v>
      </c>
    </row>
    <row r="49" customFormat="false" ht="23.85" hidden="false" customHeight="false" outlineLevel="0" collapsed="false">
      <c r="A49" s="4" t="s">
        <v>2853</v>
      </c>
      <c r="B49" s="12" t="s">
        <v>2765</v>
      </c>
      <c r="C49" s="4" t="s">
        <v>2854</v>
      </c>
      <c r="D49" s="12" t="s">
        <v>2855</v>
      </c>
      <c r="E49" s="12" t="s">
        <v>2516</v>
      </c>
      <c r="F49" s="29" t="n">
        <v>1</v>
      </c>
      <c r="G49" s="29" t="n">
        <v>1</v>
      </c>
      <c r="H49" s="19" t="n">
        <v>10000</v>
      </c>
      <c r="I49" s="23" t="n">
        <f aca="false">F49*G49*H49</f>
        <v>10000</v>
      </c>
      <c r="J49" s="12" t="s">
        <v>2794</v>
      </c>
      <c r="K49" s="12" t="s">
        <v>2805</v>
      </c>
      <c r="L49" s="12"/>
      <c r="M49" s="4" t="s">
        <v>2856</v>
      </c>
    </row>
    <row r="50" customFormat="false" ht="23.85" hidden="false" customHeight="false" outlineLevel="0" collapsed="false">
      <c r="A50" s="4" t="s">
        <v>2853</v>
      </c>
      <c r="B50" s="12" t="s">
        <v>2765</v>
      </c>
      <c r="C50" s="4" t="s">
        <v>2857</v>
      </c>
      <c r="D50" s="12" t="s">
        <v>2855</v>
      </c>
      <c r="E50" s="12" t="s">
        <v>2516</v>
      </c>
      <c r="F50" s="29" t="n">
        <v>1</v>
      </c>
      <c r="G50" s="29" t="n">
        <v>1</v>
      </c>
      <c r="H50" s="19" t="n">
        <v>8000</v>
      </c>
      <c r="I50" s="23" t="n">
        <f aca="false">F50*G50*H50</f>
        <v>8000</v>
      </c>
      <c r="J50" s="12" t="s">
        <v>2794</v>
      </c>
      <c r="K50" s="12" t="s">
        <v>2858</v>
      </c>
      <c r="L50" s="12" t="s">
        <v>2796</v>
      </c>
      <c r="M50" s="4" t="s">
        <v>2859</v>
      </c>
    </row>
    <row r="51" customFormat="false" ht="15" hidden="false" customHeight="false" outlineLevel="0" collapsed="false">
      <c r="A51" s="4" t="s">
        <v>2853</v>
      </c>
      <c r="B51" s="12" t="s">
        <v>2765</v>
      </c>
      <c r="C51" s="4" t="s">
        <v>2860</v>
      </c>
      <c r="D51" s="12" t="s">
        <v>2808</v>
      </c>
      <c r="E51" s="12" t="s">
        <v>2497</v>
      </c>
      <c r="F51" s="29" t="n">
        <v>1</v>
      </c>
      <c r="G51" s="29" t="n">
        <v>2</v>
      </c>
      <c r="H51" s="19" t="n">
        <v>3500</v>
      </c>
      <c r="I51" s="23" t="n">
        <f aca="false">F51*G51*H51</f>
        <v>7000</v>
      </c>
      <c r="J51" s="12" t="s">
        <v>2794</v>
      </c>
      <c r="K51" s="12" t="s">
        <v>2805</v>
      </c>
      <c r="L51" s="12"/>
      <c r="M51" s="4" t="s">
        <v>2861</v>
      </c>
    </row>
    <row r="52" customFormat="false" ht="15" hidden="false" customHeight="false" outlineLevel="0" collapsed="false">
      <c r="A52" s="4" t="s">
        <v>2853</v>
      </c>
      <c r="B52" s="12" t="s">
        <v>2765</v>
      </c>
      <c r="C52" s="4" t="s">
        <v>2862</v>
      </c>
      <c r="D52" s="12" t="s">
        <v>2808</v>
      </c>
      <c r="E52" s="12" t="s">
        <v>2497</v>
      </c>
      <c r="F52" s="29" t="n">
        <v>1</v>
      </c>
      <c r="G52" s="29" t="n">
        <v>2</v>
      </c>
      <c r="H52" s="19" t="n">
        <v>2500</v>
      </c>
      <c r="I52" s="23" t="n">
        <f aca="false">F52*G52*H52</f>
        <v>5000</v>
      </c>
      <c r="J52" s="12" t="s">
        <v>2794</v>
      </c>
      <c r="K52" s="12" t="s">
        <v>2863</v>
      </c>
      <c r="L52" s="12" t="s">
        <v>2796</v>
      </c>
      <c r="M52" s="4" t="s">
        <v>2864</v>
      </c>
    </row>
    <row r="53" customFormat="false" ht="23.85" hidden="false" customHeight="false" outlineLevel="0" collapsed="false">
      <c r="A53" s="4" t="s">
        <v>2853</v>
      </c>
      <c r="B53" s="12" t="s">
        <v>2765</v>
      </c>
      <c r="C53" s="4" t="s">
        <v>2865</v>
      </c>
      <c r="D53" s="12" t="s">
        <v>2808</v>
      </c>
      <c r="E53" s="12" t="s">
        <v>2497</v>
      </c>
      <c r="F53" s="29" t="n">
        <v>1</v>
      </c>
      <c r="G53" s="29" t="n">
        <v>2</v>
      </c>
      <c r="H53" s="19" t="n">
        <v>650</v>
      </c>
      <c r="I53" s="23" t="n">
        <f aca="false">F53*G53*H53</f>
        <v>1300</v>
      </c>
      <c r="J53" s="12" t="s">
        <v>2794</v>
      </c>
      <c r="K53" s="12" t="s">
        <v>2866</v>
      </c>
      <c r="L53" s="12" t="s">
        <v>2796</v>
      </c>
      <c r="M53" s="4" t="s">
        <v>2867</v>
      </c>
    </row>
    <row r="54" customFormat="false" ht="15" hidden="false" customHeight="false" outlineLevel="0" collapsed="false">
      <c r="A54" s="4" t="s">
        <v>2853</v>
      </c>
      <c r="B54" s="12" t="s">
        <v>2765</v>
      </c>
      <c r="C54" s="4" t="s">
        <v>2868</v>
      </c>
      <c r="D54" s="12" t="s">
        <v>2808</v>
      </c>
      <c r="E54" s="12" t="s">
        <v>2497</v>
      </c>
      <c r="F54" s="29" t="n">
        <v>1</v>
      </c>
      <c r="G54" s="29" t="n">
        <v>2</v>
      </c>
      <c r="H54" s="19" t="n">
        <v>700</v>
      </c>
      <c r="I54" s="23" t="n">
        <f aca="false">F54*G54*H54</f>
        <v>1400</v>
      </c>
      <c r="J54" s="12" t="s">
        <v>2794</v>
      </c>
      <c r="K54" s="12" t="s">
        <v>2866</v>
      </c>
      <c r="L54" s="12" t="s">
        <v>2796</v>
      </c>
      <c r="M54" s="4" t="s">
        <v>2867</v>
      </c>
    </row>
    <row r="55" customFormat="false" ht="15" hidden="false" customHeight="false" outlineLevel="0" collapsed="false">
      <c r="A55" s="4" t="s">
        <v>2853</v>
      </c>
      <c r="B55" s="12" t="s">
        <v>2765</v>
      </c>
      <c r="C55" s="4" t="s">
        <v>2869</v>
      </c>
      <c r="D55" s="12" t="s">
        <v>2808</v>
      </c>
      <c r="E55" s="12" t="s">
        <v>2497</v>
      </c>
      <c r="F55" s="29" t="n">
        <v>3</v>
      </c>
      <c r="G55" s="29" t="n">
        <v>2</v>
      </c>
      <c r="H55" s="19" t="n">
        <v>300</v>
      </c>
      <c r="I55" s="23" t="n">
        <f aca="false">F55*G55*H55</f>
        <v>1800</v>
      </c>
      <c r="J55" s="12" t="s">
        <v>2794</v>
      </c>
      <c r="K55" s="12" t="s">
        <v>2870</v>
      </c>
      <c r="L55" s="12" t="s">
        <v>2796</v>
      </c>
      <c r="M55" s="4" t="s">
        <v>2871</v>
      </c>
    </row>
    <row r="56" customFormat="false" ht="23.85" hidden="false" customHeight="false" outlineLevel="0" collapsed="false">
      <c r="A56" s="4" t="s">
        <v>2853</v>
      </c>
      <c r="B56" s="12" t="s">
        <v>2765</v>
      </c>
      <c r="C56" s="4" t="s">
        <v>2872</v>
      </c>
      <c r="D56" s="12" t="s">
        <v>2808</v>
      </c>
      <c r="E56" s="12" t="s">
        <v>2497</v>
      </c>
      <c r="F56" s="29" t="n">
        <v>3</v>
      </c>
      <c r="G56" s="29" t="n">
        <v>1</v>
      </c>
      <c r="H56" s="19" t="n">
        <v>2500</v>
      </c>
      <c r="I56" s="23" t="n">
        <f aca="false">F56*G56*H56</f>
        <v>7500</v>
      </c>
      <c r="J56" s="12" t="s">
        <v>2809</v>
      </c>
      <c r="K56" s="12" t="s">
        <v>2828</v>
      </c>
      <c r="L56" s="12" t="s">
        <v>2796</v>
      </c>
      <c r="M56" s="4" t="s">
        <v>2873</v>
      </c>
    </row>
    <row r="57" customFormat="false" ht="15" hidden="false" customHeight="false" outlineLevel="0" collapsed="false">
      <c r="A57" s="4" t="s">
        <v>2853</v>
      </c>
      <c r="B57" s="12" t="s">
        <v>2765</v>
      </c>
      <c r="C57" s="4" t="s">
        <v>2874</v>
      </c>
      <c r="D57" s="12" t="s">
        <v>2808</v>
      </c>
      <c r="E57" s="12" t="s">
        <v>2497</v>
      </c>
      <c r="F57" s="29" t="n">
        <v>1</v>
      </c>
      <c r="G57" s="29" t="n">
        <v>2</v>
      </c>
      <c r="H57" s="19" t="n">
        <v>300</v>
      </c>
      <c r="I57" s="23" t="n">
        <f aca="false">F57*G57*H57</f>
        <v>600</v>
      </c>
      <c r="J57" s="12" t="s">
        <v>2794</v>
      </c>
      <c r="K57" s="12" t="s">
        <v>2875</v>
      </c>
      <c r="L57" s="12" t="s">
        <v>2796</v>
      </c>
      <c r="M57" s="4" t="s">
        <v>2876</v>
      </c>
    </row>
    <row r="58" customFormat="false" ht="15" hidden="false" customHeight="false" outlineLevel="0" collapsed="false">
      <c r="A58" s="4" t="s">
        <v>2853</v>
      </c>
      <c r="B58" s="12" t="s">
        <v>2765</v>
      </c>
      <c r="C58" s="4" t="s">
        <v>2877</v>
      </c>
      <c r="D58" s="12" t="s">
        <v>2808</v>
      </c>
      <c r="E58" s="12" t="s">
        <v>2497</v>
      </c>
      <c r="F58" s="29" t="n">
        <v>1</v>
      </c>
      <c r="G58" s="29" t="n">
        <v>1</v>
      </c>
      <c r="H58" s="19" t="n">
        <v>900</v>
      </c>
      <c r="I58" s="23" t="n">
        <f aca="false">F58*G58*H58</f>
        <v>900</v>
      </c>
      <c r="J58" s="12" t="s">
        <v>2794</v>
      </c>
      <c r="K58" s="12" t="s">
        <v>2848</v>
      </c>
      <c r="L58" s="12" t="s">
        <v>2796</v>
      </c>
      <c r="M58" s="4" t="s">
        <v>2878</v>
      </c>
    </row>
    <row r="59" customFormat="false" ht="15" hidden="false" customHeight="false" outlineLevel="0" collapsed="false">
      <c r="A59" s="4" t="s">
        <v>2853</v>
      </c>
      <c r="B59" s="12" t="s">
        <v>2765</v>
      </c>
      <c r="C59" s="4" t="s">
        <v>2879</v>
      </c>
      <c r="D59" s="12" t="s">
        <v>2808</v>
      </c>
      <c r="E59" s="12" t="s">
        <v>2497</v>
      </c>
      <c r="F59" s="29" t="n">
        <v>1</v>
      </c>
      <c r="G59" s="29" t="n">
        <v>1</v>
      </c>
      <c r="H59" s="19" t="n">
        <v>1800</v>
      </c>
      <c r="I59" s="23" t="n">
        <f aca="false">F59*G59*H59</f>
        <v>1800</v>
      </c>
      <c r="J59" s="12" t="s">
        <v>2794</v>
      </c>
      <c r="K59" s="12" t="s">
        <v>2851</v>
      </c>
      <c r="L59" s="12" t="s">
        <v>2796</v>
      </c>
      <c r="M59" s="4" t="s">
        <v>2880</v>
      </c>
    </row>
    <row r="60" customFormat="false" ht="23.85" hidden="false" customHeight="false" outlineLevel="0" collapsed="false">
      <c r="A60" s="4" t="s">
        <v>2853</v>
      </c>
      <c r="B60" s="12" t="s">
        <v>2765</v>
      </c>
      <c r="C60" s="4" t="s">
        <v>2881</v>
      </c>
      <c r="D60" s="12" t="s">
        <v>2882</v>
      </c>
      <c r="E60" s="12" t="s">
        <v>2601</v>
      </c>
      <c r="F60" s="29" t="n">
        <v>1</v>
      </c>
      <c r="G60" s="29" t="n">
        <v>1</v>
      </c>
      <c r="H60" s="19" t="n">
        <v>4348</v>
      </c>
      <c r="I60" s="23" t="n">
        <f aca="false">F60*G60*H60</f>
        <v>4348</v>
      </c>
      <c r="J60" s="12" t="s">
        <v>2794</v>
      </c>
      <c r="K60" s="12" t="s">
        <v>2805</v>
      </c>
      <c r="L60" s="12"/>
      <c r="M60" s="4" t="s">
        <v>2883</v>
      </c>
    </row>
    <row r="61" customFormat="false" ht="23.85" hidden="false" customHeight="false" outlineLevel="0" collapsed="false">
      <c r="A61" s="4" t="s">
        <v>2791</v>
      </c>
      <c r="B61" s="12" t="s">
        <v>2766</v>
      </c>
      <c r="C61" s="4" t="s">
        <v>2884</v>
      </c>
      <c r="D61" s="12" t="s">
        <v>2793</v>
      </c>
      <c r="E61" s="12" t="s">
        <v>2484</v>
      </c>
      <c r="F61" s="29" t="n">
        <v>1</v>
      </c>
      <c r="G61" s="29" t="n">
        <v>1</v>
      </c>
      <c r="H61" s="19" t="n">
        <v>7000</v>
      </c>
      <c r="I61" s="23" t="n">
        <f aca="false">F61*G61*H61</f>
        <v>7000</v>
      </c>
      <c r="J61" s="12" t="s">
        <v>2794</v>
      </c>
      <c r="K61" s="12" t="s">
        <v>2795</v>
      </c>
      <c r="L61" s="12" t="s">
        <v>2796</v>
      </c>
      <c r="M61" s="4" t="s">
        <v>2885</v>
      </c>
    </row>
    <row r="62" customFormat="false" ht="23.85" hidden="false" customHeight="false" outlineLevel="0" collapsed="false">
      <c r="A62" s="4" t="s">
        <v>2791</v>
      </c>
      <c r="B62" s="12" t="s">
        <v>2766</v>
      </c>
      <c r="C62" s="4" t="s">
        <v>2886</v>
      </c>
      <c r="D62" s="12" t="s">
        <v>2793</v>
      </c>
      <c r="E62" s="12" t="s">
        <v>2484</v>
      </c>
      <c r="F62" s="29" t="n">
        <v>1</v>
      </c>
      <c r="G62" s="29" t="n">
        <v>1</v>
      </c>
      <c r="H62" s="19" t="n">
        <v>5500</v>
      </c>
      <c r="I62" s="23" t="n">
        <f aca="false">F62*G62*H62</f>
        <v>5500</v>
      </c>
      <c r="J62" s="12" t="s">
        <v>2794</v>
      </c>
      <c r="K62" s="12" t="s">
        <v>2799</v>
      </c>
      <c r="L62" s="12" t="s">
        <v>2796</v>
      </c>
      <c r="M62" s="4" t="s">
        <v>2887</v>
      </c>
    </row>
    <row r="63" customFormat="false" ht="23.85" hidden="false" customHeight="false" outlineLevel="0" collapsed="false">
      <c r="A63" s="4" t="s">
        <v>2791</v>
      </c>
      <c r="B63" s="12" t="s">
        <v>2766</v>
      </c>
      <c r="C63" s="4" t="s">
        <v>2888</v>
      </c>
      <c r="D63" s="12" t="s">
        <v>2793</v>
      </c>
      <c r="E63" s="12" t="s">
        <v>2484</v>
      </c>
      <c r="F63" s="29" t="n">
        <v>1</v>
      </c>
      <c r="G63" s="29" t="n">
        <v>1</v>
      </c>
      <c r="H63" s="19" t="n">
        <v>5500</v>
      </c>
      <c r="I63" s="23" t="n">
        <f aca="false">F63*G63*H63</f>
        <v>5500</v>
      </c>
      <c r="J63" s="12" t="s">
        <v>2794</v>
      </c>
      <c r="K63" s="12" t="s">
        <v>2795</v>
      </c>
      <c r="L63" s="12" t="s">
        <v>2796</v>
      </c>
      <c r="M63" s="4" t="s">
        <v>2889</v>
      </c>
    </row>
    <row r="64" customFormat="false" ht="23.85" hidden="false" customHeight="false" outlineLevel="0" collapsed="false">
      <c r="A64" s="4" t="s">
        <v>2791</v>
      </c>
      <c r="B64" s="12" t="s">
        <v>2766</v>
      </c>
      <c r="C64" s="4" t="s">
        <v>2890</v>
      </c>
      <c r="D64" s="12" t="s">
        <v>2804</v>
      </c>
      <c r="E64" s="12" t="s">
        <v>2597</v>
      </c>
      <c r="F64" s="29" t="n">
        <v>1</v>
      </c>
      <c r="G64" s="29" t="n">
        <v>1</v>
      </c>
      <c r="H64" s="19" t="n">
        <v>5000</v>
      </c>
      <c r="I64" s="23" t="n">
        <f aca="false">F64*G64*H64</f>
        <v>5000</v>
      </c>
      <c r="J64" s="12" t="s">
        <v>2794</v>
      </c>
      <c r="K64" s="12" t="s">
        <v>2891</v>
      </c>
      <c r="L64" s="12" t="s">
        <v>2796</v>
      </c>
      <c r="M64" s="4" t="s">
        <v>2892</v>
      </c>
    </row>
    <row r="65" customFormat="false" ht="23.85" hidden="false" customHeight="false" outlineLevel="0" collapsed="false">
      <c r="A65" s="4" t="s">
        <v>2791</v>
      </c>
      <c r="B65" s="12" t="s">
        <v>2767</v>
      </c>
      <c r="C65" s="4" t="s">
        <v>2893</v>
      </c>
      <c r="D65" s="12" t="s">
        <v>2793</v>
      </c>
      <c r="E65" s="12" t="s">
        <v>2484</v>
      </c>
      <c r="F65" s="29" t="n">
        <v>1</v>
      </c>
      <c r="G65" s="29" t="n">
        <v>7</v>
      </c>
      <c r="H65" s="19" t="n">
        <v>1500</v>
      </c>
      <c r="I65" s="23" t="n">
        <f aca="false">F65*G65*H65</f>
        <v>10500</v>
      </c>
      <c r="J65" s="12" t="s">
        <v>2794</v>
      </c>
      <c r="K65" s="12" t="s">
        <v>2894</v>
      </c>
      <c r="L65" s="12" t="s">
        <v>2796</v>
      </c>
      <c r="M65" s="4" t="s">
        <v>2895</v>
      </c>
    </row>
    <row r="66" customFormat="false" ht="23.85" hidden="false" customHeight="false" outlineLevel="0" collapsed="false">
      <c r="A66" s="4" t="s">
        <v>2791</v>
      </c>
      <c r="B66" s="12" t="s">
        <v>2767</v>
      </c>
      <c r="C66" s="4" t="s">
        <v>2896</v>
      </c>
      <c r="D66" s="12" t="s">
        <v>2793</v>
      </c>
      <c r="E66" s="12" t="s">
        <v>2484</v>
      </c>
      <c r="F66" s="29" t="n">
        <v>1</v>
      </c>
      <c r="G66" s="29" t="n">
        <v>2</v>
      </c>
      <c r="H66" s="19" t="n">
        <v>2000</v>
      </c>
      <c r="I66" s="23" t="n">
        <f aca="false">F66*G66*H66</f>
        <v>4000</v>
      </c>
      <c r="J66" s="12" t="s">
        <v>2794</v>
      </c>
      <c r="K66" s="12" t="s">
        <v>2891</v>
      </c>
      <c r="L66" s="12" t="s">
        <v>2796</v>
      </c>
      <c r="M66" s="4" t="s">
        <v>2897</v>
      </c>
    </row>
    <row r="67" customFormat="false" ht="35.05" hidden="false" customHeight="false" outlineLevel="0" collapsed="false">
      <c r="A67" s="4" t="s">
        <v>2791</v>
      </c>
      <c r="B67" s="12" t="s">
        <v>2765</v>
      </c>
      <c r="C67" s="4" t="s">
        <v>2898</v>
      </c>
      <c r="D67" s="12" t="s">
        <v>2808</v>
      </c>
      <c r="E67" s="12" t="s">
        <v>2702</v>
      </c>
      <c r="F67" s="29" t="n">
        <v>1</v>
      </c>
      <c r="G67" s="29" t="n">
        <v>50</v>
      </c>
      <c r="H67" s="19" t="n">
        <v>180</v>
      </c>
      <c r="I67" s="23" t="n">
        <f aca="false">F67*G67*H67</f>
        <v>9000</v>
      </c>
      <c r="J67" s="12" t="s">
        <v>2809</v>
      </c>
      <c r="K67" s="12" t="s">
        <v>2899</v>
      </c>
      <c r="L67" s="12" t="s">
        <v>2796</v>
      </c>
      <c r="M67" s="4" t="s">
        <v>2900</v>
      </c>
    </row>
    <row r="68" customFormat="false" ht="23.85" hidden="false" customHeight="false" outlineLevel="0" collapsed="false">
      <c r="A68" s="4" t="s">
        <v>2791</v>
      </c>
      <c r="B68" s="12" t="s">
        <v>2765</v>
      </c>
      <c r="C68" s="4" t="s">
        <v>2901</v>
      </c>
      <c r="D68" s="12" t="s">
        <v>2804</v>
      </c>
      <c r="E68" s="12" t="s">
        <v>2597</v>
      </c>
      <c r="F68" s="29" t="n">
        <v>1</v>
      </c>
      <c r="G68" s="29" t="n">
        <v>1</v>
      </c>
      <c r="H68" s="19" t="n">
        <v>3000</v>
      </c>
      <c r="I68" s="23" t="n">
        <f aca="false">F68*G68*H68</f>
        <v>3000</v>
      </c>
      <c r="J68" s="12" t="s">
        <v>2794</v>
      </c>
      <c r="K68" s="12" t="s">
        <v>2902</v>
      </c>
      <c r="L68" s="12" t="s">
        <v>2796</v>
      </c>
      <c r="M68" s="4" t="s">
        <v>2903</v>
      </c>
    </row>
    <row r="69" customFormat="false" ht="35.05" hidden="false" customHeight="false" outlineLevel="0" collapsed="false">
      <c r="A69" s="4" t="s">
        <v>2791</v>
      </c>
      <c r="B69" s="12" t="s">
        <v>2765</v>
      </c>
      <c r="C69" s="4" t="s">
        <v>2904</v>
      </c>
      <c r="D69" s="12" t="s">
        <v>2804</v>
      </c>
      <c r="E69" s="12" t="s">
        <v>2597</v>
      </c>
      <c r="F69" s="29" t="n">
        <v>1</v>
      </c>
      <c r="G69" s="29" t="n">
        <v>1</v>
      </c>
      <c r="H69" s="19" t="n">
        <v>3000</v>
      </c>
      <c r="I69" s="23" t="n">
        <f aca="false">F69*G69*H69</f>
        <v>3000</v>
      </c>
      <c r="J69" s="12" t="s">
        <v>2794</v>
      </c>
      <c r="K69" s="12" t="s">
        <v>2902</v>
      </c>
      <c r="L69" s="12" t="s">
        <v>2796</v>
      </c>
      <c r="M69" s="4" t="s">
        <v>2905</v>
      </c>
    </row>
    <row r="70" customFormat="false" ht="23.85" hidden="false" customHeight="false" outlineLevel="0" collapsed="false">
      <c r="A70" s="4" t="s">
        <v>2791</v>
      </c>
      <c r="B70" s="12" t="s">
        <v>2765</v>
      </c>
      <c r="C70" s="4" t="s">
        <v>2906</v>
      </c>
      <c r="D70" s="12" t="s">
        <v>2808</v>
      </c>
      <c r="E70" s="12" t="s">
        <v>2477</v>
      </c>
      <c r="F70" s="29" t="n">
        <v>80</v>
      </c>
      <c r="G70" s="29" t="n">
        <v>1</v>
      </c>
      <c r="H70" s="19" t="n">
        <v>25</v>
      </c>
      <c r="I70" s="23" t="n">
        <f aca="false">F70*G70*H70</f>
        <v>2000</v>
      </c>
      <c r="J70" s="12" t="s">
        <v>2809</v>
      </c>
      <c r="K70" s="12" t="s">
        <v>2805</v>
      </c>
      <c r="L70" s="12"/>
      <c r="M70" s="4" t="s">
        <v>2907</v>
      </c>
    </row>
    <row r="71" customFormat="false" ht="23.85" hidden="false" customHeight="false" outlineLevel="0" collapsed="false">
      <c r="A71" s="4" t="s">
        <v>2791</v>
      </c>
      <c r="B71" s="12" t="s">
        <v>2765</v>
      </c>
      <c r="C71" s="4" t="s">
        <v>2908</v>
      </c>
      <c r="D71" s="12" t="s">
        <v>2793</v>
      </c>
      <c r="E71" s="12" t="s">
        <v>2484</v>
      </c>
      <c r="F71" s="29" t="n">
        <v>1</v>
      </c>
      <c r="G71" s="29" t="n">
        <v>4</v>
      </c>
      <c r="H71" s="19" t="n">
        <v>3800</v>
      </c>
      <c r="I71" s="23" t="n">
        <f aca="false">F71*G71*H71</f>
        <v>15200</v>
      </c>
      <c r="J71" s="12" t="s">
        <v>2794</v>
      </c>
      <c r="K71" s="12" t="s">
        <v>2909</v>
      </c>
      <c r="L71" s="12" t="s">
        <v>2796</v>
      </c>
      <c r="M71" s="4" t="s">
        <v>2910</v>
      </c>
    </row>
    <row r="72" customFormat="false" ht="35.05" hidden="false" customHeight="false" outlineLevel="0" collapsed="false">
      <c r="A72" s="4" t="s">
        <v>2791</v>
      </c>
      <c r="B72" s="12" t="s">
        <v>2768</v>
      </c>
      <c r="C72" s="4" t="s">
        <v>2911</v>
      </c>
      <c r="D72" s="12" t="s">
        <v>2882</v>
      </c>
      <c r="E72" s="12" t="s">
        <v>2601</v>
      </c>
      <c r="F72" s="29" t="n">
        <v>1</v>
      </c>
      <c r="G72" s="29" t="n">
        <v>1</v>
      </c>
      <c r="H72" s="19" t="n">
        <v>11052</v>
      </c>
      <c r="I72" s="23" t="n">
        <f aca="false">F72*G72*H72</f>
        <v>11052</v>
      </c>
      <c r="J72" s="12" t="s">
        <v>2794</v>
      </c>
      <c r="K72" s="12" t="s">
        <v>2805</v>
      </c>
      <c r="L72" s="12"/>
      <c r="M72" s="4" t="s">
        <v>2912</v>
      </c>
    </row>
    <row r="73" customFormat="false" ht="15" hidden="false" customHeight="false" outlineLevel="0" collapsed="false">
      <c r="H73" s="10" t="s">
        <v>134</v>
      </c>
      <c r="I73" s="11" t="n">
        <f aca="false">SUM(I26:I72)</f>
        <v>393500</v>
      </c>
    </row>
    <row r="75" customFormat="false" ht="15" hidden="false" customHeight="false" outlineLevel="0" collapsed="false">
      <c r="A75" s="22" t="s">
        <v>2913</v>
      </c>
    </row>
    <row r="76" customFormat="false" ht="23.85" hidden="false" customHeight="false" outlineLevel="0" collapsed="false">
      <c r="A76" s="3" t="s">
        <v>2914</v>
      </c>
      <c r="B76" s="3" t="s">
        <v>2915</v>
      </c>
      <c r="C76" s="3" t="s">
        <v>2780</v>
      </c>
      <c r="D76" s="3" t="s">
        <v>2781</v>
      </c>
      <c r="E76" s="3" t="s">
        <v>2782</v>
      </c>
      <c r="F76" s="3" t="s">
        <v>2783</v>
      </c>
      <c r="G76" s="3" t="s">
        <v>2784</v>
      </c>
      <c r="H76" s="3" t="s">
        <v>2785</v>
      </c>
      <c r="I76" s="3" t="s">
        <v>2786</v>
      </c>
      <c r="J76" s="3" t="s">
        <v>1393</v>
      </c>
      <c r="K76" s="3" t="s">
        <v>2916</v>
      </c>
      <c r="L76" s="3" t="s">
        <v>2789</v>
      </c>
      <c r="M76" s="3" t="s">
        <v>368</v>
      </c>
    </row>
    <row r="77" customFormat="false" ht="23.85" hidden="false" customHeight="false" outlineLevel="0" collapsed="false">
      <c r="A77" s="4" t="s">
        <v>2917</v>
      </c>
      <c r="B77" s="12" t="s">
        <v>2918</v>
      </c>
      <c r="C77" s="4" t="s">
        <v>2919</v>
      </c>
      <c r="D77" s="12" t="s">
        <v>2804</v>
      </c>
      <c r="E77" s="12" t="s">
        <v>2597</v>
      </c>
      <c r="F77" s="30" t="n">
        <v>1</v>
      </c>
      <c r="G77" s="30" t="n">
        <v>1</v>
      </c>
      <c r="H77" s="19" t="n">
        <v>12000</v>
      </c>
      <c r="I77" s="23" t="n">
        <f aca="false">F77*G77*H77</f>
        <v>12000</v>
      </c>
      <c r="J77" s="12" t="s">
        <v>2794</v>
      </c>
      <c r="K77" s="12" t="s">
        <v>2920</v>
      </c>
      <c r="L77" s="12" t="s">
        <v>2796</v>
      </c>
      <c r="M77" s="4" t="s">
        <v>2921</v>
      </c>
    </row>
    <row r="78" customFormat="false" ht="23.85" hidden="false" customHeight="false" outlineLevel="0" collapsed="false">
      <c r="A78" s="4" t="s">
        <v>2917</v>
      </c>
      <c r="B78" s="12" t="s">
        <v>2918</v>
      </c>
      <c r="C78" s="4" t="s">
        <v>2922</v>
      </c>
      <c r="D78" s="12" t="s">
        <v>2804</v>
      </c>
      <c r="E78" s="12" t="s">
        <v>2597</v>
      </c>
      <c r="F78" s="30" t="n">
        <v>1</v>
      </c>
      <c r="G78" s="30" t="n">
        <v>1</v>
      </c>
      <c r="H78" s="19" t="n">
        <v>7000</v>
      </c>
      <c r="I78" s="23" t="n">
        <f aca="false">F78*G78*H78</f>
        <v>7000</v>
      </c>
      <c r="J78" s="12" t="s">
        <v>2794</v>
      </c>
      <c r="K78" s="12" t="s">
        <v>2805</v>
      </c>
      <c r="L78" s="12"/>
      <c r="M78" s="4" t="s">
        <v>2923</v>
      </c>
    </row>
    <row r="79" customFormat="false" ht="23.85" hidden="false" customHeight="false" outlineLevel="0" collapsed="false">
      <c r="A79" s="4" t="s">
        <v>2917</v>
      </c>
      <c r="B79" s="12" t="s">
        <v>2918</v>
      </c>
      <c r="C79" s="4" t="s">
        <v>2924</v>
      </c>
      <c r="D79" s="12" t="s">
        <v>2793</v>
      </c>
      <c r="E79" s="12" t="s">
        <v>2484</v>
      </c>
      <c r="F79" s="30" t="n">
        <v>1</v>
      </c>
      <c r="G79" s="30" t="n">
        <v>3</v>
      </c>
      <c r="H79" s="19" t="n">
        <v>3500</v>
      </c>
      <c r="I79" s="23" t="n">
        <f aca="false">F79*G79*H79</f>
        <v>10500</v>
      </c>
      <c r="J79" s="12" t="s">
        <v>2794</v>
      </c>
      <c r="K79" s="12" t="s">
        <v>2805</v>
      </c>
      <c r="L79" s="12"/>
      <c r="M79" s="4" t="s">
        <v>2925</v>
      </c>
    </row>
    <row r="80" customFormat="false" ht="23.85" hidden="false" customHeight="false" outlineLevel="0" collapsed="false">
      <c r="A80" s="4" t="s">
        <v>2917</v>
      </c>
      <c r="B80" s="12" t="s">
        <v>2918</v>
      </c>
      <c r="C80" s="4" t="s">
        <v>2926</v>
      </c>
      <c r="D80" s="12" t="s">
        <v>2793</v>
      </c>
      <c r="E80" s="12" t="s">
        <v>2484</v>
      </c>
      <c r="F80" s="30" t="n">
        <v>1</v>
      </c>
      <c r="G80" s="30" t="n">
        <v>8</v>
      </c>
      <c r="H80" s="19" t="n">
        <v>80</v>
      </c>
      <c r="I80" s="23" t="n">
        <f aca="false">F80*G80*H80</f>
        <v>640</v>
      </c>
      <c r="J80" s="12" t="s">
        <v>2794</v>
      </c>
      <c r="K80" s="12" t="s">
        <v>2805</v>
      </c>
      <c r="L80" s="12"/>
      <c r="M80" s="4" t="s">
        <v>2927</v>
      </c>
    </row>
    <row r="81" customFormat="false" ht="23.85" hidden="false" customHeight="false" outlineLevel="0" collapsed="false">
      <c r="A81" s="4" t="s">
        <v>2917</v>
      </c>
      <c r="B81" s="12" t="s">
        <v>2918</v>
      </c>
      <c r="C81" s="4" t="s">
        <v>2928</v>
      </c>
      <c r="D81" s="12" t="s">
        <v>2882</v>
      </c>
      <c r="E81" s="12" t="s">
        <v>2601</v>
      </c>
      <c r="F81" s="30" t="n">
        <v>1</v>
      </c>
      <c r="G81" s="30" t="n">
        <v>1</v>
      </c>
      <c r="H81" s="19" t="n">
        <v>1200</v>
      </c>
      <c r="I81" s="23" t="n">
        <f aca="false">F81*G81*H81</f>
        <v>1200</v>
      </c>
      <c r="J81" s="12" t="s">
        <v>2794</v>
      </c>
      <c r="K81" s="12" t="s">
        <v>2805</v>
      </c>
      <c r="L81" s="12"/>
      <c r="M81" s="4" t="s">
        <v>2929</v>
      </c>
    </row>
    <row r="82" customFormat="false" ht="35.05" hidden="false" customHeight="false" outlineLevel="0" collapsed="false">
      <c r="A82" s="4" t="s">
        <v>2917</v>
      </c>
      <c r="B82" s="12" t="s">
        <v>2930</v>
      </c>
      <c r="C82" s="4" t="s">
        <v>2931</v>
      </c>
      <c r="D82" s="12" t="s">
        <v>2793</v>
      </c>
      <c r="E82" s="12" t="s">
        <v>2484</v>
      </c>
      <c r="F82" s="30" t="n">
        <v>1</v>
      </c>
      <c r="G82" s="30" t="n">
        <v>4</v>
      </c>
      <c r="H82" s="19" t="n">
        <v>3500</v>
      </c>
      <c r="I82" s="23" t="n">
        <f aca="false">F82*G82*H82</f>
        <v>14000</v>
      </c>
      <c r="J82" s="12" t="s">
        <v>2794</v>
      </c>
      <c r="K82" s="12" t="s">
        <v>2805</v>
      </c>
      <c r="L82" s="12"/>
      <c r="M82" s="4" t="s">
        <v>2932</v>
      </c>
    </row>
    <row r="83" customFormat="false" ht="23.85" hidden="false" customHeight="false" outlineLevel="0" collapsed="false">
      <c r="A83" s="4" t="s">
        <v>2917</v>
      </c>
      <c r="B83" s="12" t="s">
        <v>2930</v>
      </c>
      <c r="C83" s="4" t="s">
        <v>2933</v>
      </c>
      <c r="D83" s="12" t="s">
        <v>2808</v>
      </c>
      <c r="E83" s="12" t="s">
        <v>2497</v>
      </c>
      <c r="F83" s="30" t="n">
        <v>3</v>
      </c>
      <c r="G83" s="30" t="n">
        <v>1</v>
      </c>
      <c r="H83" s="19" t="n">
        <v>250</v>
      </c>
      <c r="I83" s="23" t="n">
        <f aca="false">F83*G83*H83</f>
        <v>750</v>
      </c>
      <c r="J83" s="12" t="s">
        <v>2794</v>
      </c>
      <c r="K83" s="12" t="s">
        <v>2934</v>
      </c>
      <c r="L83" s="12" t="s">
        <v>2796</v>
      </c>
      <c r="M83" s="4" t="s">
        <v>2935</v>
      </c>
    </row>
    <row r="84" customFormat="false" ht="23.85" hidden="false" customHeight="false" outlineLevel="0" collapsed="false">
      <c r="A84" s="4" t="s">
        <v>2917</v>
      </c>
      <c r="B84" s="12" t="s">
        <v>2930</v>
      </c>
      <c r="C84" s="4" t="s">
        <v>2936</v>
      </c>
      <c r="D84" s="12" t="s">
        <v>2804</v>
      </c>
      <c r="E84" s="12" t="s">
        <v>2597</v>
      </c>
      <c r="F84" s="30" t="n">
        <v>1</v>
      </c>
      <c r="G84" s="30" t="n">
        <v>1</v>
      </c>
      <c r="H84" s="19" t="n">
        <v>6000</v>
      </c>
      <c r="I84" s="23" t="n">
        <f aca="false">F84*G84*H84</f>
        <v>6000</v>
      </c>
      <c r="J84" s="12" t="s">
        <v>2794</v>
      </c>
      <c r="K84" s="12" t="s">
        <v>2937</v>
      </c>
      <c r="L84" s="12" t="s">
        <v>2796</v>
      </c>
      <c r="M84" s="4" t="s">
        <v>2938</v>
      </c>
    </row>
    <row r="85" customFormat="false" ht="23.85" hidden="false" customHeight="false" outlineLevel="0" collapsed="false">
      <c r="A85" s="4" t="s">
        <v>2917</v>
      </c>
      <c r="B85" s="12" t="s">
        <v>2930</v>
      </c>
      <c r="C85" s="4" t="s">
        <v>2651</v>
      </c>
      <c r="D85" s="12" t="s">
        <v>2793</v>
      </c>
      <c r="E85" s="12" t="s">
        <v>2484</v>
      </c>
      <c r="F85" s="30" t="n">
        <v>1</v>
      </c>
      <c r="G85" s="30" t="n">
        <v>1</v>
      </c>
      <c r="H85" s="19" t="n">
        <v>4500</v>
      </c>
      <c r="I85" s="23" t="n">
        <f aca="false">F85*G85*H85</f>
        <v>4500</v>
      </c>
      <c r="J85" s="12" t="s">
        <v>2794</v>
      </c>
      <c r="K85" s="12" t="s">
        <v>2939</v>
      </c>
      <c r="L85" s="12" t="s">
        <v>2796</v>
      </c>
      <c r="M85" s="4" t="s">
        <v>2940</v>
      </c>
    </row>
    <row r="86" customFormat="false" ht="23.85" hidden="false" customHeight="false" outlineLevel="0" collapsed="false">
      <c r="A86" s="4" t="s">
        <v>2917</v>
      </c>
      <c r="B86" s="12" t="s">
        <v>2930</v>
      </c>
      <c r="C86" s="4" t="s">
        <v>2941</v>
      </c>
      <c r="D86" s="12" t="s">
        <v>2882</v>
      </c>
      <c r="E86" s="12" t="s">
        <v>2601</v>
      </c>
      <c r="F86" s="30" t="n">
        <v>1</v>
      </c>
      <c r="G86" s="30" t="n">
        <v>1</v>
      </c>
      <c r="H86" s="19" t="n">
        <v>4000</v>
      </c>
      <c r="I86" s="23" t="n">
        <f aca="false">F86*G86*H86</f>
        <v>4000</v>
      </c>
      <c r="J86" s="12" t="s">
        <v>2794</v>
      </c>
      <c r="K86" s="12" t="s">
        <v>2942</v>
      </c>
      <c r="L86" s="12" t="s">
        <v>2796</v>
      </c>
      <c r="M86" s="4" t="s">
        <v>2943</v>
      </c>
    </row>
    <row r="87" customFormat="false" ht="23.85" hidden="false" customHeight="false" outlineLevel="0" collapsed="false">
      <c r="A87" s="4" t="s">
        <v>2917</v>
      </c>
      <c r="B87" s="12" t="s">
        <v>2930</v>
      </c>
      <c r="C87" s="4" t="s">
        <v>2944</v>
      </c>
      <c r="D87" s="12" t="s">
        <v>2808</v>
      </c>
      <c r="E87" s="12" t="s">
        <v>2477</v>
      </c>
      <c r="F87" s="30" t="n">
        <v>400</v>
      </c>
      <c r="G87" s="30" t="n">
        <v>1</v>
      </c>
      <c r="H87" s="19" t="n">
        <v>2.5</v>
      </c>
      <c r="I87" s="23" t="n">
        <f aca="false">F87*G87*H87</f>
        <v>1000</v>
      </c>
      <c r="J87" s="12" t="s">
        <v>2809</v>
      </c>
      <c r="K87" s="12" t="s">
        <v>2805</v>
      </c>
      <c r="L87" s="12"/>
      <c r="M87" s="4" t="s">
        <v>2945</v>
      </c>
    </row>
    <row r="88" customFormat="false" ht="23.85" hidden="false" customHeight="false" outlineLevel="0" collapsed="false">
      <c r="A88" s="4" t="s">
        <v>2917</v>
      </c>
      <c r="B88" s="12" t="s">
        <v>2930</v>
      </c>
      <c r="C88" s="4" t="s">
        <v>2946</v>
      </c>
      <c r="D88" s="12" t="s">
        <v>2808</v>
      </c>
      <c r="E88" s="12" t="s">
        <v>2661</v>
      </c>
      <c r="F88" s="30" t="n">
        <v>4</v>
      </c>
      <c r="G88" s="30" t="n">
        <v>1</v>
      </c>
      <c r="H88" s="19" t="n">
        <v>450</v>
      </c>
      <c r="I88" s="23" t="n">
        <f aca="false">F88*G88*H88</f>
        <v>1800</v>
      </c>
      <c r="J88" s="12" t="s">
        <v>2809</v>
      </c>
      <c r="K88" s="12" t="s">
        <v>2805</v>
      </c>
      <c r="L88" s="12"/>
      <c r="M88" s="4" t="s">
        <v>2947</v>
      </c>
    </row>
    <row r="89" customFormat="false" ht="23.85" hidden="false" customHeight="false" outlineLevel="0" collapsed="false">
      <c r="A89" s="4" t="s">
        <v>2917</v>
      </c>
      <c r="B89" s="12" t="s">
        <v>2930</v>
      </c>
      <c r="C89" s="4" t="s">
        <v>2948</v>
      </c>
      <c r="D89" s="12" t="s">
        <v>2808</v>
      </c>
      <c r="E89" s="12" t="s">
        <v>2528</v>
      </c>
      <c r="F89" s="30" t="n">
        <v>16</v>
      </c>
      <c r="G89" s="30" t="n">
        <v>1</v>
      </c>
      <c r="H89" s="19" t="n">
        <v>65</v>
      </c>
      <c r="I89" s="23" t="n">
        <f aca="false">F89*G89*H89</f>
        <v>1040</v>
      </c>
      <c r="J89" s="12" t="s">
        <v>2809</v>
      </c>
      <c r="K89" s="12" t="s">
        <v>2949</v>
      </c>
      <c r="L89" s="12" t="s">
        <v>2950</v>
      </c>
      <c r="M89" s="4" t="s">
        <v>2951</v>
      </c>
    </row>
    <row r="91" customFormat="false" ht="15" hidden="false" customHeight="false" outlineLevel="0" collapsed="false">
      <c r="A91" s="10" t="s">
        <v>2952</v>
      </c>
      <c r="B91" s="23" t="n">
        <f aca="false">SUMIFS($I$77:$I$89,$B$77:$B$89,"Custos de administração")</f>
        <v>31340</v>
      </c>
      <c r="C91" s="13" t="n">
        <f aca="false">B17</f>
        <v>31480</v>
      </c>
      <c r="D91" s="23" t="n">
        <f aca="false">C91-B91</f>
        <v>140</v>
      </c>
      <c r="E91" s="12" t="str">
        <f aca="false">IF(D91&gt;=0,"OK","EXCEDE")</f>
        <v>OK</v>
      </c>
    </row>
    <row r="92" customFormat="false" ht="15" hidden="false" customHeight="false" outlineLevel="0" collapsed="false">
      <c r="A92" s="10" t="s">
        <v>2953</v>
      </c>
      <c r="B92" s="23" t="n">
        <f aca="false">SUMIFS($I$77:$I$89,$B$77:$B$89,"Custos de acessibilidade, comunicação e divulgação")</f>
        <v>33090</v>
      </c>
      <c r="C92" s="13" t="n">
        <f aca="false">B18</f>
        <v>35415</v>
      </c>
      <c r="D92" s="23" t="n">
        <f aca="false">C92-B92</f>
        <v>2325</v>
      </c>
      <c r="E92" s="12" t="str">
        <f aca="false">IF(D92&gt;=0,"OK","EXCEDE")</f>
        <v>OK</v>
      </c>
    </row>
    <row r="93" customFormat="false" ht="15" hidden="false" customHeight="false" outlineLevel="0" collapsed="false">
      <c r="A93" s="14" t="s">
        <v>2954</v>
      </c>
    </row>
    <row r="95" customFormat="false" ht="15" hidden="false" customHeight="false" outlineLevel="0" collapsed="false">
      <c r="A95" s="22" t="s">
        <v>2955</v>
      </c>
    </row>
    <row r="96" customFormat="false" ht="30" hidden="false" customHeight="true" outlineLevel="0" collapsed="false">
      <c r="A96" s="21" t="s">
        <v>2956</v>
      </c>
      <c r="B96" s="21"/>
      <c r="C96" s="21"/>
      <c r="D96" s="21"/>
      <c r="E96" s="21"/>
      <c r="F96" s="21"/>
      <c r="G96" s="21"/>
      <c r="H96" s="21"/>
      <c r="I96" s="21"/>
      <c r="J96" s="21"/>
      <c r="K96" s="21"/>
      <c r="L96" s="21"/>
      <c r="M96" s="21"/>
    </row>
    <row r="97" customFormat="false" ht="30" hidden="false" customHeight="true" outlineLevel="0" collapsed="false">
      <c r="A97" s="21" t="s">
        <v>2957</v>
      </c>
      <c r="B97" s="21"/>
      <c r="C97" s="21"/>
      <c r="D97" s="21"/>
      <c r="E97" s="21"/>
      <c r="F97" s="21"/>
      <c r="G97" s="21"/>
      <c r="H97" s="21"/>
      <c r="I97" s="21"/>
      <c r="J97" s="21"/>
      <c r="K97" s="21"/>
      <c r="L97" s="21"/>
      <c r="M97" s="21"/>
    </row>
    <row r="98" customFormat="false" ht="30" hidden="false" customHeight="true" outlineLevel="0" collapsed="false">
      <c r="A98" s="21" t="s">
        <v>2958</v>
      </c>
      <c r="B98" s="21"/>
      <c r="C98" s="21"/>
      <c r="D98" s="21"/>
      <c r="E98" s="21"/>
      <c r="F98" s="21"/>
      <c r="G98" s="21"/>
      <c r="H98" s="21"/>
      <c r="I98" s="21"/>
      <c r="J98" s="21"/>
      <c r="K98" s="21"/>
      <c r="L98" s="21"/>
      <c r="M98" s="21"/>
    </row>
    <row r="99" customFormat="false" ht="30" hidden="false" customHeight="true" outlineLevel="0" collapsed="false">
      <c r="A99" s="21" t="s">
        <v>2959</v>
      </c>
      <c r="B99" s="21"/>
      <c r="C99" s="21"/>
      <c r="D99" s="21"/>
      <c r="E99" s="21"/>
      <c r="F99" s="21"/>
      <c r="G99" s="21"/>
      <c r="H99" s="21"/>
      <c r="I99" s="21"/>
      <c r="J99" s="21"/>
      <c r="K99" s="21"/>
      <c r="L99" s="21"/>
      <c r="M99" s="21"/>
    </row>
    <row r="100" customFormat="false" ht="30" hidden="false" customHeight="true" outlineLevel="0" collapsed="false">
      <c r="A100" s="21" t="s">
        <v>2960</v>
      </c>
      <c r="B100" s="21"/>
      <c r="C100" s="21"/>
      <c r="D100" s="21"/>
      <c r="E100" s="21"/>
      <c r="F100" s="21"/>
      <c r="G100" s="21"/>
      <c r="H100" s="21"/>
      <c r="I100" s="21"/>
      <c r="J100" s="21"/>
      <c r="K100" s="21"/>
      <c r="L100" s="21"/>
      <c r="M100" s="21"/>
    </row>
    <row r="101" customFormat="false" ht="30" hidden="false" customHeight="true" outlineLevel="0" collapsed="false">
      <c r="A101" s="21" t="s">
        <v>2961</v>
      </c>
      <c r="B101" s="21"/>
      <c r="C101" s="21"/>
      <c r="D101" s="21"/>
      <c r="E101" s="21"/>
      <c r="F101" s="21"/>
      <c r="G101" s="21"/>
      <c r="H101" s="21"/>
      <c r="I101" s="21"/>
      <c r="J101" s="21"/>
      <c r="K101" s="21"/>
      <c r="L101" s="21"/>
      <c r="M101" s="21"/>
    </row>
    <row r="102" customFormat="false" ht="30" hidden="false" customHeight="true" outlineLevel="0" collapsed="false">
      <c r="A102" s="21" t="s">
        <v>2962</v>
      </c>
      <c r="B102" s="21"/>
      <c r="C102" s="21"/>
      <c r="D102" s="21"/>
      <c r="E102" s="21"/>
      <c r="F102" s="21"/>
      <c r="G102" s="21"/>
      <c r="H102" s="21"/>
      <c r="I102" s="21"/>
      <c r="J102" s="21"/>
      <c r="K102" s="21"/>
      <c r="L102" s="21"/>
      <c r="M102" s="21"/>
    </row>
    <row r="103" customFormat="false" ht="15" hidden="false" customHeight="true" outlineLevel="0" collapsed="false">
      <c r="A103" s="21" t="s">
        <v>2963</v>
      </c>
      <c r="B103" s="21"/>
      <c r="C103" s="21"/>
      <c r="D103" s="21"/>
      <c r="E103" s="21"/>
      <c r="F103" s="21"/>
      <c r="G103" s="21"/>
      <c r="H103" s="21"/>
      <c r="I103" s="21"/>
      <c r="J103" s="21"/>
      <c r="K103" s="21"/>
      <c r="L103" s="21"/>
      <c r="M103" s="21"/>
    </row>
    <row r="105" customFormat="false" ht="15" hidden="false" customHeight="false" outlineLevel="0" collapsed="false">
      <c r="A105" s="22" t="s">
        <v>2964</v>
      </c>
      <c r="B105" s="19" t="n">
        <v>100000</v>
      </c>
    </row>
    <row r="106" customFormat="false" ht="75" hidden="false" customHeight="true" outlineLevel="0" collapsed="false">
      <c r="A106" s="21" t="s">
        <v>2965</v>
      </c>
      <c r="B106" s="21"/>
      <c r="C106" s="21"/>
      <c r="D106" s="21"/>
      <c r="E106" s="21"/>
      <c r="F106" s="21"/>
      <c r="G106" s="21"/>
      <c r="H106" s="21"/>
      <c r="I106" s="21"/>
      <c r="J106" s="21"/>
      <c r="K106" s="21"/>
      <c r="L106" s="21"/>
      <c r="M106" s="21"/>
    </row>
  </sheetData>
  <mergeCells count="14">
    <mergeCell ref="B2:M2"/>
    <mergeCell ref="B3:M3"/>
    <mergeCell ref="B4:M4"/>
    <mergeCell ref="B5:M5"/>
    <mergeCell ref="B6:M6"/>
    <mergeCell ref="A96:M96"/>
    <mergeCell ref="A97:M97"/>
    <mergeCell ref="A98:M98"/>
    <mergeCell ref="A99:M99"/>
    <mergeCell ref="A100:M100"/>
    <mergeCell ref="A101:M101"/>
    <mergeCell ref="A102:M102"/>
    <mergeCell ref="A103:M103"/>
    <mergeCell ref="A106:M106"/>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2">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7:L89">
    <cfRule type="expression" priority="11" aboveAverage="0" equalAverage="0" bottom="0" percent="0" rank="0" text="" dxfId="2">
      <formula>LEFT(L77,5)="ACIMA"</formula>
    </cfRule>
  </conditionalFormatting>
  <conditionalFormatting sqref="E91:E92">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2966</v>
      </c>
    </row>
    <row r="2" customFormat="false" ht="30" hidden="false" customHeight="true" outlineLevel="0" collapsed="false">
      <c r="A2" s="22" t="s">
        <v>2748</v>
      </c>
      <c r="B2" s="21" t="s">
        <v>2967</v>
      </c>
      <c r="C2" s="21"/>
      <c r="D2" s="21"/>
      <c r="E2" s="21"/>
      <c r="F2" s="21"/>
      <c r="G2" s="21"/>
      <c r="H2" s="21"/>
      <c r="I2" s="21"/>
      <c r="J2" s="21"/>
      <c r="K2" s="21"/>
      <c r="L2" s="21"/>
      <c r="M2" s="21"/>
    </row>
    <row r="3" customFormat="false" ht="30" hidden="false" customHeight="true" outlineLevel="0" collapsed="false">
      <c r="A3" s="22" t="s">
        <v>2750</v>
      </c>
      <c r="B3" s="21" t="s">
        <v>2968</v>
      </c>
      <c r="C3" s="21"/>
      <c r="D3" s="21"/>
      <c r="E3" s="21"/>
      <c r="F3" s="21"/>
      <c r="G3" s="21"/>
      <c r="H3" s="21"/>
      <c r="I3" s="21"/>
      <c r="J3" s="21"/>
      <c r="K3" s="21"/>
      <c r="L3" s="21"/>
      <c r="M3" s="21"/>
    </row>
    <row r="4" customFormat="false" ht="30" hidden="false" customHeight="true" outlineLevel="0" collapsed="false">
      <c r="A4" s="22" t="s">
        <v>2752</v>
      </c>
      <c r="B4" s="21" t="s">
        <v>2969</v>
      </c>
      <c r="C4" s="21"/>
      <c r="D4" s="21"/>
      <c r="E4" s="21"/>
      <c r="F4" s="21"/>
      <c r="G4" s="21"/>
      <c r="H4" s="21"/>
      <c r="I4" s="21"/>
      <c r="J4" s="21"/>
      <c r="K4" s="21"/>
      <c r="L4" s="21"/>
      <c r="M4" s="21"/>
    </row>
    <row r="5" customFormat="false" ht="30" hidden="false" customHeight="true" outlineLevel="0" collapsed="false">
      <c r="A5" s="22" t="s">
        <v>2754</v>
      </c>
      <c r="B5" s="21" t="s">
        <v>2970</v>
      </c>
      <c r="C5" s="21"/>
      <c r="D5" s="21"/>
      <c r="E5" s="21"/>
      <c r="F5" s="21"/>
      <c r="G5" s="21"/>
      <c r="H5" s="21"/>
      <c r="I5" s="21"/>
      <c r="J5" s="21"/>
      <c r="K5" s="21"/>
      <c r="L5" s="21"/>
      <c r="M5" s="21"/>
    </row>
    <row r="6" customFormat="false" ht="30" hidden="false" customHeight="true" outlineLevel="0" collapsed="false">
      <c r="A6" s="22" t="s">
        <v>2756</v>
      </c>
      <c r="B6" s="21" t="s">
        <v>2971</v>
      </c>
      <c r="C6" s="21"/>
      <c r="D6" s="21"/>
      <c r="E6" s="21"/>
      <c r="F6" s="21"/>
      <c r="G6" s="21"/>
      <c r="H6" s="21"/>
      <c r="I6" s="21"/>
      <c r="J6" s="21"/>
      <c r="K6" s="21"/>
      <c r="L6" s="21"/>
      <c r="M6" s="21"/>
    </row>
    <row r="7" customFormat="false" ht="15" hidden="false" customHeight="false" outlineLevel="0" collapsed="false">
      <c r="A7" s="22" t="s">
        <v>2758</v>
      </c>
      <c r="B7" s="19" t="n">
        <v>400000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SUMIFS($I$26:$I$65,$B$26:$B$65,A11)</f>
        <v>30700</v>
      </c>
      <c r="C11" s="24" t="n">
        <f aca="false">IF($B$16=0,0,B11/$B$16)</f>
        <v>0.0990083044424736</v>
      </c>
    </row>
    <row r="12" customFormat="false" ht="15" hidden="false" customHeight="false" outlineLevel="0" collapsed="false">
      <c r="A12" s="12" t="s">
        <v>2765</v>
      </c>
      <c r="B12" s="23" t="n">
        <f aca="false">SUMIFS($I$26:$I$65,$B$26:$B$65,A12)</f>
        <v>230555</v>
      </c>
      <c r="C12" s="24" t="n">
        <f aca="false">IF($B$16=0,0,B12/$B$16)</f>
        <v>0.74354591631057</v>
      </c>
    </row>
    <row r="13" customFormat="false" ht="15" hidden="false" customHeight="false" outlineLevel="0" collapsed="false">
      <c r="A13" s="12" t="s">
        <v>2766</v>
      </c>
      <c r="B13" s="23" t="n">
        <f aca="false">SUMIFS($I$26:$I$65,$B$26:$B$65,A13)</f>
        <v>14500</v>
      </c>
      <c r="C13" s="24" t="n">
        <f aca="false">IF($B$16=0,0,B13/$B$16)</f>
        <v>0.0467628799483996</v>
      </c>
    </row>
    <row r="14" customFormat="false" ht="15" hidden="false" customHeight="false" outlineLevel="0" collapsed="false">
      <c r="A14" s="12" t="s">
        <v>2767</v>
      </c>
      <c r="B14" s="23" t="n">
        <f aca="false">SUMIFS($I$26:$I$65,$B$26:$B$65,A14)</f>
        <v>13600</v>
      </c>
      <c r="C14" s="24" t="n">
        <f aca="false">IF($B$16=0,0,B14/$B$16)</f>
        <v>0.0438603563653955</v>
      </c>
    </row>
    <row r="15" customFormat="false" ht="15" hidden="false" customHeight="false" outlineLevel="0" collapsed="false">
      <c r="A15" s="12" t="s">
        <v>2768</v>
      </c>
      <c r="B15" s="23" t="n">
        <f aca="false">SUMIFS($I$26:$I$65,$B$26:$B$65,A15)</f>
        <v>20720</v>
      </c>
      <c r="C15" s="24" t="n">
        <f aca="false">IF($B$16=0,0,B15/$B$16)</f>
        <v>0.0668225429331613</v>
      </c>
    </row>
    <row r="16" customFormat="false" ht="15" hidden="false" customHeight="false" outlineLevel="0" collapsed="false">
      <c r="A16" s="25" t="s">
        <v>2769</v>
      </c>
      <c r="B16" s="26" t="n">
        <f aca="false">SUM(B11:B15)</f>
        <v>310075</v>
      </c>
    </row>
    <row r="17" customFormat="false" ht="23.85" hidden="false" customHeight="false" outlineLevel="0" collapsed="false">
      <c r="A17" s="4" t="s">
        <v>2770</v>
      </c>
      <c r="B17" s="23" t="n">
        <f aca="false">$B$16*C17</f>
        <v>24806</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34108.25</v>
      </c>
      <c r="C18" s="27" t="n">
        <v>0.11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31007.5</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399996.75</v>
      </c>
    </row>
    <row r="21" customFormat="false" ht="15" hidden="false" customHeight="false" outlineLevel="0" collapsed="false">
      <c r="A21" s="12" t="s">
        <v>2774</v>
      </c>
      <c r="B21" s="23" t="n">
        <f aca="false">B20-B7</f>
        <v>-3.25</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35.05" hidden="false" customHeight="false" outlineLevel="0" collapsed="false">
      <c r="A26" s="4" t="s">
        <v>2972</v>
      </c>
      <c r="B26" s="12" t="s">
        <v>2764</v>
      </c>
      <c r="C26" s="4" t="s">
        <v>2973</v>
      </c>
      <c r="D26" s="12" t="s">
        <v>2793</v>
      </c>
      <c r="E26" s="12" t="s">
        <v>2484</v>
      </c>
      <c r="F26" s="29" t="n">
        <v>1</v>
      </c>
      <c r="G26" s="29" t="n">
        <v>1</v>
      </c>
      <c r="H26" s="19" t="n">
        <v>3500</v>
      </c>
      <c r="I26" s="23" t="n">
        <f aca="false">F26*G26*H26</f>
        <v>3500</v>
      </c>
      <c r="J26" s="12" t="s">
        <v>2794</v>
      </c>
      <c r="K26" s="12" t="s">
        <v>2795</v>
      </c>
      <c r="L26" s="12" t="s">
        <v>2796</v>
      </c>
      <c r="M26" s="4" t="s">
        <v>2974</v>
      </c>
    </row>
    <row r="27" customFormat="false" ht="35.05" hidden="false" customHeight="false" outlineLevel="0" collapsed="false">
      <c r="A27" s="4" t="s">
        <v>2972</v>
      </c>
      <c r="B27" s="12" t="s">
        <v>2764</v>
      </c>
      <c r="C27" s="4" t="s">
        <v>2975</v>
      </c>
      <c r="D27" s="12" t="s">
        <v>2793</v>
      </c>
      <c r="E27" s="12" t="s">
        <v>2484</v>
      </c>
      <c r="F27" s="29" t="n">
        <v>1</v>
      </c>
      <c r="G27" s="29" t="n">
        <v>1</v>
      </c>
      <c r="H27" s="19" t="n">
        <v>4000</v>
      </c>
      <c r="I27" s="23" t="n">
        <f aca="false">F27*G27*H27</f>
        <v>4000</v>
      </c>
      <c r="J27" s="12" t="s">
        <v>2794</v>
      </c>
      <c r="K27" s="12" t="s">
        <v>2799</v>
      </c>
      <c r="L27" s="12" t="s">
        <v>2796</v>
      </c>
      <c r="M27" s="4" t="s">
        <v>2976</v>
      </c>
    </row>
    <row r="28" customFormat="false" ht="35.05" hidden="false" customHeight="false" outlineLevel="0" collapsed="false">
      <c r="A28" s="4" t="s">
        <v>2972</v>
      </c>
      <c r="B28" s="12" t="s">
        <v>2764</v>
      </c>
      <c r="C28" s="4" t="s">
        <v>2977</v>
      </c>
      <c r="D28" s="12" t="s">
        <v>2793</v>
      </c>
      <c r="E28" s="12" t="s">
        <v>2484</v>
      </c>
      <c r="F28" s="29" t="n">
        <v>1</v>
      </c>
      <c r="G28" s="29" t="n">
        <v>1</v>
      </c>
      <c r="H28" s="19" t="n">
        <v>4000</v>
      </c>
      <c r="I28" s="23" t="n">
        <f aca="false">F28*G28*H28</f>
        <v>4000</v>
      </c>
      <c r="J28" s="12" t="s">
        <v>2794</v>
      </c>
      <c r="K28" s="12" t="s">
        <v>2795</v>
      </c>
      <c r="L28" s="12" t="s">
        <v>2796</v>
      </c>
      <c r="M28" s="4" t="s">
        <v>2978</v>
      </c>
    </row>
    <row r="29" customFormat="false" ht="35.05" hidden="false" customHeight="false" outlineLevel="0" collapsed="false">
      <c r="A29" s="4" t="s">
        <v>2972</v>
      </c>
      <c r="B29" s="12" t="s">
        <v>2764</v>
      </c>
      <c r="C29" s="4" t="s">
        <v>2979</v>
      </c>
      <c r="D29" s="12" t="s">
        <v>2804</v>
      </c>
      <c r="E29" s="12" t="s">
        <v>2597</v>
      </c>
      <c r="F29" s="29" t="n">
        <v>4</v>
      </c>
      <c r="G29" s="29" t="n">
        <v>1</v>
      </c>
      <c r="H29" s="19" t="n">
        <v>1800</v>
      </c>
      <c r="I29" s="23" t="n">
        <f aca="false">F29*G29*H29</f>
        <v>7200</v>
      </c>
      <c r="J29" s="12" t="s">
        <v>2980</v>
      </c>
      <c r="K29" s="12" t="s">
        <v>2805</v>
      </c>
      <c r="L29" s="12"/>
      <c r="M29" s="4" t="s">
        <v>2981</v>
      </c>
    </row>
    <row r="30" customFormat="false" ht="35.05" hidden="false" customHeight="false" outlineLevel="0" collapsed="false">
      <c r="A30" s="4" t="s">
        <v>2972</v>
      </c>
      <c r="B30" s="12" t="s">
        <v>2764</v>
      </c>
      <c r="C30" s="4" t="s">
        <v>2982</v>
      </c>
      <c r="D30" s="12" t="s">
        <v>2793</v>
      </c>
      <c r="E30" s="12" t="s">
        <v>2484</v>
      </c>
      <c r="F30" s="29" t="n">
        <v>1</v>
      </c>
      <c r="G30" s="29" t="n">
        <v>2</v>
      </c>
      <c r="H30" s="19" t="n">
        <v>3000</v>
      </c>
      <c r="I30" s="23" t="n">
        <f aca="false">F30*G30*H30</f>
        <v>6000</v>
      </c>
      <c r="J30" s="12" t="s">
        <v>2980</v>
      </c>
      <c r="K30" s="12" t="s">
        <v>2805</v>
      </c>
      <c r="L30" s="12"/>
      <c r="M30" s="4" t="s">
        <v>2983</v>
      </c>
    </row>
    <row r="31" customFormat="false" ht="35.05" hidden="false" customHeight="false" outlineLevel="0" collapsed="false">
      <c r="A31" s="4" t="s">
        <v>2972</v>
      </c>
      <c r="B31" s="12" t="s">
        <v>2764</v>
      </c>
      <c r="C31" s="4" t="s">
        <v>2984</v>
      </c>
      <c r="D31" s="12" t="s">
        <v>2855</v>
      </c>
      <c r="E31" s="12" t="s">
        <v>2516</v>
      </c>
      <c r="F31" s="29" t="n">
        <v>4</v>
      </c>
      <c r="G31" s="29" t="n">
        <v>1</v>
      </c>
      <c r="H31" s="19" t="n">
        <v>1500</v>
      </c>
      <c r="I31" s="23" t="n">
        <f aca="false">F31*G31*H31</f>
        <v>6000</v>
      </c>
      <c r="J31" s="12" t="s">
        <v>2980</v>
      </c>
      <c r="K31" s="12" t="s">
        <v>2985</v>
      </c>
      <c r="L31" s="12" t="s">
        <v>2796</v>
      </c>
      <c r="M31" s="4" t="s">
        <v>2986</v>
      </c>
    </row>
    <row r="32" customFormat="false" ht="35.05" hidden="false" customHeight="false" outlineLevel="0" collapsed="false">
      <c r="A32" s="4" t="s">
        <v>2972</v>
      </c>
      <c r="B32" s="12" t="s">
        <v>2765</v>
      </c>
      <c r="C32" s="4" t="s">
        <v>2973</v>
      </c>
      <c r="D32" s="12" t="s">
        <v>2793</v>
      </c>
      <c r="E32" s="12" t="s">
        <v>2484</v>
      </c>
      <c r="F32" s="29" t="n">
        <v>1</v>
      </c>
      <c r="G32" s="29" t="n">
        <v>6</v>
      </c>
      <c r="H32" s="19" t="n">
        <v>3500</v>
      </c>
      <c r="I32" s="23" t="n">
        <f aca="false">F32*G32*H32</f>
        <v>21000</v>
      </c>
      <c r="J32" s="12" t="s">
        <v>2794</v>
      </c>
      <c r="K32" s="12" t="s">
        <v>2795</v>
      </c>
      <c r="L32" s="12" t="s">
        <v>2796</v>
      </c>
      <c r="M32" s="4" t="s">
        <v>2987</v>
      </c>
    </row>
    <row r="33" customFormat="false" ht="35.05" hidden="false" customHeight="false" outlineLevel="0" collapsed="false">
      <c r="A33" s="4" t="s">
        <v>2972</v>
      </c>
      <c r="B33" s="12" t="s">
        <v>2765</v>
      </c>
      <c r="C33" s="4" t="s">
        <v>2975</v>
      </c>
      <c r="D33" s="12" t="s">
        <v>2793</v>
      </c>
      <c r="E33" s="12" t="s">
        <v>2484</v>
      </c>
      <c r="F33" s="29" t="n">
        <v>1</v>
      </c>
      <c r="G33" s="29" t="n">
        <v>6</v>
      </c>
      <c r="H33" s="19" t="n">
        <v>4000</v>
      </c>
      <c r="I33" s="23" t="n">
        <f aca="false">F33*G33*H33</f>
        <v>24000</v>
      </c>
      <c r="J33" s="12" t="s">
        <v>2794</v>
      </c>
      <c r="K33" s="12" t="s">
        <v>2799</v>
      </c>
      <c r="L33" s="12" t="s">
        <v>2796</v>
      </c>
      <c r="M33" s="4" t="s">
        <v>2988</v>
      </c>
    </row>
    <row r="34" customFormat="false" ht="35.05" hidden="false" customHeight="false" outlineLevel="0" collapsed="false">
      <c r="A34" s="4" t="s">
        <v>2972</v>
      </c>
      <c r="B34" s="12" t="s">
        <v>2765</v>
      </c>
      <c r="C34" s="4" t="s">
        <v>2977</v>
      </c>
      <c r="D34" s="12" t="s">
        <v>2793</v>
      </c>
      <c r="E34" s="12" t="s">
        <v>2484</v>
      </c>
      <c r="F34" s="29" t="n">
        <v>1</v>
      </c>
      <c r="G34" s="29" t="n">
        <v>5</v>
      </c>
      <c r="H34" s="19" t="n">
        <v>4000</v>
      </c>
      <c r="I34" s="23" t="n">
        <f aca="false">F34*G34*H34</f>
        <v>20000</v>
      </c>
      <c r="J34" s="12" t="s">
        <v>2794</v>
      </c>
      <c r="K34" s="12" t="s">
        <v>2795</v>
      </c>
      <c r="L34" s="12" t="s">
        <v>2796</v>
      </c>
      <c r="M34" s="4" t="s">
        <v>2989</v>
      </c>
    </row>
    <row r="35" customFormat="false" ht="35.05" hidden="false" customHeight="false" outlineLevel="0" collapsed="false">
      <c r="A35" s="4" t="s">
        <v>2972</v>
      </c>
      <c r="B35" s="12" t="s">
        <v>2765</v>
      </c>
      <c r="C35" s="4" t="s">
        <v>2990</v>
      </c>
      <c r="D35" s="12" t="s">
        <v>2793</v>
      </c>
      <c r="E35" s="12" t="s">
        <v>2484</v>
      </c>
      <c r="F35" s="29" t="n">
        <v>4</v>
      </c>
      <c r="G35" s="29" t="n">
        <v>6</v>
      </c>
      <c r="H35" s="19" t="n">
        <v>2716</v>
      </c>
      <c r="I35" s="23" t="n">
        <f aca="false">F35*G35*H35</f>
        <v>65184</v>
      </c>
      <c r="J35" s="12" t="s">
        <v>2980</v>
      </c>
      <c r="K35" s="12" t="s">
        <v>2805</v>
      </c>
      <c r="L35" s="12"/>
      <c r="M35" s="4" t="s">
        <v>2991</v>
      </c>
    </row>
    <row r="36" customFormat="false" ht="35.05" hidden="false" customHeight="false" outlineLevel="0" collapsed="false">
      <c r="A36" s="4" t="s">
        <v>2972</v>
      </c>
      <c r="B36" s="12" t="s">
        <v>2765</v>
      </c>
      <c r="C36" s="4" t="s">
        <v>2992</v>
      </c>
      <c r="D36" s="12" t="s">
        <v>2808</v>
      </c>
      <c r="E36" s="12" t="s">
        <v>2831</v>
      </c>
      <c r="F36" s="29" t="n">
        <v>120</v>
      </c>
      <c r="G36" s="29" t="n">
        <v>1</v>
      </c>
      <c r="H36" s="19" t="n">
        <v>90</v>
      </c>
      <c r="I36" s="23" t="n">
        <f aca="false">F36*G36*H36</f>
        <v>10800</v>
      </c>
      <c r="J36" s="12" t="s">
        <v>2980</v>
      </c>
      <c r="K36" s="12" t="s">
        <v>2805</v>
      </c>
      <c r="L36" s="12"/>
      <c r="M36" s="4" t="s">
        <v>2993</v>
      </c>
    </row>
    <row r="37" customFormat="false" ht="35.05" hidden="false" customHeight="false" outlineLevel="0" collapsed="false">
      <c r="A37" s="4" t="s">
        <v>2972</v>
      </c>
      <c r="B37" s="12" t="s">
        <v>2765</v>
      </c>
      <c r="C37" s="4" t="s">
        <v>2994</v>
      </c>
      <c r="D37" s="12" t="s">
        <v>2882</v>
      </c>
      <c r="E37" s="12" t="s">
        <v>2601</v>
      </c>
      <c r="F37" s="29" t="n">
        <v>1</v>
      </c>
      <c r="G37" s="29" t="n">
        <v>1</v>
      </c>
      <c r="H37" s="19" t="n">
        <v>2000</v>
      </c>
      <c r="I37" s="23" t="n">
        <f aca="false">F37*G37*H37</f>
        <v>2000</v>
      </c>
      <c r="J37" s="12" t="s">
        <v>2980</v>
      </c>
      <c r="K37" s="12" t="s">
        <v>2805</v>
      </c>
      <c r="L37" s="12"/>
      <c r="M37" s="4" t="s">
        <v>2995</v>
      </c>
    </row>
    <row r="38" customFormat="false" ht="35.05" hidden="false" customHeight="false" outlineLevel="0" collapsed="false">
      <c r="A38" s="4" t="s">
        <v>2972</v>
      </c>
      <c r="B38" s="12" t="s">
        <v>2765</v>
      </c>
      <c r="C38" s="4" t="s">
        <v>2996</v>
      </c>
      <c r="D38" s="12" t="s">
        <v>2808</v>
      </c>
      <c r="E38" s="12" t="s">
        <v>2477</v>
      </c>
      <c r="F38" s="29" t="n">
        <v>10</v>
      </c>
      <c r="G38" s="29" t="n">
        <v>1</v>
      </c>
      <c r="H38" s="19" t="n">
        <v>600</v>
      </c>
      <c r="I38" s="23" t="n">
        <f aca="false">F38*G38*H38</f>
        <v>6000</v>
      </c>
      <c r="J38" s="12" t="s">
        <v>2980</v>
      </c>
      <c r="K38" s="12" t="s">
        <v>2805</v>
      </c>
      <c r="L38" s="12"/>
      <c r="M38" s="4" t="s">
        <v>2997</v>
      </c>
    </row>
    <row r="39" customFormat="false" ht="35.05" hidden="false" customHeight="false" outlineLevel="0" collapsed="false">
      <c r="A39" s="4" t="s">
        <v>2972</v>
      </c>
      <c r="B39" s="12" t="s">
        <v>2765</v>
      </c>
      <c r="C39" s="4" t="s">
        <v>2998</v>
      </c>
      <c r="D39" s="12" t="s">
        <v>2882</v>
      </c>
      <c r="E39" s="12" t="s">
        <v>2601</v>
      </c>
      <c r="F39" s="29" t="n">
        <v>1</v>
      </c>
      <c r="G39" s="29" t="n">
        <v>1</v>
      </c>
      <c r="H39" s="19" t="n">
        <v>3000</v>
      </c>
      <c r="I39" s="23" t="n">
        <f aca="false">F39*G39*H39</f>
        <v>3000</v>
      </c>
      <c r="J39" s="12" t="s">
        <v>2980</v>
      </c>
      <c r="K39" s="12" t="s">
        <v>2805</v>
      </c>
      <c r="L39" s="12"/>
      <c r="M39" s="4" t="s">
        <v>2999</v>
      </c>
    </row>
    <row r="40" customFormat="false" ht="35.05" hidden="false" customHeight="false" outlineLevel="0" collapsed="false">
      <c r="A40" s="4" t="s">
        <v>2972</v>
      </c>
      <c r="B40" s="12" t="s">
        <v>2765</v>
      </c>
      <c r="C40" s="4" t="s">
        <v>3000</v>
      </c>
      <c r="D40" s="12" t="s">
        <v>2808</v>
      </c>
      <c r="E40" s="12" t="s">
        <v>2477</v>
      </c>
      <c r="F40" s="29" t="n">
        <v>120</v>
      </c>
      <c r="G40" s="29" t="n">
        <v>6</v>
      </c>
      <c r="H40" s="19" t="n">
        <v>10</v>
      </c>
      <c r="I40" s="23" t="n">
        <f aca="false">F40*G40*H40</f>
        <v>7200</v>
      </c>
      <c r="J40" s="12" t="s">
        <v>2980</v>
      </c>
      <c r="K40" s="12" t="s">
        <v>2805</v>
      </c>
      <c r="L40" s="12"/>
      <c r="M40" s="4" t="s">
        <v>3001</v>
      </c>
    </row>
    <row r="41" customFormat="false" ht="35.05" hidden="false" customHeight="false" outlineLevel="0" collapsed="false">
      <c r="A41" s="4" t="s">
        <v>2972</v>
      </c>
      <c r="B41" s="12" t="s">
        <v>2765</v>
      </c>
      <c r="C41" s="4" t="s">
        <v>3002</v>
      </c>
      <c r="D41" s="12" t="s">
        <v>2808</v>
      </c>
      <c r="E41" s="12" t="s">
        <v>2497</v>
      </c>
      <c r="F41" s="29" t="n">
        <v>2</v>
      </c>
      <c r="G41" s="29" t="n">
        <v>1</v>
      </c>
      <c r="H41" s="19" t="n">
        <v>2500</v>
      </c>
      <c r="I41" s="23" t="n">
        <f aca="false">F41*G41*H41</f>
        <v>5000</v>
      </c>
      <c r="J41" s="12" t="s">
        <v>2980</v>
      </c>
      <c r="K41" s="12" t="s">
        <v>2828</v>
      </c>
      <c r="L41" s="12" t="s">
        <v>2796</v>
      </c>
      <c r="M41" s="4" t="s">
        <v>3003</v>
      </c>
    </row>
    <row r="42" customFormat="false" ht="35.05" hidden="false" customHeight="false" outlineLevel="0" collapsed="false">
      <c r="A42" s="4" t="s">
        <v>2972</v>
      </c>
      <c r="B42" s="12" t="s">
        <v>2765</v>
      </c>
      <c r="C42" s="4" t="s">
        <v>3004</v>
      </c>
      <c r="D42" s="12" t="s">
        <v>2808</v>
      </c>
      <c r="E42" s="12" t="s">
        <v>2497</v>
      </c>
      <c r="F42" s="29" t="n">
        <v>3</v>
      </c>
      <c r="G42" s="29" t="n">
        <v>1</v>
      </c>
      <c r="H42" s="19" t="n">
        <v>1000</v>
      </c>
      <c r="I42" s="23" t="n">
        <f aca="false">F42*G42*H42</f>
        <v>3000</v>
      </c>
      <c r="J42" s="12" t="s">
        <v>2980</v>
      </c>
      <c r="K42" s="12" t="s">
        <v>2810</v>
      </c>
      <c r="L42" s="12" t="s">
        <v>2796</v>
      </c>
      <c r="M42" s="4" t="s">
        <v>3005</v>
      </c>
    </row>
    <row r="43" customFormat="false" ht="35.05" hidden="false" customHeight="false" outlineLevel="0" collapsed="false">
      <c r="A43" s="4" t="s">
        <v>2972</v>
      </c>
      <c r="B43" s="12" t="s">
        <v>2765</v>
      </c>
      <c r="C43" s="4" t="s">
        <v>3006</v>
      </c>
      <c r="D43" s="12" t="s">
        <v>2808</v>
      </c>
      <c r="E43" s="12" t="s">
        <v>2497</v>
      </c>
      <c r="F43" s="29" t="n">
        <v>1</v>
      </c>
      <c r="G43" s="29" t="n">
        <v>8</v>
      </c>
      <c r="H43" s="19" t="n">
        <v>900</v>
      </c>
      <c r="I43" s="23" t="n">
        <f aca="false">F43*G43*H43</f>
        <v>7200</v>
      </c>
      <c r="J43" s="12" t="s">
        <v>2980</v>
      </c>
      <c r="K43" s="12" t="s">
        <v>2848</v>
      </c>
      <c r="L43" s="12" t="s">
        <v>2796</v>
      </c>
      <c r="M43" s="4" t="s">
        <v>3007</v>
      </c>
    </row>
    <row r="44" customFormat="false" ht="35.05" hidden="false" customHeight="false" outlineLevel="0" collapsed="false">
      <c r="A44" s="4" t="s">
        <v>2972</v>
      </c>
      <c r="B44" s="12" t="s">
        <v>2765</v>
      </c>
      <c r="C44" s="4" t="s">
        <v>3008</v>
      </c>
      <c r="D44" s="12" t="s">
        <v>2808</v>
      </c>
      <c r="E44" s="12" t="s">
        <v>2497</v>
      </c>
      <c r="F44" s="29" t="n">
        <v>1</v>
      </c>
      <c r="G44" s="29" t="n">
        <v>2</v>
      </c>
      <c r="H44" s="19" t="n">
        <v>1800</v>
      </c>
      <c r="I44" s="23" t="n">
        <f aca="false">F44*G44*H44</f>
        <v>3600</v>
      </c>
      <c r="J44" s="12" t="s">
        <v>2980</v>
      </c>
      <c r="K44" s="12" t="s">
        <v>2851</v>
      </c>
      <c r="L44" s="12" t="s">
        <v>2796</v>
      </c>
      <c r="M44" s="4" t="s">
        <v>3009</v>
      </c>
    </row>
    <row r="45" customFormat="false" ht="23.85" hidden="false" customHeight="false" outlineLevel="0" collapsed="false">
      <c r="A45" s="4" t="s">
        <v>3010</v>
      </c>
      <c r="B45" s="12" t="s">
        <v>2765</v>
      </c>
      <c r="C45" s="4" t="s">
        <v>3011</v>
      </c>
      <c r="D45" s="12" t="s">
        <v>2804</v>
      </c>
      <c r="E45" s="12" t="s">
        <v>2597</v>
      </c>
      <c r="F45" s="29" t="n">
        <v>1</v>
      </c>
      <c r="G45" s="29" t="n">
        <v>1</v>
      </c>
      <c r="H45" s="19" t="n">
        <v>8000</v>
      </c>
      <c r="I45" s="23" t="n">
        <f aca="false">F45*G45*H45</f>
        <v>8000</v>
      </c>
      <c r="J45" s="12" t="s">
        <v>2794</v>
      </c>
      <c r="K45" s="12" t="s">
        <v>2805</v>
      </c>
      <c r="L45" s="12"/>
      <c r="M45" s="4" t="s">
        <v>3012</v>
      </c>
    </row>
    <row r="46" customFormat="false" ht="23.85" hidden="false" customHeight="false" outlineLevel="0" collapsed="false">
      <c r="A46" s="4" t="s">
        <v>3010</v>
      </c>
      <c r="B46" s="12" t="s">
        <v>2765</v>
      </c>
      <c r="C46" s="4" t="s">
        <v>3013</v>
      </c>
      <c r="D46" s="12" t="s">
        <v>2882</v>
      </c>
      <c r="E46" s="12" t="s">
        <v>2601</v>
      </c>
      <c r="F46" s="29" t="n">
        <v>1</v>
      </c>
      <c r="G46" s="29" t="n">
        <v>1</v>
      </c>
      <c r="H46" s="19" t="n">
        <v>4871</v>
      </c>
      <c r="I46" s="23" t="n">
        <f aca="false">F46*G46*H46</f>
        <v>4871</v>
      </c>
      <c r="J46" s="12" t="s">
        <v>2794</v>
      </c>
      <c r="K46" s="12" t="s">
        <v>2805</v>
      </c>
      <c r="L46" s="12"/>
      <c r="M46" s="4" t="s">
        <v>3014</v>
      </c>
    </row>
    <row r="47" customFormat="false" ht="23.85" hidden="false" customHeight="false" outlineLevel="0" collapsed="false">
      <c r="A47" s="4" t="s">
        <v>3010</v>
      </c>
      <c r="B47" s="12" t="s">
        <v>2765</v>
      </c>
      <c r="C47" s="4" t="s">
        <v>2869</v>
      </c>
      <c r="D47" s="12" t="s">
        <v>2808</v>
      </c>
      <c r="E47" s="12" t="s">
        <v>2497</v>
      </c>
      <c r="F47" s="29" t="n">
        <v>2</v>
      </c>
      <c r="G47" s="29" t="n">
        <v>3</v>
      </c>
      <c r="H47" s="19" t="n">
        <v>300</v>
      </c>
      <c r="I47" s="23" t="n">
        <f aca="false">F47*G47*H47</f>
        <v>1800</v>
      </c>
      <c r="J47" s="12" t="s">
        <v>2794</v>
      </c>
      <c r="K47" s="12" t="s">
        <v>2870</v>
      </c>
      <c r="L47" s="12" t="s">
        <v>2796</v>
      </c>
      <c r="M47" s="4" t="s">
        <v>3015</v>
      </c>
    </row>
    <row r="48" customFormat="false" ht="23.85" hidden="false" customHeight="false" outlineLevel="0" collapsed="false">
      <c r="A48" s="4" t="s">
        <v>3010</v>
      </c>
      <c r="B48" s="12" t="s">
        <v>2765</v>
      </c>
      <c r="C48" s="4" t="s">
        <v>3016</v>
      </c>
      <c r="D48" s="12" t="s">
        <v>2808</v>
      </c>
      <c r="E48" s="12" t="s">
        <v>2497</v>
      </c>
      <c r="F48" s="29" t="n">
        <v>1</v>
      </c>
      <c r="G48" s="29" t="n">
        <v>1</v>
      </c>
      <c r="H48" s="19" t="n">
        <v>2200</v>
      </c>
      <c r="I48" s="23" t="n">
        <f aca="false">F48*G48*H48</f>
        <v>2200</v>
      </c>
      <c r="J48" s="12" t="s">
        <v>2794</v>
      </c>
      <c r="K48" s="12" t="s">
        <v>3017</v>
      </c>
      <c r="L48" s="12" t="s">
        <v>2796</v>
      </c>
      <c r="M48" s="4" t="s">
        <v>3018</v>
      </c>
    </row>
    <row r="49" customFormat="false" ht="23.85" hidden="false" customHeight="false" outlineLevel="0" collapsed="false">
      <c r="A49" s="4" t="s">
        <v>3010</v>
      </c>
      <c r="B49" s="12" t="s">
        <v>2765</v>
      </c>
      <c r="C49" s="4" t="s">
        <v>3019</v>
      </c>
      <c r="D49" s="12" t="s">
        <v>2808</v>
      </c>
      <c r="E49" s="12" t="s">
        <v>2528</v>
      </c>
      <c r="F49" s="29" t="n">
        <v>20</v>
      </c>
      <c r="G49" s="29" t="n">
        <v>1</v>
      </c>
      <c r="H49" s="19" t="n">
        <v>65</v>
      </c>
      <c r="I49" s="23" t="n">
        <f aca="false">F49*G49*H49</f>
        <v>1300</v>
      </c>
      <c r="J49" s="12" t="s">
        <v>2794</v>
      </c>
      <c r="K49" s="12" t="s">
        <v>2949</v>
      </c>
      <c r="L49" s="12" t="s">
        <v>2950</v>
      </c>
      <c r="M49" s="4" t="s">
        <v>3020</v>
      </c>
    </row>
    <row r="50" customFormat="false" ht="23.85" hidden="false" customHeight="false" outlineLevel="0" collapsed="false">
      <c r="A50" s="4" t="s">
        <v>3010</v>
      </c>
      <c r="B50" s="12" t="s">
        <v>2765</v>
      </c>
      <c r="C50" s="4" t="s">
        <v>3021</v>
      </c>
      <c r="D50" s="12" t="s">
        <v>2808</v>
      </c>
      <c r="E50" s="12" t="s">
        <v>2702</v>
      </c>
      <c r="F50" s="29" t="n">
        <v>2</v>
      </c>
      <c r="G50" s="29" t="n">
        <v>32</v>
      </c>
      <c r="H50" s="19" t="n">
        <v>100</v>
      </c>
      <c r="I50" s="23" t="n">
        <f aca="false">F50*G50*H50</f>
        <v>6400</v>
      </c>
      <c r="J50" s="12" t="s">
        <v>2794</v>
      </c>
      <c r="K50" s="12" t="s">
        <v>2821</v>
      </c>
      <c r="L50" s="12" t="s">
        <v>2796</v>
      </c>
      <c r="M50" s="4" t="s">
        <v>3022</v>
      </c>
    </row>
    <row r="51" customFormat="false" ht="23.85" hidden="false" customHeight="false" outlineLevel="0" collapsed="false">
      <c r="A51" s="4" t="s">
        <v>3010</v>
      </c>
      <c r="B51" s="12" t="s">
        <v>2765</v>
      </c>
      <c r="C51" s="4" t="s">
        <v>3023</v>
      </c>
      <c r="D51" s="12" t="s">
        <v>2855</v>
      </c>
      <c r="E51" s="12" t="s">
        <v>2516</v>
      </c>
      <c r="F51" s="29" t="n">
        <v>4</v>
      </c>
      <c r="G51" s="29" t="n">
        <v>1</v>
      </c>
      <c r="H51" s="19" t="n">
        <v>1500</v>
      </c>
      <c r="I51" s="23" t="n">
        <f aca="false">F51*G51*H51</f>
        <v>6000</v>
      </c>
      <c r="J51" s="12" t="s">
        <v>2794</v>
      </c>
      <c r="K51" s="12" t="s">
        <v>2985</v>
      </c>
      <c r="L51" s="12" t="s">
        <v>2796</v>
      </c>
      <c r="M51" s="4" t="s">
        <v>3024</v>
      </c>
    </row>
    <row r="52" customFormat="false" ht="23.85" hidden="false" customHeight="false" outlineLevel="0" collapsed="false">
      <c r="A52" s="4" t="s">
        <v>3010</v>
      </c>
      <c r="B52" s="12" t="s">
        <v>2765</v>
      </c>
      <c r="C52" s="4" t="s">
        <v>3025</v>
      </c>
      <c r="D52" s="12" t="s">
        <v>2808</v>
      </c>
      <c r="E52" s="12" t="s">
        <v>2683</v>
      </c>
      <c r="F52" s="29" t="n">
        <v>1</v>
      </c>
      <c r="G52" s="29" t="n">
        <v>1</v>
      </c>
      <c r="H52" s="19" t="n">
        <v>1500</v>
      </c>
      <c r="I52" s="23" t="n">
        <f aca="false">F52*G52*H52</f>
        <v>1500</v>
      </c>
      <c r="J52" s="12" t="s">
        <v>2794</v>
      </c>
      <c r="K52" s="12" t="s">
        <v>2845</v>
      </c>
      <c r="L52" s="12" t="s">
        <v>2796</v>
      </c>
      <c r="M52" s="4" t="s">
        <v>3026</v>
      </c>
    </row>
    <row r="53" customFormat="false" ht="23.85" hidden="false" customHeight="false" outlineLevel="0" collapsed="false">
      <c r="A53" s="4" t="s">
        <v>3010</v>
      </c>
      <c r="B53" s="12" t="s">
        <v>2765</v>
      </c>
      <c r="C53" s="4" t="s">
        <v>3027</v>
      </c>
      <c r="D53" s="12" t="s">
        <v>2804</v>
      </c>
      <c r="E53" s="12" t="s">
        <v>2597</v>
      </c>
      <c r="F53" s="29" t="n">
        <v>1</v>
      </c>
      <c r="G53" s="29" t="n">
        <v>1</v>
      </c>
      <c r="H53" s="19" t="n">
        <v>3000</v>
      </c>
      <c r="I53" s="23" t="n">
        <f aca="false">F53*G53*H53</f>
        <v>3000</v>
      </c>
      <c r="J53" s="12" t="s">
        <v>2794</v>
      </c>
      <c r="K53" s="12" t="s">
        <v>2805</v>
      </c>
      <c r="L53" s="12"/>
      <c r="M53" s="4" t="s">
        <v>3028</v>
      </c>
    </row>
    <row r="54" customFormat="false" ht="23.85" hidden="false" customHeight="false" outlineLevel="0" collapsed="false">
      <c r="A54" s="4" t="s">
        <v>3010</v>
      </c>
      <c r="B54" s="12" t="s">
        <v>2765</v>
      </c>
      <c r="C54" s="4" t="s">
        <v>3029</v>
      </c>
      <c r="D54" s="12" t="s">
        <v>2804</v>
      </c>
      <c r="E54" s="12" t="s">
        <v>2597</v>
      </c>
      <c r="F54" s="29" t="n">
        <v>1</v>
      </c>
      <c r="G54" s="29" t="n">
        <v>1</v>
      </c>
      <c r="H54" s="19" t="n">
        <v>4000</v>
      </c>
      <c r="I54" s="23" t="n">
        <f aca="false">F54*G54*H54</f>
        <v>4000</v>
      </c>
      <c r="J54" s="12" t="s">
        <v>2794</v>
      </c>
      <c r="K54" s="12" t="s">
        <v>2937</v>
      </c>
      <c r="L54" s="12" t="s">
        <v>2796</v>
      </c>
      <c r="M54" s="4" t="s">
        <v>3030</v>
      </c>
    </row>
    <row r="55" customFormat="false" ht="23.85" hidden="false" customHeight="false" outlineLevel="0" collapsed="false">
      <c r="A55" s="4" t="s">
        <v>3010</v>
      </c>
      <c r="B55" s="12" t="s">
        <v>2765</v>
      </c>
      <c r="C55" s="4" t="s">
        <v>3031</v>
      </c>
      <c r="D55" s="12" t="s">
        <v>2808</v>
      </c>
      <c r="E55" s="12" t="s">
        <v>3032</v>
      </c>
      <c r="F55" s="29" t="n">
        <v>120</v>
      </c>
      <c r="G55" s="29" t="n">
        <v>1</v>
      </c>
      <c r="H55" s="19" t="n">
        <v>30</v>
      </c>
      <c r="I55" s="23" t="n">
        <f aca="false">F55*G55*H55</f>
        <v>3600</v>
      </c>
      <c r="J55" s="12" t="s">
        <v>2794</v>
      </c>
      <c r="K55" s="12" t="s">
        <v>2805</v>
      </c>
      <c r="L55" s="12"/>
      <c r="M55" s="4" t="s">
        <v>3033</v>
      </c>
    </row>
    <row r="56" customFormat="false" ht="35.05" hidden="false" customHeight="false" outlineLevel="0" collapsed="false">
      <c r="A56" s="4" t="s">
        <v>2972</v>
      </c>
      <c r="B56" s="12" t="s">
        <v>2766</v>
      </c>
      <c r="C56" s="4" t="s">
        <v>2884</v>
      </c>
      <c r="D56" s="12" t="s">
        <v>2793</v>
      </c>
      <c r="E56" s="12" t="s">
        <v>2484</v>
      </c>
      <c r="F56" s="29" t="n">
        <v>1</v>
      </c>
      <c r="G56" s="29" t="n">
        <v>1</v>
      </c>
      <c r="H56" s="19" t="n">
        <v>3500</v>
      </c>
      <c r="I56" s="23" t="n">
        <f aca="false">F56*G56*H56</f>
        <v>3500</v>
      </c>
      <c r="J56" s="12" t="s">
        <v>2794</v>
      </c>
      <c r="K56" s="12" t="s">
        <v>2795</v>
      </c>
      <c r="L56" s="12" t="s">
        <v>2796</v>
      </c>
      <c r="M56" s="4" t="s">
        <v>3034</v>
      </c>
    </row>
    <row r="57" customFormat="false" ht="35.05" hidden="false" customHeight="false" outlineLevel="0" collapsed="false">
      <c r="A57" s="4" t="s">
        <v>2972</v>
      </c>
      <c r="B57" s="12" t="s">
        <v>2766</v>
      </c>
      <c r="C57" s="4" t="s">
        <v>3035</v>
      </c>
      <c r="D57" s="12" t="s">
        <v>2793</v>
      </c>
      <c r="E57" s="12" t="s">
        <v>2484</v>
      </c>
      <c r="F57" s="29" t="n">
        <v>1</v>
      </c>
      <c r="G57" s="29" t="n">
        <v>1</v>
      </c>
      <c r="H57" s="19" t="n">
        <v>4000</v>
      </c>
      <c r="I57" s="23" t="n">
        <f aca="false">F57*G57*H57</f>
        <v>4000</v>
      </c>
      <c r="J57" s="12" t="s">
        <v>2794</v>
      </c>
      <c r="K57" s="12" t="s">
        <v>2799</v>
      </c>
      <c r="L57" s="12" t="s">
        <v>2796</v>
      </c>
      <c r="M57" s="4" t="s">
        <v>3036</v>
      </c>
    </row>
    <row r="58" customFormat="false" ht="35.05" hidden="false" customHeight="false" outlineLevel="0" collapsed="false">
      <c r="A58" s="4" t="s">
        <v>2972</v>
      </c>
      <c r="B58" s="12" t="s">
        <v>2766</v>
      </c>
      <c r="C58" s="4" t="s">
        <v>3037</v>
      </c>
      <c r="D58" s="12" t="s">
        <v>2804</v>
      </c>
      <c r="E58" s="12" t="s">
        <v>2597</v>
      </c>
      <c r="F58" s="29" t="n">
        <v>1</v>
      </c>
      <c r="G58" s="29" t="n">
        <v>1</v>
      </c>
      <c r="H58" s="19" t="n">
        <v>5000</v>
      </c>
      <c r="I58" s="23" t="n">
        <f aca="false">F58*G58*H58</f>
        <v>5000</v>
      </c>
      <c r="J58" s="12" t="s">
        <v>2794</v>
      </c>
      <c r="K58" s="12" t="s">
        <v>2891</v>
      </c>
      <c r="L58" s="12" t="s">
        <v>2796</v>
      </c>
      <c r="M58" s="4" t="s">
        <v>3038</v>
      </c>
    </row>
    <row r="59" customFormat="false" ht="35.05" hidden="false" customHeight="false" outlineLevel="0" collapsed="false">
      <c r="A59" s="4" t="s">
        <v>2972</v>
      </c>
      <c r="B59" s="12" t="s">
        <v>2766</v>
      </c>
      <c r="C59" s="4" t="s">
        <v>3039</v>
      </c>
      <c r="D59" s="12" t="s">
        <v>2804</v>
      </c>
      <c r="E59" s="12" t="s">
        <v>2597</v>
      </c>
      <c r="F59" s="29" t="n">
        <v>1</v>
      </c>
      <c r="G59" s="29" t="n">
        <v>1</v>
      </c>
      <c r="H59" s="19" t="n">
        <v>2000</v>
      </c>
      <c r="I59" s="23" t="n">
        <f aca="false">F59*G59*H59</f>
        <v>2000</v>
      </c>
      <c r="J59" s="12" t="s">
        <v>2794</v>
      </c>
      <c r="K59" s="12" t="s">
        <v>2805</v>
      </c>
      <c r="L59" s="12"/>
      <c r="M59" s="4" t="s">
        <v>3040</v>
      </c>
    </row>
    <row r="60" customFormat="false" ht="35.05" hidden="false" customHeight="false" outlineLevel="0" collapsed="false">
      <c r="A60" s="4" t="s">
        <v>2972</v>
      </c>
      <c r="B60" s="12" t="s">
        <v>2767</v>
      </c>
      <c r="C60" s="4" t="s">
        <v>2893</v>
      </c>
      <c r="D60" s="12" t="s">
        <v>2793</v>
      </c>
      <c r="E60" s="12" t="s">
        <v>2484</v>
      </c>
      <c r="F60" s="29" t="n">
        <v>1</v>
      </c>
      <c r="G60" s="29" t="n">
        <v>8</v>
      </c>
      <c r="H60" s="19" t="n">
        <v>1200</v>
      </c>
      <c r="I60" s="23" t="n">
        <f aca="false">F60*G60*H60</f>
        <v>9600</v>
      </c>
      <c r="J60" s="12" t="s">
        <v>2794</v>
      </c>
      <c r="K60" s="12" t="s">
        <v>2894</v>
      </c>
      <c r="L60" s="12" t="s">
        <v>2796</v>
      </c>
      <c r="M60" s="4" t="s">
        <v>3041</v>
      </c>
    </row>
    <row r="61" customFormat="false" ht="35.05" hidden="false" customHeight="false" outlineLevel="0" collapsed="false">
      <c r="A61" s="4" t="s">
        <v>2972</v>
      </c>
      <c r="B61" s="12" t="s">
        <v>2767</v>
      </c>
      <c r="C61" s="4" t="s">
        <v>3042</v>
      </c>
      <c r="D61" s="12" t="s">
        <v>2793</v>
      </c>
      <c r="E61" s="12" t="s">
        <v>2484</v>
      </c>
      <c r="F61" s="29" t="n">
        <v>1</v>
      </c>
      <c r="G61" s="29" t="n">
        <v>2</v>
      </c>
      <c r="H61" s="19" t="n">
        <v>2000</v>
      </c>
      <c r="I61" s="23" t="n">
        <f aca="false">F61*G61*H61</f>
        <v>4000</v>
      </c>
      <c r="J61" s="12" t="s">
        <v>2794</v>
      </c>
      <c r="K61" s="12" t="s">
        <v>2891</v>
      </c>
      <c r="L61" s="12" t="s">
        <v>2796</v>
      </c>
      <c r="M61" s="4" t="s">
        <v>3043</v>
      </c>
    </row>
    <row r="62" customFormat="false" ht="35.05" hidden="false" customHeight="false" outlineLevel="0" collapsed="false">
      <c r="A62" s="4" t="s">
        <v>2972</v>
      </c>
      <c r="B62" s="12" t="s">
        <v>2765</v>
      </c>
      <c r="C62" s="4" t="s">
        <v>3044</v>
      </c>
      <c r="D62" s="12" t="s">
        <v>2808</v>
      </c>
      <c r="E62" s="12" t="s">
        <v>2702</v>
      </c>
      <c r="F62" s="29" t="n">
        <v>1</v>
      </c>
      <c r="G62" s="29" t="n">
        <v>30</v>
      </c>
      <c r="H62" s="19" t="n">
        <v>180</v>
      </c>
      <c r="I62" s="23" t="n">
        <f aca="false">F62*G62*H62</f>
        <v>5400</v>
      </c>
      <c r="J62" s="12" t="s">
        <v>2980</v>
      </c>
      <c r="K62" s="12" t="s">
        <v>2899</v>
      </c>
      <c r="L62" s="12" t="s">
        <v>2796</v>
      </c>
      <c r="M62" s="4" t="s">
        <v>3045</v>
      </c>
    </row>
    <row r="63" customFormat="false" ht="35.05" hidden="false" customHeight="false" outlineLevel="0" collapsed="false">
      <c r="A63" s="4" t="s">
        <v>2972</v>
      </c>
      <c r="B63" s="12" t="s">
        <v>2765</v>
      </c>
      <c r="C63" s="4" t="s">
        <v>3046</v>
      </c>
      <c r="D63" s="12" t="s">
        <v>2804</v>
      </c>
      <c r="E63" s="12" t="s">
        <v>2597</v>
      </c>
      <c r="F63" s="29" t="n">
        <v>1</v>
      </c>
      <c r="G63" s="29" t="n">
        <v>1</v>
      </c>
      <c r="H63" s="19" t="n">
        <v>3000</v>
      </c>
      <c r="I63" s="23" t="n">
        <f aca="false">F63*G63*H63</f>
        <v>3000</v>
      </c>
      <c r="J63" s="12" t="s">
        <v>2794</v>
      </c>
      <c r="K63" s="12" t="s">
        <v>2902</v>
      </c>
      <c r="L63" s="12" t="s">
        <v>2796</v>
      </c>
      <c r="M63" s="4" t="s">
        <v>3047</v>
      </c>
    </row>
    <row r="64" customFormat="false" ht="35.05" hidden="false" customHeight="false" outlineLevel="0" collapsed="false">
      <c r="A64" s="4" t="s">
        <v>2972</v>
      </c>
      <c r="B64" s="12" t="s">
        <v>2765</v>
      </c>
      <c r="C64" s="4" t="s">
        <v>3048</v>
      </c>
      <c r="D64" s="12" t="s">
        <v>2808</v>
      </c>
      <c r="E64" s="12" t="s">
        <v>2477</v>
      </c>
      <c r="F64" s="29" t="n">
        <v>60</v>
      </c>
      <c r="G64" s="29" t="n">
        <v>1</v>
      </c>
      <c r="H64" s="19" t="n">
        <v>25</v>
      </c>
      <c r="I64" s="23" t="n">
        <f aca="false">F64*G64*H64</f>
        <v>1500</v>
      </c>
      <c r="J64" s="12" t="s">
        <v>2794</v>
      </c>
      <c r="K64" s="12" t="s">
        <v>2805</v>
      </c>
      <c r="L64" s="12"/>
      <c r="M64" s="4" t="s">
        <v>3049</v>
      </c>
    </row>
    <row r="65" customFormat="false" ht="35.05" hidden="false" customHeight="false" outlineLevel="0" collapsed="false">
      <c r="A65" s="4" t="s">
        <v>2972</v>
      </c>
      <c r="B65" s="12" t="s">
        <v>2768</v>
      </c>
      <c r="C65" s="4" t="s">
        <v>2911</v>
      </c>
      <c r="D65" s="12" t="s">
        <v>2882</v>
      </c>
      <c r="E65" s="12" t="s">
        <v>2601</v>
      </c>
      <c r="F65" s="29" t="n">
        <v>1</v>
      </c>
      <c r="G65" s="29" t="n">
        <v>1</v>
      </c>
      <c r="H65" s="19" t="n">
        <v>20720</v>
      </c>
      <c r="I65" s="23" t="n">
        <f aca="false">F65*G65*H65</f>
        <v>20720</v>
      </c>
      <c r="J65" s="12" t="s">
        <v>2794</v>
      </c>
      <c r="K65" s="12" t="s">
        <v>2805</v>
      </c>
      <c r="L65" s="12"/>
      <c r="M65" s="4" t="s">
        <v>3050</v>
      </c>
    </row>
    <row r="66" customFormat="false" ht="15" hidden="false" customHeight="false" outlineLevel="0" collapsed="false">
      <c r="H66" s="10" t="s">
        <v>134</v>
      </c>
      <c r="I66" s="11" t="n">
        <f aca="false">SUM(I26:I65)</f>
        <v>310075</v>
      </c>
    </row>
    <row r="68" customFormat="false" ht="15" hidden="false" customHeight="false" outlineLevel="0" collapsed="false">
      <c r="A68" s="22" t="s">
        <v>2913</v>
      </c>
    </row>
    <row r="69" customFormat="false" ht="23.85" hidden="false" customHeight="false" outlineLevel="0" collapsed="false">
      <c r="A69" s="3" t="s">
        <v>2914</v>
      </c>
      <c r="B69" s="3" t="s">
        <v>2915</v>
      </c>
      <c r="C69" s="3" t="s">
        <v>2780</v>
      </c>
      <c r="D69" s="3" t="s">
        <v>2781</v>
      </c>
      <c r="E69" s="3" t="s">
        <v>2782</v>
      </c>
      <c r="F69" s="3" t="s">
        <v>2783</v>
      </c>
      <c r="G69" s="3" t="s">
        <v>2784</v>
      </c>
      <c r="H69" s="3" t="s">
        <v>2785</v>
      </c>
      <c r="I69" s="3" t="s">
        <v>2786</v>
      </c>
      <c r="J69" s="3" t="s">
        <v>1393</v>
      </c>
      <c r="K69" s="3" t="s">
        <v>2916</v>
      </c>
      <c r="L69" s="3" t="s">
        <v>2789</v>
      </c>
      <c r="M69" s="3" t="s">
        <v>368</v>
      </c>
    </row>
    <row r="70" customFormat="false" ht="23.85" hidden="false" customHeight="false" outlineLevel="0" collapsed="false">
      <c r="A70" s="4" t="s">
        <v>2917</v>
      </c>
      <c r="B70" s="12" t="s">
        <v>2918</v>
      </c>
      <c r="C70" s="4" t="s">
        <v>2919</v>
      </c>
      <c r="D70" s="12" t="s">
        <v>2804</v>
      </c>
      <c r="E70" s="12" t="s">
        <v>2597</v>
      </c>
      <c r="F70" s="30" t="n">
        <v>1</v>
      </c>
      <c r="G70" s="30" t="n">
        <v>1</v>
      </c>
      <c r="H70" s="19" t="n">
        <v>10000</v>
      </c>
      <c r="I70" s="23" t="n">
        <f aca="false">F70*G70*H70</f>
        <v>10000</v>
      </c>
      <c r="J70" s="12" t="s">
        <v>2794</v>
      </c>
      <c r="K70" s="12" t="s">
        <v>2920</v>
      </c>
      <c r="L70" s="12" t="s">
        <v>2796</v>
      </c>
      <c r="M70" s="4" t="s">
        <v>3051</v>
      </c>
    </row>
    <row r="71" customFormat="false" ht="23.85" hidden="false" customHeight="false" outlineLevel="0" collapsed="false">
      <c r="A71" s="4" t="s">
        <v>2917</v>
      </c>
      <c r="B71" s="12" t="s">
        <v>2918</v>
      </c>
      <c r="C71" s="4" t="s">
        <v>2922</v>
      </c>
      <c r="D71" s="12" t="s">
        <v>2804</v>
      </c>
      <c r="E71" s="12" t="s">
        <v>2597</v>
      </c>
      <c r="F71" s="30" t="n">
        <v>1</v>
      </c>
      <c r="G71" s="30" t="n">
        <v>1</v>
      </c>
      <c r="H71" s="19" t="n">
        <v>6000</v>
      </c>
      <c r="I71" s="23" t="n">
        <f aca="false">F71*G71*H71</f>
        <v>6000</v>
      </c>
      <c r="J71" s="12" t="s">
        <v>2794</v>
      </c>
      <c r="K71" s="12" t="s">
        <v>2805</v>
      </c>
      <c r="L71" s="12"/>
      <c r="M71" s="4" t="s">
        <v>2923</v>
      </c>
    </row>
    <row r="72" customFormat="false" ht="23.85" hidden="false" customHeight="false" outlineLevel="0" collapsed="false">
      <c r="A72" s="4" t="s">
        <v>2917</v>
      </c>
      <c r="B72" s="12" t="s">
        <v>2918</v>
      </c>
      <c r="C72" s="4" t="s">
        <v>2924</v>
      </c>
      <c r="D72" s="12" t="s">
        <v>2793</v>
      </c>
      <c r="E72" s="12" t="s">
        <v>2484</v>
      </c>
      <c r="F72" s="30" t="n">
        <v>1</v>
      </c>
      <c r="G72" s="30" t="n">
        <v>2</v>
      </c>
      <c r="H72" s="19" t="n">
        <v>3000</v>
      </c>
      <c r="I72" s="23" t="n">
        <f aca="false">F72*G72*H72</f>
        <v>6000</v>
      </c>
      <c r="J72" s="12" t="s">
        <v>2794</v>
      </c>
      <c r="K72" s="12" t="s">
        <v>2805</v>
      </c>
      <c r="L72" s="12"/>
      <c r="M72" s="4" t="s">
        <v>3052</v>
      </c>
    </row>
    <row r="73" customFormat="false" ht="23.85" hidden="false" customHeight="false" outlineLevel="0" collapsed="false">
      <c r="A73" s="4" t="s">
        <v>2917</v>
      </c>
      <c r="B73" s="12" t="s">
        <v>2918</v>
      </c>
      <c r="C73" s="4" t="s">
        <v>2926</v>
      </c>
      <c r="D73" s="12" t="s">
        <v>2793</v>
      </c>
      <c r="E73" s="12" t="s">
        <v>2484</v>
      </c>
      <c r="F73" s="30" t="n">
        <v>1</v>
      </c>
      <c r="G73" s="30" t="n">
        <v>8</v>
      </c>
      <c r="H73" s="19" t="n">
        <v>80</v>
      </c>
      <c r="I73" s="23" t="n">
        <f aca="false">F73*G73*H73</f>
        <v>640</v>
      </c>
      <c r="J73" s="12" t="s">
        <v>2794</v>
      </c>
      <c r="K73" s="12" t="s">
        <v>2805</v>
      </c>
      <c r="L73" s="12"/>
      <c r="M73" s="4"/>
    </row>
    <row r="74" customFormat="false" ht="23.85" hidden="false" customHeight="false" outlineLevel="0" collapsed="false">
      <c r="A74" s="4" t="s">
        <v>2917</v>
      </c>
      <c r="B74" s="12" t="s">
        <v>2918</v>
      </c>
      <c r="C74" s="4" t="s">
        <v>2928</v>
      </c>
      <c r="D74" s="12" t="s">
        <v>2882</v>
      </c>
      <c r="E74" s="12" t="s">
        <v>2601</v>
      </c>
      <c r="F74" s="30" t="n">
        <v>1</v>
      </c>
      <c r="G74" s="30" t="n">
        <v>1</v>
      </c>
      <c r="H74" s="19" t="n">
        <v>1000</v>
      </c>
      <c r="I74" s="23" t="n">
        <f aca="false">F74*G74*H74</f>
        <v>1000</v>
      </c>
      <c r="J74" s="12" t="s">
        <v>2794</v>
      </c>
      <c r="K74" s="12" t="s">
        <v>2805</v>
      </c>
      <c r="L74" s="12"/>
      <c r="M74" s="4" t="s">
        <v>3053</v>
      </c>
    </row>
    <row r="75" customFormat="false" ht="23.85" hidden="false" customHeight="false" outlineLevel="0" collapsed="false">
      <c r="A75" s="4" t="s">
        <v>2917</v>
      </c>
      <c r="B75" s="12" t="s">
        <v>2930</v>
      </c>
      <c r="C75" s="4" t="s">
        <v>3054</v>
      </c>
      <c r="D75" s="12" t="s">
        <v>2793</v>
      </c>
      <c r="E75" s="12" t="s">
        <v>2484</v>
      </c>
      <c r="F75" s="30" t="n">
        <v>1</v>
      </c>
      <c r="G75" s="30" t="n">
        <v>2</v>
      </c>
      <c r="H75" s="19" t="n">
        <v>3500</v>
      </c>
      <c r="I75" s="23" t="n">
        <f aca="false">F75*G75*H75</f>
        <v>7000</v>
      </c>
      <c r="J75" s="12" t="s">
        <v>2794</v>
      </c>
      <c r="K75" s="12" t="s">
        <v>2805</v>
      </c>
      <c r="L75" s="12"/>
      <c r="M75" s="4" t="s">
        <v>3055</v>
      </c>
    </row>
    <row r="76" customFormat="false" ht="23.85" hidden="false" customHeight="false" outlineLevel="0" collapsed="false">
      <c r="A76" s="4" t="s">
        <v>2917</v>
      </c>
      <c r="B76" s="12" t="s">
        <v>2930</v>
      </c>
      <c r="C76" s="4" t="s">
        <v>3056</v>
      </c>
      <c r="D76" s="12" t="s">
        <v>2808</v>
      </c>
      <c r="E76" s="12" t="s">
        <v>2497</v>
      </c>
      <c r="F76" s="30" t="n">
        <v>1</v>
      </c>
      <c r="G76" s="30" t="n">
        <v>8</v>
      </c>
      <c r="H76" s="19" t="n">
        <v>250</v>
      </c>
      <c r="I76" s="23" t="n">
        <f aca="false">F76*G76*H76</f>
        <v>2000</v>
      </c>
      <c r="J76" s="12" t="s">
        <v>2794</v>
      </c>
      <c r="K76" s="12" t="s">
        <v>2934</v>
      </c>
      <c r="L76" s="12" t="s">
        <v>2796</v>
      </c>
      <c r="M76" s="4" t="s">
        <v>3057</v>
      </c>
    </row>
    <row r="77" customFormat="false" ht="23.85" hidden="false" customHeight="false" outlineLevel="0" collapsed="false">
      <c r="A77" s="4" t="s">
        <v>2917</v>
      </c>
      <c r="B77" s="12" t="s">
        <v>2930</v>
      </c>
      <c r="C77" s="4" t="s">
        <v>3058</v>
      </c>
      <c r="D77" s="12" t="s">
        <v>2804</v>
      </c>
      <c r="E77" s="12" t="s">
        <v>2597</v>
      </c>
      <c r="F77" s="30" t="n">
        <v>1</v>
      </c>
      <c r="G77" s="30" t="n">
        <v>1</v>
      </c>
      <c r="H77" s="19" t="n">
        <v>5000</v>
      </c>
      <c r="I77" s="23" t="n">
        <f aca="false">F77*G77*H77</f>
        <v>5000</v>
      </c>
      <c r="J77" s="12" t="s">
        <v>2794</v>
      </c>
      <c r="K77" s="12" t="s">
        <v>2937</v>
      </c>
      <c r="L77" s="12" t="s">
        <v>2796</v>
      </c>
      <c r="M77" s="4" t="s">
        <v>3059</v>
      </c>
    </row>
    <row r="78" customFormat="false" ht="23.85" hidden="false" customHeight="false" outlineLevel="0" collapsed="false">
      <c r="A78" s="4" t="s">
        <v>2917</v>
      </c>
      <c r="B78" s="12" t="s">
        <v>2930</v>
      </c>
      <c r="C78" s="4" t="s">
        <v>3060</v>
      </c>
      <c r="D78" s="12" t="s">
        <v>2793</v>
      </c>
      <c r="E78" s="12" t="s">
        <v>2484</v>
      </c>
      <c r="F78" s="30" t="n">
        <v>1</v>
      </c>
      <c r="G78" s="30" t="n">
        <v>3</v>
      </c>
      <c r="H78" s="19" t="n">
        <v>3800</v>
      </c>
      <c r="I78" s="23" t="n">
        <f aca="false">F78*G78*H78</f>
        <v>11400</v>
      </c>
      <c r="J78" s="12" t="s">
        <v>2794</v>
      </c>
      <c r="K78" s="12" t="s">
        <v>2909</v>
      </c>
      <c r="L78" s="12" t="s">
        <v>2796</v>
      </c>
      <c r="M78" s="4" t="s">
        <v>3061</v>
      </c>
    </row>
    <row r="79" customFormat="false" ht="23.85" hidden="false" customHeight="false" outlineLevel="0" collapsed="false">
      <c r="A79" s="4" t="s">
        <v>2917</v>
      </c>
      <c r="B79" s="12" t="s">
        <v>2930</v>
      </c>
      <c r="C79" s="4" t="s">
        <v>2651</v>
      </c>
      <c r="D79" s="12" t="s">
        <v>2793</v>
      </c>
      <c r="E79" s="12" t="s">
        <v>2484</v>
      </c>
      <c r="F79" s="30" t="n">
        <v>1</v>
      </c>
      <c r="G79" s="30" t="n">
        <v>1</v>
      </c>
      <c r="H79" s="19" t="n">
        <v>4500</v>
      </c>
      <c r="I79" s="23" t="n">
        <f aca="false">F79*G79*H79</f>
        <v>4500</v>
      </c>
      <c r="J79" s="12" t="s">
        <v>2794</v>
      </c>
      <c r="K79" s="12" t="s">
        <v>2939</v>
      </c>
      <c r="L79" s="12" t="s">
        <v>2796</v>
      </c>
      <c r="M79" s="4" t="s">
        <v>3062</v>
      </c>
    </row>
    <row r="80" customFormat="false" ht="23.85" hidden="false" customHeight="false" outlineLevel="0" collapsed="false">
      <c r="A80" s="4" t="s">
        <v>2917</v>
      </c>
      <c r="B80" s="12" t="s">
        <v>2930</v>
      </c>
      <c r="C80" s="4" t="s">
        <v>3063</v>
      </c>
      <c r="D80" s="12" t="s">
        <v>2882</v>
      </c>
      <c r="E80" s="12" t="s">
        <v>2601</v>
      </c>
      <c r="F80" s="30" t="n">
        <v>1</v>
      </c>
      <c r="G80" s="30" t="n">
        <v>1</v>
      </c>
      <c r="H80" s="19" t="n">
        <v>2500</v>
      </c>
      <c r="I80" s="23" t="n">
        <f aca="false">F80*G80*H80</f>
        <v>2500</v>
      </c>
      <c r="J80" s="12" t="s">
        <v>2794</v>
      </c>
      <c r="K80" s="12" t="s">
        <v>2942</v>
      </c>
      <c r="L80" s="12" t="s">
        <v>2796</v>
      </c>
      <c r="M80" s="4" t="s">
        <v>3064</v>
      </c>
    </row>
    <row r="81" customFormat="false" ht="23.85" hidden="false" customHeight="false" outlineLevel="0" collapsed="false">
      <c r="A81" s="4" t="s">
        <v>2917</v>
      </c>
      <c r="B81" s="12" t="s">
        <v>2930</v>
      </c>
      <c r="C81" s="4" t="s">
        <v>2944</v>
      </c>
      <c r="D81" s="12" t="s">
        <v>2808</v>
      </c>
      <c r="E81" s="12" t="s">
        <v>2477</v>
      </c>
      <c r="F81" s="30" t="n">
        <v>300</v>
      </c>
      <c r="G81" s="30" t="n">
        <v>1</v>
      </c>
      <c r="H81" s="19" t="n">
        <v>2.5</v>
      </c>
      <c r="I81" s="23" t="n">
        <f aca="false">F81*G81*H81</f>
        <v>750</v>
      </c>
      <c r="J81" s="12" t="s">
        <v>2980</v>
      </c>
      <c r="K81" s="12" t="s">
        <v>2805</v>
      </c>
      <c r="L81" s="12"/>
      <c r="M81" s="4"/>
    </row>
    <row r="82" customFormat="false" ht="23.85" hidden="false" customHeight="false" outlineLevel="0" collapsed="false">
      <c r="A82" s="4" t="s">
        <v>2917</v>
      </c>
      <c r="B82" s="12" t="s">
        <v>2930</v>
      </c>
      <c r="C82" s="4" t="s">
        <v>2946</v>
      </c>
      <c r="D82" s="12" t="s">
        <v>2808</v>
      </c>
      <c r="E82" s="12" t="s">
        <v>2661</v>
      </c>
      <c r="F82" s="30" t="n">
        <v>2</v>
      </c>
      <c r="G82" s="30" t="n">
        <v>1</v>
      </c>
      <c r="H82" s="19" t="n">
        <v>450</v>
      </c>
      <c r="I82" s="23" t="n">
        <f aca="false">F82*G82*H82</f>
        <v>900</v>
      </c>
      <c r="J82" s="12" t="s">
        <v>2980</v>
      </c>
      <c r="K82" s="12" t="s">
        <v>2805</v>
      </c>
      <c r="L82" s="12"/>
      <c r="M82" s="4"/>
    </row>
    <row r="84" customFormat="false" ht="15" hidden="false" customHeight="false" outlineLevel="0" collapsed="false">
      <c r="A84" s="10" t="s">
        <v>2952</v>
      </c>
      <c r="B84" s="23" t="n">
        <f aca="false">SUMIFS($I$70:$I$82,$B$70:$B$82,"Custos de administração")</f>
        <v>23640</v>
      </c>
      <c r="C84" s="13" t="n">
        <f aca="false">B17</f>
        <v>24806</v>
      </c>
      <c r="D84" s="23" t="n">
        <f aca="false">C84-B84</f>
        <v>1166</v>
      </c>
      <c r="E84" s="12" t="str">
        <f aca="false">IF(D84&gt;=0,"OK","EXCEDE")</f>
        <v>OK</v>
      </c>
    </row>
    <row r="85" customFormat="false" ht="15" hidden="false" customHeight="false" outlineLevel="0" collapsed="false">
      <c r="A85" s="10" t="s">
        <v>2953</v>
      </c>
      <c r="B85" s="23" t="n">
        <f aca="false">SUMIFS($I$70:$I$82,$B$70:$B$82,"Custos de acessibilidade, comunicação e divulgação")</f>
        <v>34050</v>
      </c>
      <c r="C85" s="13" t="n">
        <f aca="false">B18</f>
        <v>34108.25</v>
      </c>
      <c r="D85" s="23" t="n">
        <f aca="false">C85-B85</f>
        <v>58.25</v>
      </c>
      <c r="E85" s="12" t="str">
        <f aca="false">IF(D85&gt;=0,"OK","EXCEDE")</f>
        <v>OK</v>
      </c>
    </row>
    <row r="86" customFormat="false" ht="15" hidden="false" customHeight="false" outlineLevel="0" collapsed="false">
      <c r="A86" s="14" t="s">
        <v>2954</v>
      </c>
    </row>
    <row r="88" customFormat="false" ht="15" hidden="false" customHeight="false" outlineLevel="0" collapsed="false">
      <c r="A88" s="22" t="s">
        <v>2955</v>
      </c>
    </row>
    <row r="89" customFormat="false" ht="30" hidden="false" customHeight="true" outlineLevel="0" collapsed="false">
      <c r="A89" s="21" t="s">
        <v>3065</v>
      </c>
      <c r="B89" s="21"/>
      <c r="C89" s="21"/>
      <c r="D89" s="21"/>
      <c r="E89" s="21"/>
      <c r="F89" s="21"/>
      <c r="G89" s="21"/>
      <c r="H89" s="21"/>
      <c r="I89" s="21"/>
      <c r="J89" s="21"/>
      <c r="K89" s="21"/>
      <c r="L89" s="21"/>
      <c r="M89" s="21"/>
    </row>
    <row r="90" customFormat="false" ht="30" hidden="false" customHeight="true" outlineLevel="0" collapsed="false">
      <c r="A90" s="21" t="s">
        <v>3066</v>
      </c>
      <c r="B90" s="21"/>
      <c r="C90" s="21"/>
      <c r="D90" s="21"/>
      <c r="E90" s="21"/>
      <c r="F90" s="21"/>
      <c r="G90" s="21"/>
      <c r="H90" s="21"/>
      <c r="I90" s="21"/>
      <c r="J90" s="21"/>
      <c r="K90" s="21"/>
      <c r="L90" s="21"/>
      <c r="M90" s="21"/>
    </row>
    <row r="91" customFormat="false" ht="30" hidden="false" customHeight="true" outlineLevel="0" collapsed="false">
      <c r="A91" s="21" t="s">
        <v>3067</v>
      </c>
      <c r="B91" s="21"/>
      <c r="C91" s="21"/>
      <c r="D91" s="21"/>
      <c r="E91" s="21"/>
      <c r="F91" s="21"/>
      <c r="G91" s="21"/>
      <c r="H91" s="21"/>
      <c r="I91" s="21"/>
      <c r="J91" s="21"/>
      <c r="K91" s="21"/>
      <c r="L91" s="21"/>
      <c r="M91" s="21"/>
    </row>
    <row r="92" customFormat="false" ht="30" hidden="false" customHeight="true" outlineLevel="0" collapsed="false">
      <c r="A92" s="21" t="s">
        <v>3068</v>
      </c>
      <c r="B92" s="21"/>
      <c r="C92" s="21"/>
      <c r="D92" s="21"/>
      <c r="E92" s="21"/>
      <c r="F92" s="21"/>
      <c r="G92" s="21"/>
      <c r="H92" s="21"/>
      <c r="I92" s="21"/>
      <c r="J92" s="21"/>
      <c r="K92" s="21"/>
      <c r="L92" s="21"/>
      <c r="M92" s="21"/>
    </row>
    <row r="93" customFormat="false" ht="30" hidden="false" customHeight="true" outlineLevel="0" collapsed="false">
      <c r="A93" s="21" t="s">
        <v>3069</v>
      </c>
      <c r="B93" s="21"/>
      <c r="C93" s="21"/>
      <c r="D93" s="21"/>
      <c r="E93" s="21"/>
      <c r="F93" s="21"/>
      <c r="G93" s="21"/>
      <c r="H93" s="21"/>
      <c r="I93" s="21"/>
      <c r="J93" s="21"/>
      <c r="K93" s="21"/>
      <c r="L93" s="21"/>
      <c r="M93" s="21"/>
    </row>
    <row r="94" customFormat="false" ht="30" hidden="false" customHeight="true" outlineLevel="0" collapsed="false">
      <c r="A94" s="21" t="s">
        <v>3070</v>
      </c>
      <c r="B94" s="21"/>
      <c r="C94" s="21"/>
      <c r="D94" s="21"/>
      <c r="E94" s="21"/>
      <c r="F94" s="21"/>
      <c r="G94" s="21"/>
      <c r="H94" s="21"/>
      <c r="I94" s="21"/>
      <c r="J94" s="21"/>
      <c r="K94" s="21"/>
      <c r="L94" s="21"/>
      <c r="M94" s="21"/>
    </row>
    <row r="95" customFormat="false" ht="15" hidden="false" customHeight="true" outlineLevel="0" collapsed="false">
      <c r="A95" s="21" t="s">
        <v>3071</v>
      </c>
      <c r="B95" s="21"/>
      <c r="C95" s="21"/>
      <c r="D95" s="21"/>
      <c r="E95" s="21"/>
      <c r="F95" s="21"/>
      <c r="G95" s="21"/>
      <c r="H95" s="21"/>
      <c r="I95" s="21"/>
      <c r="J95" s="21"/>
      <c r="K95" s="21"/>
      <c r="L95" s="21"/>
      <c r="M95" s="21"/>
    </row>
    <row r="97" customFormat="false" ht="15" hidden="false" customHeight="false" outlineLevel="0" collapsed="false">
      <c r="A97" s="22" t="s">
        <v>2964</v>
      </c>
      <c r="B97" s="19" t="n">
        <v>80000</v>
      </c>
    </row>
    <row r="98" customFormat="false" ht="75" hidden="false" customHeight="true" outlineLevel="0" collapsed="false">
      <c r="A98" s="21" t="s">
        <v>3072</v>
      </c>
      <c r="B98" s="21"/>
      <c r="C98" s="21"/>
      <c r="D98" s="21"/>
      <c r="E98" s="21"/>
      <c r="F98" s="21"/>
      <c r="G98" s="21"/>
      <c r="H98" s="21"/>
      <c r="I98" s="21"/>
      <c r="J98" s="21"/>
      <c r="K98" s="21"/>
      <c r="L98" s="21"/>
      <c r="M98" s="21"/>
    </row>
  </sheetData>
  <mergeCells count="13">
    <mergeCell ref="B2:M2"/>
    <mergeCell ref="B3:M3"/>
    <mergeCell ref="B4:M4"/>
    <mergeCell ref="B5:M5"/>
    <mergeCell ref="B6:M6"/>
    <mergeCell ref="A89:M89"/>
    <mergeCell ref="A90:M90"/>
    <mergeCell ref="A91:M91"/>
    <mergeCell ref="A92:M92"/>
    <mergeCell ref="A93:M93"/>
    <mergeCell ref="A94:M94"/>
    <mergeCell ref="A95:M95"/>
    <mergeCell ref="A98:M98"/>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5">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0:L82">
    <cfRule type="expression" priority="11" aboveAverage="0" equalAverage="0" bottom="0" percent="0" rank="0" text="" dxfId="2">
      <formula>LEFT(L70,5)="ACIMA"</formula>
    </cfRule>
  </conditionalFormatting>
  <conditionalFormatting sqref="E84:E85">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ISNUMBER(SEARCH("EXCEDE",E84))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3073</v>
      </c>
    </row>
    <row r="2" customFormat="false" ht="30" hidden="false" customHeight="true" outlineLevel="0" collapsed="false">
      <c r="A2" s="22" t="s">
        <v>2748</v>
      </c>
      <c r="B2" s="21" t="s">
        <v>3074</v>
      </c>
      <c r="C2" s="21"/>
      <c r="D2" s="21"/>
      <c r="E2" s="21"/>
      <c r="F2" s="21"/>
      <c r="G2" s="21"/>
      <c r="H2" s="21"/>
      <c r="I2" s="21"/>
      <c r="J2" s="21"/>
      <c r="K2" s="21"/>
      <c r="L2" s="21"/>
      <c r="M2" s="21"/>
    </row>
    <row r="3" customFormat="false" ht="30" hidden="false" customHeight="true" outlineLevel="0" collapsed="false">
      <c r="A3" s="22" t="s">
        <v>2750</v>
      </c>
      <c r="B3" s="21" t="s">
        <v>3075</v>
      </c>
      <c r="C3" s="21"/>
      <c r="D3" s="21"/>
      <c r="E3" s="21"/>
      <c r="F3" s="21"/>
      <c r="G3" s="21"/>
      <c r="H3" s="21"/>
      <c r="I3" s="21"/>
      <c r="J3" s="21"/>
      <c r="K3" s="21"/>
      <c r="L3" s="21"/>
      <c r="M3" s="21"/>
    </row>
    <row r="4" customFormat="false" ht="30" hidden="false" customHeight="true" outlineLevel="0" collapsed="false">
      <c r="A4" s="22" t="s">
        <v>2752</v>
      </c>
      <c r="B4" s="21" t="s">
        <v>3076</v>
      </c>
      <c r="C4" s="21"/>
      <c r="D4" s="21"/>
      <c r="E4" s="21"/>
      <c r="F4" s="21"/>
      <c r="G4" s="21"/>
      <c r="H4" s="21"/>
      <c r="I4" s="21"/>
      <c r="J4" s="21"/>
      <c r="K4" s="21"/>
      <c r="L4" s="21"/>
      <c r="M4" s="21"/>
    </row>
    <row r="5" customFormat="false" ht="30" hidden="false" customHeight="true" outlineLevel="0" collapsed="false">
      <c r="A5" s="22" t="s">
        <v>2754</v>
      </c>
      <c r="B5" s="21" t="s">
        <v>3077</v>
      </c>
      <c r="C5" s="21"/>
      <c r="D5" s="21"/>
      <c r="E5" s="21"/>
      <c r="F5" s="21"/>
      <c r="G5" s="21"/>
      <c r="H5" s="21"/>
      <c r="I5" s="21"/>
      <c r="J5" s="21"/>
      <c r="K5" s="21"/>
      <c r="L5" s="21"/>
      <c r="M5" s="21"/>
    </row>
    <row r="6" customFormat="false" ht="30" hidden="false" customHeight="true" outlineLevel="0" collapsed="false">
      <c r="A6" s="22" t="s">
        <v>2756</v>
      </c>
      <c r="B6" s="21" t="s">
        <v>3078</v>
      </c>
      <c r="C6" s="21"/>
      <c r="D6" s="21"/>
      <c r="E6" s="21"/>
      <c r="F6" s="21"/>
      <c r="G6" s="21"/>
      <c r="H6" s="21"/>
      <c r="I6" s="21"/>
      <c r="J6" s="21"/>
      <c r="K6" s="21"/>
      <c r="L6" s="21"/>
      <c r="M6" s="21"/>
    </row>
    <row r="7" customFormat="false" ht="15" hidden="false" customHeight="false" outlineLevel="0" collapsed="false">
      <c r="A7" s="22" t="s">
        <v>2758</v>
      </c>
      <c r="B7" s="19" t="n">
        <v>200000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SUMIFS($I$26:$I$51,$B$26:$B$51,A11)</f>
        <v>14000</v>
      </c>
      <c r="C11" s="24" t="n">
        <f aca="false">IF($B$16=0,0,B11/$B$16)</f>
        <v>0.0903208325000161</v>
      </c>
    </row>
    <row r="12" customFormat="false" ht="15" hidden="false" customHeight="false" outlineLevel="0" collapsed="false">
      <c r="A12" s="12" t="s">
        <v>2765</v>
      </c>
      <c r="B12" s="23" t="n">
        <f aca="false">SUMIFS($I$26:$I$51,$B$26:$B$51,A12)</f>
        <v>117771</v>
      </c>
      <c r="C12" s="24" t="n">
        <f aca="false">IF($B$16=0,0,B12/$B$16)</f>
        <v>0.759798197454243</v>
      </c>
    </row>
    <row r="13" customFormat="false" ht="15" hidden="false" customHeight="false" outlineLevel="0" collapsed="false">
      <c r="A13" s="12" t="s">
        <v>2766</v>
      </c>
      <c r="B13" s="23" t="n">
        <f aca="false">SUMIFS($I$26:$I$51,$B$26:$B$51,A13)</f>
        <v>6000</v>
      </c>
      <c r="C13" s="24" t="n">
        <f aca="false">IF($B$16=0,0,B13/$B$16)</f>
        <v>0.0387089282142926</v>
      </c>
    </row>
    <row r="14" customFormat="false" ht="15" hidden="false" customHeight="false" outlineLevel="0" collapsed="false">
      <c r="A14" s="12" t="s">
        <v>2767</v>
      </c>
      <c r="B14" s="23" t="n">
        <f aca="false">SUMIFS($I$26:$I$51,$B$26:$B$51,A14)</f>
        <v>7200</v>
      </c>
      <c r="C14" s="24" t="n">
        <f aca="false">IF($B$16=0,0,B14/$B$16)</f>
        <v>0.0464507138571512</v>
      </c>
    </row>
    <row r="15" customFormat="false" ht="15" hidden="false" customHeight="false" outlineLevel="0" collapsed="false">
      <c r="A15" s="12" t="s">
        <v>2768</v>
      </c>
      <c r="B15" s="23" t="n">
        <f aca="false">SUMIFS($I$26:$I$51,$B$26:$B$51,A15)</f>
        <v>10032</v>
      </c>
      <c r="C15" s="24" t="n">
        <f aca="false">IF($B$16=0,0,B15/$B$16)</f>
        <v>0.0647213279742973</v>
      </c>
    </row>
    <row r="16" customFormat="false" ht="15" hidden="false" customHeight="false" outlineLevel="0" collapsed="false">
      <c r="A16" s="25" t="s">
        <v>2769</v>
      </c>
      <c r="B16" s="26" t="n">
        <f aca="false">SUM(B11:B15)</f>
        <v>155003</v>
      </c>
    </row>
    <row r="17" customFormat="false" ht="23.85" hidden="false" customHeight="false" outlineLevel="0" collapsed="false">
      <c r="A17" s="4" t="s">
        <v>2770</v>
      </c>
      <c r="B17" s="23" t="n">
        <f aca="false">$B$16*C17</f>
        <v>10850.21</v>
      </c>
      <c r="C17" s="27" t="n">
        <v>0.07</v>
      </c>
      <c r="D17" s="28" t="n">
        <f aca="false">'Parâmetros IN 29'!$B$4</f>
        <v>0.15</v>
      </c>
      <c r="E17" s="12" t="str">
        <f aca="false">IF(AND(C17&lt;=D17),"OK","EXCEDE")</f>
        <v>OK</v>
      </c>
    </row>
    <row r="18" customFormat="false" ht="35.05" hidden="false" customHeight="false" outlineLevel="0" collapsed="false">
      <c r="A18" s="4" t="s">
        <v>2771</v>
      </c>
      <c r="B18" s="23" t="n">
        <f aca="false">$B$16*C18</f>
        <v>18600.36</v>
      </c>
      <c r="C18" s="27" t="n">
        <v>0.12</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15500.3</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199953.87</v>
      </c>
    </row>
    <row r="21" customFormat="false" ht="15" hidden="false" customHeight="false" outlineLevel="0" collapsed="false">
      <c r="A21" s="12" t="s">
        <v>2774</v>
      </c>
      <c r="B21" s="23" t="n">
        <f aca="false">B20-B7</f>
        <v>-46.1300000000047</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35.05" hidden="false" customHeight="false" outlineLevel="0" collapsed="false">
      <c r="A26" s="4" t="s">
        <v>3079</v>
      </c>
      <c r="B26" s="12" t="s">
        <v>2764</v>
      </c>
      <c r="C26" s="4" t="s">
        <v>2973</v>
      </c>
      <c r="D26" s="12" t="s">
        <v>2793</v>
      </c>
      <c r="E26" s="12" t="s">
        <v>2484</v>
      </c>
      <c r="F26" s="29" t="n">
        <v>1</v>
      </c>
      <c r="G26" s="29" t="n">
        <v>2</v>
      </c>
      <c r="H26" s="19" t="n">
        <v>3000</v>
      </c>
      <c r="I26" s="23" t="n">
        <f aca="false">F26*G26*H26</f>
        <v>6000</v>
      </c>
      <c r="J26" s="12" t="s">
        <v>2794</v>
      </c>
      <c r="K26" s="12" t="s">
        <v>2795</v>
      </c>
      <c r="L26" s="12" t="s">
        <v>2950</v>
      </c>
      <c r="M26" s="4" t="s">
        <v>3080</v>
      </c>
    </row>
    <row r="27" customFormat="false" ht="35.05" hidden="false" customHeight="false" outlineLevel="0" collapsed="false">
      <c r="A27" s="4" t="s">
        <v>3079</v>
      </c>
      <c r="B27" s="12" t="s">
        <v>2764</v>
      </c>
      <c r="C27" s="4" t="s">
        <v>3081</v>
      </c>
      <c r="D27" s="12" t="s">
        <v>2793</v>
      </c>
      <c r="E27" s="12" t="s">
        <v>2484</v>
      </c>
      <c r="F27" s="29" t="n">
        <v>1</v>
      </c>
      <c r="G27" s="29" t="n">
        <v>2</v>
      </c>
      <c r="H27" s="19" t="n">
        <v>4000</v>
      </c>
      <c r="I27" s="23" t="n">
        <f aca="false">F27*G27*H27</f>
        <v>8000</v>
      </c>
      <c r="J27" s="12" t="s">
        <v>3082</v>
      </c>
      <c r="K27" s="12" t="s">
        <v>3083</v>
      </c>
      <c r="L27" s="12" t="s">
        <v>2796</v>
      </c>
      <c r="M27" s="4" t="s">
        <v>3084</v>
      </c>
    </row>
    <row r="28" customFormat="false" ht="35.05" hidden="false" customHeight="false" outlineLevel="0" collapsed="false">
      <c r="A28" s="4" t="s">
        <v>3079</v>
      </c>
      <c r="B28" s="12" t="s">
        <v>2765</v>
      </c>
      <c r="C28" s="4" t="s">
        <v>2973</v>
      </c>
      <c r="D28" s="12" t="s">
        <v>2793</v>
      </c>
      <c r="E28" s="12" t="s">
        <v>2484</v>
      </c>
      <c r="F28" s="29" t="n">
        <v>1</v>
      </c>
      <c r="G28" s="29" t="n">
        <v>3</v>
      </c>
      <c r="H28" s="19" t="n">
        <v>3000</v>
      </c>
      <c r="I28" s="23" t="n">
        <f aca="false">F28*G28*H28</f>
        <v>9000</v>
      </c>
      <c r="J28" s="12" t="s">
        <v>2794</v>
      </c>
      <c r="K28" s="12" t="s">
        <v>2795</v>
      </c>
      <c r="L28" s="12" t="s">
        <v>2950</v>
      </c>
      <c r="M28" s="4" t="s">
        <v>3085</v>
      </c>
    </row>
    <row r="29" customFormat="false" ht="35.05" hidden="false" customHeight="false" outlineLevel="0" collapsed="false">
      <c r="A29" s="4" t="s">
        <v>3079</v>
      </c>
      <c r="B29" s="12" t="s">
        <v>2765</v>
      </c>
      <c r="C29" s="4" t="s">
        <v>2801</v>
      </c>
      <c r="D29" s="12" t="s">
        <v>2793</v>
      </c>
      <c r="E29" s="12" t="s">
        <v>2484</v>
      </c>
      <c r="F29" s="29" t="n">
        <v>1</v>
      </c>
      <c r="G29" s="29" t="n">
        <v>3</v>
      </c>
      <c r="H29" s="19" t="n">
        <v>4500</v>
      </c>
      <c r="I29" s="23" t="n">
        <f aca="false">F29*G29*H29</f>
        <v>13500</v>
      </c>
      <c r="J29" s="12" t="s">
        <v>3082</v>
      </c>
      <c r="K29" s="12" t="s">
        <v>2795</v>
      </c>
      <c r="L29" s="12" t="s">
        <v>2796</v>
      </c>
      <c r="M29" s="4" t="s">
        <v>3086</v>
      </c>
    </row>
    <row r="30" customFormat="false" ht="35.05" hidden="false" customHeight="false" outlineLevel="0" collapsed="false">
      <c r="A30" s="4" t="s">
        <v>3079</v>
      </c>
      <c r="B30" s="12" t="s">
        <v>2765</v>
      </c>
      <c r="C30" s="4" t="s">
        <v>3081</v>
      </c>
      <c r="D30" s="12" t="s">
        <v>2793</v>
      </c>
      <c r="E30" s="12" t="s">
        <v>2484</v>
      </c>
      <c r="F30" s="29" t="n">
        <v>1</v>
      </c>
      <c r="G30" s="29" t="n">
        <v>2</v>
      </c>
      <c r="H30" s="19" t="n">
        <v>4000</v>
      </c>
      <c r="I30" s="23" t="n">
        <f aca="false">F30*G30*H30</f>
        <v>8000</v>
      </c>
      <c r="J30" s="12" t="s">
        <v>3082</v>
      </c>
      <c r="K30" s="12" t="s">
        <v>3083</v>
      </c>
      <c r="L30" s="12" t="s">
        <v>2796</v>
      </c>
      <c r="M30" s="4" t="s">
        <v>3087</v>
      </c>
    </row>
    <row r="31" customFormat="false" ht="35.05" hidden="false" customHeight="false" outlineLevel="0" collapsed="false">
      <c r="A31" s="4" t="s">
        <v>3079</v>
      </c>
      <c r="B31" s="12" t="s">
        <v>2765</v>
      </c>
      <c r="C31" s="4" t="s">
        <v>3088</v>
      </c>
      <c r="D31" s="12" t="s">
        <v>2808</v>
      </c>
      <c r="E31" s="12" t="s">
        <v>2501</v>
      </c>
      <c r="F31" s="29" t="n">
        <v>8</v>
      </c>
      <c r="G31" s="29" t="n">
        <v>24</v>
      </c>
      <c r="H31" s="19" t="n">
        <v>116</v>
      </c>
      <c r="I31" s="23" t="n">
        <f aca="false">F31*G31*H31</f>
        <v>22272</v>
      </c>
      <c r="J31" s="12" t="s">
        <v>3082</v>
      </c>
      <c r="K31" s="12" t="s">
        <v>2821</v>
      </c>
      <c r="L31" s="12" t="s">
        <v>2796</v>
      </c>
      <c r="M31" s="4" t="s">
        <v>3089</v>
      </c>
    </row>
    <row r="32" customFormat="false" ht="35.05" hidden="false" customHeight="false" outlineLevel="0" collapsed="false">
      <c r="A32" s="4" t="s">
        <v>3079</v>
      </c>
      <c r="B32" s="12" t="s">
        <v>2765</v>
      </c>
      <c r="C32" s="4" t="s">
        <v>3090</v>
      </c>
      <c r="D32" s="12" t="s">
        <v>2808</v>
      </c>
      <c r="E32" s="12" t="s">
        <v>2831</v>
      </c>
      <c r="F32" s="29" t="n">
        <v>75</v>
      </c>
      <c r="G32" s="29" t="n">
        <v>1</v>
      </c>
      <c r="H32" s="19" t="n">
        <v>100</v>
      </c>
      <c r="I32" s="23" t="n">
        <f aca="false">F32*G32*H32</f>
        <v>7500</v>
      </c>
      <c r="J32" s="12" t="s">
        <v>3082</v>
      </c>
      <c r="K32" s="12" t="s">
        <v>2805</v>
      </c>
      <c r="L32" s="12"/>
      <c r="M32" s="4" t="s">
        <v>3091</v>
      </c>
    </row>
    <row r="33" customFormat="false" ht="35.05" hidden="false" customHeight="false" outlineLevel="0" collapsed="false">
      <c r="A33" s="4" t="s">
        <v>3079</v>
      </c>
      <c r="B33" s="12" t="s">
        <v>2765</v>
      </c>
      <c r="C33" s="4" t="s">
        <v>3092</v>
      </c>
      <c r="D33" s="12" t="s">
        <v>2808</v>
      </c>
      <c r="E33" s="12" t="s">
        <v>2831</v>
      </c>
      <c r="F33" s="29" t="n">
        <v>125</v>
      </c>
      <c r="G33" s="29" t="n">
        <v>1</v>
      </c>
      <c r="H33" s="19" t="n">
        <v>40</v>
      </c>
      <c r="I33" s="23" t="n">
        <f aca="false">F33*G33*H33</f>
        <v>5000</v>
      </c>
      <c r="J33" s="12" t="s">
        <v>3082</v>
      </c>
      <c r="K33" s="12" t="s">
        <v>2805</v>
      </c>
      <c r="L33" s="12"/>
      <c r="M33" s="4" t="s">
        <v>3093</v>
      </c>
    </row>
    <row r="34" customFormat="false" ht="35.05" hidden="false" customHeight="false" outlineLevel="0" collapsed="false">
      <c r="A34" s="4" t="s">
        <v>3079</v>
      </c>
      <c r="B34" s="12" t="s">
        <v>2765</v>
      </c>
      <c r="C34" s="4" t="s">
        <v>3094</v>
      </c>
      <c r="D34" s="12" t="s">
        <v>2808</v>
      </c>
      <c r="E34" s="12" t="s">
        <v>2497</v>
      </c>
      <c r="F34" s="29" t="n">
        <v>2</v>
      </c>
      <c r="G34" s="29" t="n">
        <v>6</v>
      </c>
      <c r="H34" s="19" t="n">
        <v>250</v>
      </c>
      <c r="I34" s="23" t="n">
        <f aca="false">F34*G34*H34</f>
        <v>3000</v>
      </c>
      <c r="J34" s="12" t="s">
        <v>3082</v>
      </c>
      <c r="K34" s="12" t="s">
        <v>2805</v>
      </c>
      <c r="L34" s="12"/>
      <c r="M34" s="4" t="s">
        <v>3095</v>
      </c>
    </row>
    <row r="35" customFormat="false" ht="35.05" hidden="false" customHeight="false" outlineLevel="0" collapsed="false">
      <c r="A35" s="4" t="s">
        <v>3079</v>
      </c>
      <c r="B35" s="12" t="s">
        <v>2765</v>
      </c>
      <c r="C35" s="4" t="s">
        <v>3096</v>
      </c>
      <c r="D35" s="12" t="s">
        <v>2808</v>
      </c>
      <c r="E35" s="12" t="s">
        <v>3097</v>
      </c>
      <c r="F35" s="29" t="n">
        <v>3</v>
      </c>
      <c r="G35" s="29" t="n">
        <v>2</v>
      </c>
      <c r="H35" s="19" t="n">
        <v>500</v>
      </c>
      <c r="I35" s="23" t="n">
        <f aca="false">F35*G35*H35</f>
        <v>3000</v>
      </c>
      <c r="J35" s="12" t="s">
        <v>3082</v>
      </c>
      <c r="K35" s="12" t="s">
        <v>2805</v>
      </c>
      <c r="L35" s="12"/>
      <c r="M35" s="4" t="s">
        <v>3098</v>
      </c>
    </row>
    <row r="36" customFormat="false" ht="35.05" hidden="false" customHeight="false" outlineLevel="0" collapsed="false">
      <c r="A36" s="4" t="s">
        <v>3079</v>
      </c>
      <c r="B36" s="12" t="s">
        <v>2765</v>
      </c>
      <c r="C36" s="4" t="s">
        <v>3099</v>
      </c>
      <c r="D36" s="12" t="s">
        <v>2808</v>
      </c>
      <c r="E36" s="12" t="s">
        <v>2477</v>
      </c>
      <c r="F36" s="29" t="n">
        <v>6</v>
      </c>
      <c r="G36" s="29" t="n">
        <v>1</v>
      </c>
      <c r="H36" s="19" t="n">
        <v>350</v>
      </c>
      <c r="I36" s="23" t="n">
        <f aca="false">F36*G36*H36</f>
        <v>2100</v>
      </c>
      <c r="J36" s="12" t="s">
        <v>3082</v>
      </c>
      <c r="K36" s="12" t="s">
        <v>2805</v>
      </c>
      <c r="L36" s="12"/>
      <c r="M36" s="4" t="s">
        <v>3100</v>
      </c>
    </row>
    <row r="37" customFormat="false" ht="35.05" hidden="false" customHeight="false" outlineLevel="0" collapsed="false">
      <c r="A37" s="4" t="s">
        <v>3079</v>
      </c>
      <c r="B37" s="12" t="s">
        <v>2765</v>
      </c>
      <c r="C37" s="4" t="s">
        <v>2840</v>
      </c>
      <c r="D37" s="12" t="s">
        <v>2808</v>
      </c>
      <c r="E37" s="12" t="s">
        <v>2477</v>
      </c>
      <c r="F37" s="29" t="n">
        <v>200</v>
      </c>
      <c r="G37" s="29" t="n">
        <v>6</v>
      </c>
      <c r="H37" s="19" t="n">
        <v>8</v>
      </c>
      <c r="I37" s="23" t="n">
        <f aca="false">F37*G37*H37</f>
        <v>9600</v>
      </c>
      <c r="J37" s="12" t="s">
        <v>3082</v>
      </c>
      <c r="K37" s="12" t="s">
        <v>2805</v>
      </c>
      <c r="L37" s="12"/>
      <c r="M37" s="4" t="s">
        <v>3101</v>
      </c>
    </row>
    <row r="38" customFormat="false" ht="35.05" hidden="false" customHeight="false" outlineLevel="0" collapsed="false">
      <c r="A38" s="4" t="s">
        <v>3079</v>
      </c>
      <c r="B38" s="12" t="s">
        <v>2765</v>
      </c>
      <c r="C38" s="4" t="s">
        <v>3102</v>
      </c>
      <c r="D38" s="12" t="s">
        <v>2808</v>
      </c>
      <c r="E38" s="12" t="s">
        <v>2683</v>
      </c>
      <c r="F38" s="29" t="n">
        <v>1</v>
      </c>
      <c r="G38" s="29" t="n">
        <v>1</v>
      </c>
      <c r="H38" s="19" t="n">
        <v>1500</v>
      </c>
      <c r="I38" s="23" t="n">
        <f aca="false">F38*G38*H38</f>
        <v>1500</v>
      </c>
      <c r="J38" s="12" t="s">
        <v>3082</v>
      </c>
      <c r="K38" s="12" t="s">
        <v>2845</v>
      </c>
      <c r="L38" s="12" t="s">
        <v>2796</v>
      </c>
      <c r="M38" s="4" t="s">
        <v>3103</v>
      </c>
    </row>
    <row r="39" customFormat="false" ht="35.05" hidden="false" customHeight="false" outlineLevel="0" collapsed="false">
      <c r="A39" s="4" t="s">
        <v>3079</v>
      </c>
      <c r="B39" s="12" t="s">
        <v>2765</v>
      </c>
      <c r="C39" s="4" t="s">
        <v>3104</v>
      </c>
      <c r="D39" s="12" t="s">
        <v>2808</v>
      </c>
      <c r="E39" s="12" t="s">
        <v>2497</v>
      </c>
      <c r="F39" s="29" t="n">
        <v>1</v>
      </c>
      <c r="G39" s="29" t="n">
        <v>6</v>
      </c>
      <c r="H39" s="19" t="n">
        <v>900</v>
      </c>
      <c r="I39" s="23" t="n">
        <f aca="false">F39*G39*H39</f>
        <v>5400</v>
      </c>
      <c r="J39" s="12" t="s">
        <v>3082</v>
      </c>
      <c r="K39" s="12" t="s">
        <v>2848</v>
      </c>
      <c r="L39" s="12" t="s">
        <v>2796</v>
      </c>
      <c r="M39" s="4" t="s">
        <v>3105</v>
      </c>
    </row>
    <row r="40" customFormat="false" ht="15" hidden="false" customHeight="false" outlineLevel="0" collapsed="false">
      <c r="A40" s="4" t="s">
        <v>3106</v>
      </c>
      <c r="B40" s="12" t="s">
        <v>2765</v>
      </c>
      <c r="C40" s="4" t="s">
        <v>3107</v>
      </c>
      <c r="D40" s="12" t="s">
        <v>2808</v>
      </c>
      <c r="E40" s="12" t="s">
        <v>2497</v>
      </c>
      <c r="F40" s="29" t="n">
        <v>4</v>
      </c>
      <c r="G40" s="29" t="n">
        <v>1</v>
      </c>
      <c r="H40" s="19" t="n">
        <v>1800</v>
      </c>
      <c r="I40" s="23" t="n">
        <f aca="false">F40*G40*H40</f>
        <v>7200</v>
      </c>
      <c r="J40" s="12" t="s">
        <v>3082</v>
      </c>
      <c r="K40" s="12" t="s">
        <v>2863</v>
      </c>
      <c r="L40" s="12" t="s">
        <v>2796</v>
      </c>
      <c r="M40" s="4" t="s">
        <v>3108</v>
      </c>
    </row>
    <row r="41" customFormat="false" ht="15" hidden="false" customHeight="false" outlineLevel="0" collapsed="false">
      <c r="A41" s="4" t="s">
        <v>3106</v>
      </c>
      <c r="B41" s="12" t="s">
        <v>2765</v>
      </c>
      <c r="C41" s="4" t="s">
        <v>3109</v>
      </c>
      <c r="D41" s="12" t="s">
        <v>2808</v>
      </c>
      <c r="E41" s="12" t="s">
        <v>2497</v>
      </c>
      <c r="F41" s="29" t="n">
        <v>4</v>
      </c>
      <c r="G41" s="29" t="n">
        <v>1</v>
      </c>
      <c r="H41" s="19" t="n">
        <v>500</v>
      </c>
      <c r="I41" s="23" t="n">
        <f aca="false">F41*G41*H41</f>
        <v>2000</v>
      </c>
      <c r="J41" s="12" t="s">
        <v>3082</v>
      </c>
      <c r="K41" s="12" t="s">
        <v>2805</v>
      </c>
      <c r="L41" s="12"/>
      <c r="M41" s="4" t="s">
        <v>3110</v>
      </c>
    </row>
    <row r="42" customFormat="false" ht="15" hidden="false" customHeight="false" outlineLevel="0" collapsed="false">
      <c r="A42" s="4" t="s">
        <v>3106</v>
      </c>
      <c r="B42" s="12" t="s">
        <v>2765</v>
      </c>
      <c r="C42" s="4" t="s">
        <v>2868</v>
      </c>
      <c r="D42" s="12" t="s">
        <v>2808</v>
      </c>
      <c r="E42" s="12" t="s">
        <v>2497</v>
      </c>
      <c r="F42" s="29" t="n">
        <v>4</v>
      </c>
      <c r="G42" s="29" t="n">
        <v>1</v>
      </c>
      <c r="H42" s="19" t="n">
        <v>500</v>
      </c>
      <c r="I42" s="23" t="n">
        <f aca="false">F42*G42*H42</f>
        <v>2000</v>
      </c>
      <c r="J42" s="12" t="s">
        <v>3082</v>
      </c>
      <c r="K42" s="12" t="s">
        <v>2866</v>
      </c>
      <c r="L42" s="12" t="s">
        <v>2796</v>
      </c>
      <c r="M42" s="4" t="s">
        <v>3110</v>
      </c>
    </row>
    <row r="43" customFormat="false" ht="15" hidden="false" customHeight="false" outlineLevel="0" collapsed="false">
      <c r="A43" s="4" t="s">
        <v>3106</v>
      </c>
      <c r="B43" s="12" t="s">
        <v>2765</v>
      </c>
      <c r="C43" s="4" t="s">
        <v>3111</v>
      </c>
      <c r="D43" s="12" t="s">
        <v>2808</v>
      </c>
      <c r="E43" s="12" t="s">
        <v>2497</v>
      </c>
      <c r="F43" s="29" t="n">
        <v>4</v>
      </c>
      <c r="G43" s="29" t="n">
        <v>1</v>
      </c>
      <c r="H43" s="19" t="n">
        <v>300</v>
      </c>
      <c r="I43" s="23" t="n">
        <f aca="false">F43*G43*H43</f>
        <v>1200</v>
      </c>
      <c r="J43" s="12" t="s">
        <v>3082</v>
      </c>
      <c r="K43" s="12" t="s">
        <v>2870</v>
      </c>
      <c r="L43" s="12" t="s">
        <v>2796</v>
      </c>
      <c r="M43" s="4" t="s">
        <v>3112</v>
      </c>
    </row>
    <row r="44" customFormat="false" ht="15" hidden="false" customHeight="false" outlineLevel="0" collapsed="false">
      <c r="A44" s="4" t="s">
        <v>3106</v>
      </c>
      <c r="B44" s="12" t="s">
        <v>2765</v>
      </c>
      <c r="C44" s="4" t="s">
        <v>3113</v>
      </c>
      <c r="D44" s="12" t="s">
        <v>2855</v>
      </c>
      <c r="E44" s="12" t="s">
        <v>2516</v>
      </c>
      <c r="F44" s="29" t="n">
        <v>4</v>
      </c>
      <c r="G44" s="29" t="n">
        <v>1</v>
      </c>
      <c r="H44" s="19" t="n">
        <v>1500</v>
      </c>
      <c r="I44" s="23" t="n">
        <f aca="false">F44*G44*H44</f>
        <v>6000</v>
      </c>
      <c r="J44" s="12" t="s">
        <v>3082</v>
      </c>
      <c r="K44" s="12" t="s">
        <v>3114</v>
      </c>
      <c r="L44" s="12" t="s">
        <v>2796</v>
      </c>
      <c r="M44" s="4" t="s">
        <v>3115</v>
      </c>
    </row>
    <row r="45" customFormat="false" ht="23.85" hidden="false" customHeight="false" outlineLevel="0" collapsed="false">
      <c r="A45" s="4" t="s">
        <v>3106</v>
      </c>
      <c r="B45" s="12" t="s">
        <v>2765</v>
      </c>
      <c r="C45" s="4" t="s">
        <v>3116</v>
      </c>
      <c r="D45" s="12" t="s">
        <v>2882</v>
      </c>
      <c r="E45" s="12" t="s">
        <v>2601</v>
      </c>
      <c r="F45" s="29" t="n">
        <v>1</v>
      </c>
      <c r="G45" s="29" t="n">
        <v>1</v>
      </c>
      <c r="H45" s="19" t="n">
        <v>1099</v>
      </c>
      <c r="I45" s="23" t="n">
        <f aca="false">F45*G45*H45</f>
        <v>1099</v>
      </c>
      <c r="J45" s="12" t="s">
        <v>3082</v>
      </c>
      <c r="K45" s="12" t="s">
        <v>2805</v>
      </c>
      <c r="L45" s="12"/>
      <c r="M45" s="4" t="s">
        <v>3117</v>
      </c>
    </row>
    <row r="46" customFormat="false" ht="35.05" hidden="false" customHeight="false" outlineLevel="0" collapsed="false">
      <c r="A46" s="4" t="s">
        <v>3079</v>
      </c>
      <c r="B46" s="12" t="s">
        <v>2766</v>
      </c>
      <c r="C46" s="4" t="s">
        <v>2884</v>
      </c>
      <c r="D46" s="12" t="s">
        <v>2793</v>
      </c>
      <c r="E46" s="12" t="s">
        <v>2484</v>
      </c>
      <c r="F46" s="29" t="n">
        <v>1</v>
      </c>
      <c r="G46" s="29" t="n">
        <v>1</v>
      </c>
      <c r="H46" s="19" t="n">
        <v>3000</v>
      </c>
      <c r="I46" s="23" t="n">
        <f aca="false">F46*G46*H46</f>
        <v>3000</v>
      </c>
      <c r="J46" s="12" t="s">
        <v>2794</v>
      </c>
      <c r="K46" s="12" t="s">
        <v>2795</v>
      </c>
      <c r="L46" s="12" t="s">
        <v>2950</v>
      </c>
      <c r="M46" s="4" t="s">
        <v>3118</v>
      </c>
    </row>
    <row r="47" customFormat="false" ht="35.05" hidden="false" customHeight="false" outlineLevel="0" collapsed="false">
      <c r="A47" s="4" t="s">
        <v>3079</v>
      </c>
      <c r="B47" s="12" t="s">
        <v>2766</v>
      </c>
      <c r="C47" s="4" t="s">
        <v>3119</v>
      </c>
      <c r="D47" s="12" t="s">
        <v>2804</v>
      </c>
      <c r="E47" s="12" t="s">
        <v>2597</v>
      </c>
      <c r="F47" s="29" t="n">
        <v>1</v>
      </c>
      <c r="G47" s="29" t="n">
        <v>1</v>
      </c>
      <c r="H47" s="19" t="n">
        <v>3000</v>
      </c>
      <c r="I47" s="23" t="n">
        <f aca="false">F47*G47*H47</f>
        <v>3000</v>
      </c>
      <c r="J47" s="12" t="s">
        <v>2794</v>
      </c>
      <c r="K47" s="12" t="s">
        <v>2891</v>
      </c>
      <c r="L47" s="12" t="s">
        <v>2796</v>
      </c>
      <c r="M47" s="4" t="s">
        <v>3120</v>
      </c>
    </row>
    <row r="48" customFormat="false" ht="35.05" hidden="false" customHeight="false" outlineLevel="0" collapsed="false">
      <c r="A48" s="4" t="s">
        <v>3079</v>
      </c>
      <c r="B48" s="12" t="s">
        <v>2767</v>
      </c>
      <c r="C48" s="4" t="s">
        <v>2893</v>
      </c>
      <c r="D48" s="12" t="s">
        <v>2793</v>
      </c>
      <c r="E48" s="12" t="s">
        <v>2484</v>
      </c>
      <c r="F48" s="29" t="n">
        <v>1</v>
      </c>
      <c r="G48" s="29" t="n">
        <v>6</v>
      </c>
      <c r="H48" s="19" t="n">
        <v>1200</v>
      </c>
      <c r="I48" s="23" t="n">
        <f aca="false">F48*G48*H48</f>
        <v>7200</v>
      </c>
      <c r="J48" s="12" t="s">
        <v>2794</v>
      </c>
      <c r="K48" s="12" t="s">
        <v>2894</v>
      </c>
      <c r="L48" s="12" t="s">
        <v>2796</v>
      </c>
      <c r="M48" s="4" t="s">
        <v>3121</v>
      </c>
    </row>
    <row r="49" customFormat="false" ht="35.05" hidden="false" customHeight="false" outlineLevel="0" collapsed="false">
      <c r="A49" s="4" t="s">
        <v>3079</v>
      </c>
      <c r="B49" s="12" t="s">
        <v>2765</v>
      </c>
      <c r="C49" s="4" t="s">
        <v>3122</v>
      </c>
      <c r="D49" s="12" t="s">
        <v>2808</v>
      </c>
      <c r="E49" s="12" t="s">
        <v>2497</v>
      </c>
      <c r="F49" s="29" t="n">
        <v>4</v>
      </c>
      <c r="G49" s="29" t="n">
        <v>1</v>
      </c>
      <c r="H49" s="19" t="n">
        <v>1100</v>
      </c>
      <c r="I49" s="23" t="n">
        <f aca="false">F49*G49*H49</f>
        <v>4400</v>
      </c>
      <c r="J49" s="12" t="s">
        <v>3082</v>
      </c>
      <c r="K49" s="12" t="s">
        <v>2805</v>
      </c>
      <c r="L49" s="12"/>
      <c r="M49" s="4" t="s">
        <v>3123</v>
      </c>
    </row>
    <row r="50" customFormat="false" ht="35.05" hidden="false" customHeight="false" outlineLevel="0" collapsed="false">
      <c r="A50" s="4" t="s">
        <v>3079</v>
      </c>
      <c r="B50" s="12" t="s">
        <v>2765</v>
      </c>
      <c r="C50" s="4" t="s">
        <v>3124</v>
      </c>
      <c r="D50" s="12" t="s">
        <v>2804</v>
      </c>
      <c r="E50" s="12" t="s">
        <v>2597</v>
      </c>
      <c r="F50" s="29" t="n">
        <v>2</v>
      </c>
      <c r="G50" s="29" t="n">
        <v>1</v>
      </c>
      <c r="H50" s="19" t="n">
        <v>2000</v>
      </c>
      <c r="I50" s="23" t="n">
        <f aca="false">F50*G50*H50</f>
        <v>4000</v>
      </c>
      <c r="J50" s="12" t="s">
        <v>3082</v>
      </c>
      <c r="K50" s="12" t="s">
        <v>2902</v>
      </c>
      <c r="L50" s="12" t="s">
        <v>2950</v>
      </c>
      <c r="M50" s="4" t="s">
        <v>3125</v>
      </c>
    </row>
    <row r="51" customFormat="false" ht="35.05" hidden="false" customHeight="false" outlineLevel="0" collapsed="false">
      <c r="A51" s="4" t="s">
        <v>3079</v>
      </c>
      <c r="B51" s="12" t="s">
        <v>2768</v>
      </c>
      <c r="C51" s="4" t="s">
        <v>2911</v>
      </c>
      <c r="D51" s="12" t="s">
        <v>2882</v>
      </c>
      <c r="E51" s="12" t="s">
        <v>2601</v>
      </c>
      <c r="F51" s="29" t="n">
        <v>1</v>
      </c>
      <c r="G51" s="29" t="n">
        <v>1</v>
      </c>
      <c r="H51" s="19" t="n">
        <v>10032</v>
      </c>
      <c r="I51" s="23" t="n">
        <f aca="false">F51*G51*H51</f>
        <v>10032</v>
      </c>
      <c r="J51" s="12" t="s">
        <v>2794</v>
      </c>
      <c r="K51" s="12" t="s">
        <v>2805</v>
      </c>
      <c r="L51" s="12"/>
      <c r="M51" s="4" t="s">
        <v>3126</v>
      </c>
    </row>
    <row r="52" customFormat="false" ht="15" hidden="false" customHeight="false" outlineLevel="0" collapsed="false">
      <c r="H52" s="10" t="s">
        <v>134</v>
      </c>
      <c r="I52" s="11" t="n">
        <f aca="false">SUM(I26:I51)</f>
        <v>155003</v>
      </c>
    </row>
    <row r="54" customFormat="false" ht="15" hidden="false" customHeight="false" outlineLevel="0" collapsed="false">
      <c r="A54" s="22" t="s">
        <v>2913</v>
      </c>
    </row>
    <row r="55" customFormat="false" ht="23.85" hidden="false" customHeight="false" outlineLevel="0" collapsed="false">
      <c r="A55" s="3" t="s">
        <v>2914</v>
      </c>
      <c r="B55" s="3" t="s">
        <v>2915</v>
      </c>
      <c r="C55" s="3" t="s">
        <v>2780</v>
      </c>
      <c r="D55" s="3" t="s">
        <v>2781</v>
      </c>
      <c r="E55" s="3" t="s">
        <v>2782</v>
      </c>
      <c r="F55" s="3" t="s">
        <v>2783</v>
      </c>
      <c r="G55" s="3" t="s">
        <v>2784</v>
      </c>
      <c r="H55" s="3" t="s">
        <v>2785</v>
      </c>
      <c r="I55" s="3" t="s">
        <v>2786</v>
      </c>
      <c r="J55" s="3" t="s">
        <v>1393</v>
      </c>
      <c r="K55" s="3" t="s">
        <v>2916</v>
      </c>
      <c r="L55" s="3" t="s">
        <v>2789</v>
      </c>
      <c r="M55" s="3" t="s">
        <v>368</v>
      </c>
    </row>
    <row r="56" customFormat="false" ht="23.85" hidden="false" customHeight="false" outlineLevel="0" collapsed="false">
      <c r="A56" s="4" t="s">
        <v>2917</v>
      </c>
      <c r="B56" s="12" t="s">
        <v>2918</v>
      </c>
      <c r="C56" s="4" t="s">
        <v>2919</v>
      </c>
      <c r="D56" s="12" t="s">
        <v>2804</v>
      </c>
      <c r="E56" s="12" t="s">
        <v>2597</v>
      </c>
      <c r="F56" s="30" t="n">
        <v>1</v>
      </c>
      <c r="G56" s="30" t="n">
        <v>1</v>
      </c>
      <c r="H56" s="19" t="n">
        <v>4000</v>
      </c>
      <c r="I56" s="23" t="n">
        <f aca="false">F56*G56*H56</f>
        <v>4000</v>
      </c>
      <c r="J56" s="12" t="s">
        <v>2794</v>
      </c>
      <c r="K56" s="12" t="s">
        <v>2920</v>
      </c>
      <c r="L56" s="12" t="s">
        <v>2796</v>
      </c>
      <c r="M56" s="4" t="s">
        <v>3127</v>
      </c>
    </row>
    <row r="57" customFormat="false" ht="23.85" hidden="false" customHeight="false" outlineLevel="0" collapsed="false">
      <c r="A57" s="4" t="s">
        <v>2917</v>
      </c>
      <c r="B57" s="12" t="s">
        <v>2918</v>
      </c>
      <c r="C57" s="4" t="s">
        <v>2922</v>
      </c>
      <c r="D57" s="12" t="s">
        <v>2804</v>
      </c>
      <c r="E57" s="12" t="s">
        <v>2597</v>
      </c>
      <c r="F57" s="30" t="n">
        <v>1</v>
      </c>
      <c r="G57" s="30" t="n">
        <v>1</v>
      </c>
      <c r="H57" s="19" t="n">
        <v>5000</v>
      </c>
      <c r="I57" s="23" t="n">
        <f aca="false">F57*G57*H57</f>
        <v>5000</v>
      </c>
      <c r="J57" s="12" t="s">
        <v>2794</v>
      </c>
      <c r="K57" s="12" t="s">
        <v>2805</v>
      </c>
      <c r="L57" s="12"/>
      <c r="M57" s="4" t="s">
        <v>2923</v>
      </c>
    </row>
    <row r="58" customFormat="false" ht="23.85" hidden="false" customHeight="false" outlineLevel="0" collapsed="false">
      <c r="A58" s="4" t="s">
        <v>2917</v>
      </c>
      <c r="B58" s="12" t="s">
        <v>2918</v>
      </c>
      <c r="C58" s="4" t="s">
        <v>2926</v>
      </c>
      <c r="D58" s="12" t="s">
        <v>2793</v>
      </c>
      <c r="E58" s="12" t="s">
        <v>2484</v>
      </c>
      <c r="F58" s="30" t="n">
        <v>1</v>
      </c>
      <c r="G58" s="30" t="n">
        <v>6</v>
      </c>
      <c r="H58" s="19" t="n">
        <v>80</v>
      </c>
      <c r="I58" s="23" t="n">
        <f aca="false">F58*G58*H58</f>
        <v>480</v>
      </c>
      <c r="J58" s="12" t="s">
        <v>2794</v>
      </c>
      <c r="K58" s="12" t="s">
        <v>2805</v>
      </c>
      <c r="L58" s="12"/>
      <c r="M58" s="4"/>
    </row>
    <row r="59" customFormat="false" ht="23.85" hidden="false" customHeight="false" outlineLevel="0" collapsed="false">
      <c r="A59" s="4" t="s">
        <v>2917</v>
      </c>
      <c r="B59" s="12" t="s">
        <v>2918</v>
      </c>
      <c r="C59" s="4" t="s">
        <v>2928</v>
      </c>
      <c r="D59" s="12" t="s">
        <v>2882</v>
      </c>
      <c r="E59" s="12" t="s">
        <v>2601</v>
      </c>
      <c r="F59" s="30" t="n">
        <v>1</v>
      </c>
      <c r="G59" s="30" t="n">
        <v>1</v>
      </c>
      <c r="H59" s="19" t="n">
        <v>500</v>
      </c>
      <c r="I59" s="23" t="n">
        <f aca="false">F59*G59*H59</f>
        <v>500</v>
      </c>
      <c r="J59" s="12" t="s">
        <v>2794</v>
      </c>
      <c r="K59" s="12" t="s">
        <v>2805</v>
      </c>
      <c r="L59" s="12"/>
      <c r="M59" s="4" t="s">
        <v>3128</v>
      </c>
    </row>
    <row r="60" customFormat="false" ht="23.85" hidden="false" customHeight="false" outlineLevel="0" collapsed="false">
      <c r="A60" s="4" t="s">
        <v>2917</v>
      </c>
      <c r="B60" s="12" t="s">
        <v>2930</v>
      </c>
      <c r="C60" s="4" t="s">
        <v>3129</v>
      </c>
      <c r="D60" s="12" t="s">
        <v>2793</v>
      </c>
      <c r="E60" s="12" t="s">
        <v>2484</v>
      </c>
      <c r="F60" s="30" t="n">
        <v>1</v>
      </c>
      <c r="G60" s="30" t="n">
        <v>1</v>
      </c>
      <c r="H60" s="19" t="n">
        <v>3000</v>
      </c>
      <c r="I60" s="23" t="n">
        <f aca="false">F60*G60*H60</f>
        <v>3000</v>
      </c>
      <c r="J60" s="12" t="s">
        <v>3082</v>
      </c>
      <c r="K60" s="12" t="s">
        <v>2805</v>
      </c>
      <c r="L60" s="12"/>
      <c r="M60" s="4" t="s">
        <v>3130</v>
      </c>
    </row>
    <row r="61" customFormat="false" ht="23.85" hidden="false" customHeight="false" outlineLevel="0" collapsed="false">
      <c r="A61" s="4" t="s">
        <v>2917</v>
      </c>
      <c r="B61" s="12" t="s">
        <v>2930</v>
      </c>
      <c r="C61" s="4" t="s">
        <v>3131</v>
      </c>
      <c r="D61" s="12" t="s">
        <v>2808</v>
      </c>
      <c r="E61" s="12" t="s">
        <v>2497</v>
      </c>
      <c r="F61" s="30" t="n">
        <v>4</v>
      </c>
      <c r="G61" s="30" t="n">
        <v>1</v>
      </c>
      <c r="H61" s="19" t="n">
        <v>250</v>
      </c>
      <c r="I61" s="23" t="n">
        <f aca="false">F61*G61*H61</f>
        <v>1000</v>
      </c>
      <c r="J61" s="12" t="s">
        <v>3082</v>
      </c>
      <c r="K61" s="12" t="s">
        <v>2934</v>
      </c>
      <c r="L61" s="12" t="s">
        <v>2796</v>
      </c>
      <c r="M61" s="4" t="s">
        <v>3132</v>
      </c>
    </row>
    <row r="62" customFormat="false" ht="23.85" hidden="false" customHeight="false" outlineLevel="0" collapsed="false">
      <c r="A62" s="4" t="s">
        <v>2917</v>
      </c>
      <c r="B62" s="12" t="s">
        <v>2930</v>
      </c>
      <c r="C62" s="4" t="s">
        <v>3058</v>
      </c>
      <c r="D62" s="12" t="s">
        <v>2804</v>
      </c>
      <c r="E62" s="12" t="s">
        <v>2597</v>
      </c>
      <c r="F62" s="30" t="n">
        <v>1</v>
      </c>
      <c r="G62" s="30" t="n">
        <v>1</v>
      </c>
      <c r="H62" s="19" t="n">
        <v>4000</v>
      </c>
      <c r="I62" s="23" t="n">
        <f aca="false">F62*G62*H62</f>
        <v>4000</v>
      </c>
      <c r="J62" s="12" t="s">
        <v>2794</v>
      </c>
      <c r="K62" s="12" t="s">
        <v>2937</v>
      </c>
      <c r="L62" s="12" t="s">
        <v>2796</v>
      </c>
      <c r="M62" s="4"/>
    </row>
    <row r="63" customFormat="false" ht="23.85" hidden="false" customHeight="false" outlineLevel="0" collapsed="false">
      <c r="A63" s="4" t="s">
        <v>2917</v>
      </c>
      <c r="B63" s="12" t="s">
        <v>2930</v>
      </c>
      <c r="C63" s="4" t="s">
        <v>3060</v>
      </c>
      <c r="D63" s="12" t="s">
        <v>2793</v>
      </c>
      <c r="E63" s="12" t="s">
        <v>2484</v>
      </c>
      <c r="F63" s="30" t="n">
        <v>1</v>
      </c>
      <c r="G63" s="30" t="n">
        <v>2</v>
      </c>
      <c r="H63" s="19" t="n">
        <v>3000</v>
      </c>
      <c r="I63" s="23" t="n">
        <f aca="false">F63*G63*H63</f>
        <v>6000</v>
      </c>
      <c r="J63" s="12" t="s">
        <v>2794</v>
      </c>
      <c r="K63" s="12" t="s">
        <v>2909</v>
      </c>
      <c r="L63" s="12" t="s">
        <v>2796</v>
      </c>
      <c r="M63" s="4" t="s">
        <v>3133</v>
      </c>
    </row>
    <row r="64" customFormat="false" ht="23.85" hidden="false" customHeight="false" outlineLevel="0" collapsed="false">
      <c r="A64" s="4" t="s">
        <v>2917</v>
      </c>
      <c r="B64" s="12" t="s">
        <v>2930</v>
      </c>
      <c r="C64" s="4" t="s">
        <v>2944</v>
      </c>
      <c r="D64" s="12" t="s">
        <v>2808</v>
      </c>
      <c r="E64" s="12" t="s">
        <v>2477</v>
      </c>
      <c r="F64" s="30" t="n">
        <v>400</v>
      </c>
      <c r="G64" s="30" t="n">
        <v>1</v>
      </c>
      <c r="H64" s="19" t="n">
        <v>2.5</v>
      </c>
      <c r="I64" s="23" t="n">
        <f aca="false">F64*G64*H64</f>
        <v>1000</v>
      </c>
      <c r="J64" s="12" t="s">
        <v>3082</v>
      </c>
      <c r="K64" s="12" t="s">
        <v>2805</v>
      </c>
      <c r="L64" s="12"/>
      <c r="M64" s="4" t="s">
        <v>3134</v>
      </c>
    </row>
    <row r="65" customFormat="false" ht="23.85" hidden="false" customHeight="false" outlineLevel="0" collapsed="false">
      <c r="A65" s="4" t="s">
        <v>2917</v>
      </c>
      <c r="B65" s="12" t="s">
        <v>2930</v>
      </c>
      <c r="C65" s="4" t="s">
        <v>2946</v>
      </c>
      <c r="D65" s="12" t="s">
        <v>2808</v>
      </c>
      <c r="E65" s="12" t="s">
        <v>2661</v>
      </c>
      <c r="F65" s="30" t="n">
        <v>2</v>
      </c>
      <c r="G65" s="30" t="n">
        <v>1</v>
      </c>
      <c r="H65" s="19" t="n">
        <v>450</v>
      </c>
      <c r="I65" s="23" t="n">
        <f aca="false">F65*G65*H65</f>
        <v>900</v>
      </c>
      <c r="J65" s="12" t="s">
        <v>3082</v>
      </c>
      <c r="K65" s="12" t="s">
        <v>2805</v>
      </c>
      <c r="L65" s="12"/>
      <c r="M65" s="4"/>
    </row>
    <row r="66" customFormat="false" ht="23.85" hidden="false" customHeight="false" outlineLevel="0" collapsed="false">
      <c r="A66" s="4" t="s">
        <v>2917</v>
      </c>
      <c r="B66" s="12" t="s">
        <v>2930</v>
      </c>
      <c r="C66" s="4" t="s">
        <v>3063</v>
      </c>
      <c r="D66" s="12" t="s">
        <v>2882</v>
      </c>
      <c r="E66" s="12" t="s">
        <v>2601</v>
      </c>
      <c r="F66" s="30" t="n">
        <v>1</v>
      </c>
      <c r="G66" s="30" t="n">
        <v>1</v>
      </c>
      <c r="H66" s="19" t="n">
        <v>1500</v>
      </c>
      <c r="I66" s="23" t="n">
        <f aca="false">F66*G66*H66</f>
        <v>1500</v>
      </c>
      <c r="J66" s="12" t="s">
        <v>2794</v>
      </c>
      <c r="K66" s="12" t="s">
        <v>2942</v>
      </c>
      <c r="L66" s="12" t="s">
        <v>2796</v>
      </c>
      <c r="M66" s="4" t="s">
        <v>3135</v>
      </c>
    </row>
    <row r="68" customFormat="false" ht="15" hidden="false" customHeight="false" outlineLevel="0" collapsed="false">
      <c r="A68" s="10" t="s">
        <v>2952</v>
      </c>
      <c r="B68" s="23" t="n">
        <f aca="false">SUMIFS($I$56:$I$66,$B$56:$B$66,"Custos de administração")</f>
        <v>9980</v>
      </c>
      <c r="C68" s="13" t="n">
        <f aca="false">B17</f>
        <v>10850.21</v>
      </c>
      <c r="D68" s="23" t="n">
        <f aca="false">C68-B68</f>
        <v>870.210000000001</v>
      </c>
      <c r="E68" s="12" t="str">
        <f aca="false">IF(D68&gt;=0,"OK","EXCEDE")</f>
        <v>OK</v>
      </c>
    </row>
    <row r="69" customFormat="false" ht="15" hidden="false" customHeight="false" outlineLevel="0" collapsed="false">
      <c r="A69" s="10" t="s">
        <v>2953</v>
      </c>
      <c r="B69" s="23" t="n">
        <f aca="false">SUMIFS($I$56:$I$66,$B$56:$B$66,"Custos de acessibilidade, comunicação e divulgação")</f>
        <v>17400</v>
      </c>
      <c r="C69" s="13" t="n">
        <f aca="false">B18</f>
        <v>18600.36</v>
      </c>
      <c r="D69" s="23" t="n">
        <f aca="false">C69-B69</f>
        <v>1200.36</v>
      </c>
      <c r="E69" s="12" t="str">
        <f aca="false">IF(D69&gt;=0,"OK","EXCEDE")</f>
        <v>OK</v>
      </c>
    </row>
    <row r="70" customFormat="false" ht="15" hidden="false" customHeight="false" outlineLevel="0" collapsed="false">
      <c r="A70" s="14" t="s">
        <v>2954</v>
      </c>
    </row>
    <row r="72" customFormat="false" ht="15" hidden="false" customHeight="false" outlineLevel="0" collapsed="false">
      <c r="A72" s="22" t="s">
        <v>2955</v>
      </c>
    </row>
    <row r="73" customFormat="false" ht="30" hidden="false" customHeight="true" outlineLevel="0" collapsed="false">
      <c r="A73" s="21" t="s">
        <v>3136</v>
      </c>
      <c r="B73" s="21"/>
      <c r="C73" s="21"/>
      <c r="D73" s="21"/>
      <c r="E73" s="21"/>
      <c r="F73" s="21"/>
      <c r="G73" s="21"/>
      <c r="H73" s="21"/>
      <c r="I73" s="21"/>
      <c r="J73" s="21"/>
      <c r="K73" s="21"/>
      <c r="L73" s="21"/>
      <c r="M73" s="21"/>
    </row>
    <row r="74" customFormat="false" ht="30" hidden="false" customHeight="true" outlineLevel="0" collapsed="false">
      <c r="A74" s="21" t="s">
        <v>3137</v>
      </c>
      <c r="B74" s="21"/>
      <c r="C74" s="21"/>
      <c r="D74" s="21"/>
      <c r="E74" s="21"/>
      <c r="F74" s="21"/>
      <c r="G74" s="21"/>
      <c r="H74" s="21"/>
      <c r="I74" s="21"/>
      <c r="J74" s="21"/>
      <c r="K74" s="21"/>
      <c r="L74" s="21"/>
      <c r="M74" s="21"/>
    </row>
    <row r="75" customFormat="false" ht="30" hidden="false" customHeight="true" outlineLevel="0" collapsed="false">
      <c r="A75" s="21" t="s">
        <v>3138</v>
      </c>
      <c r="B75" s="21"/>
      <c r="C75" s="21"/>
      <c r="D75" s="21"/>
      <c r="E75" s="21"/>
      <c r="F75" s="21"/>
      <c r="G75" s="21"/>
      <c r="H75" s="21"/>
      <c r="I75" s="21"/>
      <c r="J75" s="21"/>
      <c r="K75" s="21"/>
      <c r="L75" s="21"/>
      <c r="M75" s="21"/>
    </row>
    <row r="76" customFormat="false" ht="30" hidden="false" customHeight="true" outlineLevel="0" collapsed="false">
      <c r="A76" s="21" t="s">
        <v>3139</v>
      </c>
      <c r="B76" s="21"/>
      <c r="C76" s="21"/>
      <c r="D76" s="21"/>
      <c r="E76" s="21"/>
      <c r="F76" s="21"/>
      <c r="G76" s="21"/>
      <c r="H76" s="21"/>
      <c r="I76" s="21"/>
      <c r="J76" s="21"/>
      <c r="K76" s="21"/>
      <c r="L76" s="21"/>
      <c r="M76" s="21"/>
    </row>
    <row r="77" customFormat="false" ht="30" hidden="false" customHeight="true" outlineLevel="0" collapsed="false">
      <c r="A77" s="21" t="s">
        <v>3140</v>
      </c>
      <c r="B77" s="21"/>
      <c r="C77" s="21"/>
      <c r="D77" s="21"/>
      <c r="E77" s="21"/>
      <c r="F77" s="21"/>
      <c r="G77" s="21"/>
      <c r="H77" s="21"/>
      <c r="I77" s="21"/>
      <c r="J77" s="21"/>
      <c r="K77" s="21"/>
      <c r="L77" s="21"/>
      <c r="M77" s="21"/>
    </row>
    <row r="78" customFormat="false" ht="30" hidden="false" customHeight="true" outlineLevel="0" collapsed="false">
      <c r="A78" s="21" t="s">
        <v>3141</v>
      </c>
      <c r="B78" s="21"/>
      <c r="C78" s="21"/>
      <c r="D78" s="21"/>
      <c r="E78" s="21"/>
      <c r="F78" s="21"/>
      <c r="G78" s="21"/>
      <c r="H78" s="21"/>
      <c r="I78" s="21"/>
      <c r="J78" s="21"/>
      <c r="K78" s="21"/>
      <c r="L78" s="21"/>
      <c r="M78" s="21"/>
    </row>
    <row r="79" customFormat="false" ht="15" hidden="false" customHeight="true" outlineLevel="0" collapsed="false">
      <c r="A79" s="21" t="s">
        <v>3142</v>
      </c>
      <c r="B79" s="21"/>
      <c r="C79" s="21"/>
      <c r="D79" s="21"/>
      <c r="E79" s="21"/>
      <c r="F79" s="21"/>
      <c r="G79" s="21"/>
      <c r="H79" s="21"/>
      <c r="I79" s="21"/>
      <c r="J79" s="21"/>
      <c r="K79" s="21"/>
      <c r="L79" s="21"/>
      <c r="M79" s="21"/>
    </row>
    <row r="81" customFormat="false" ht="15" hidden="false" customHeight="false" outlineLevel="0" collapsed="false">
      <c r="A81" s="22" t="s">
        <v>2964</v>
      </c>
      <c r="B81" s="19" t="n">
        <v>40000</v>
      </c>
    </row>
    <row r="82" customFormat="false" ht="75" hidden="false" customHeight="true" outlineLevel="0" collapsed="false">
      <c r="A82" s="21" t="s">
        <v>3143</v>
      </c>
      <c r="B82" s="21"/>
      <c r="C82" s="21"/>
      <c r="D82" s="21"/>
      <c r="E82" s="21"/>
      <c r="F82" s="21"/>
      <c r="G82" s="21"/>
      <c r="H82" s="21"/>
      <c r="I82" s="21"/>
      <c r="J82" s="21"/>
      <c r="K82" s="21"/>
      <c r="L82" s="21"/>
      <c r="M82" s="21"/>
    </row>
  </sheetData>
  <mergeCells count="13">
    <mergeCell ref="B2:M2"/>
    <mergeCell ref="B3:M3"/>
    <mergeCell ref="B4:M4"/>
    <mergeCell ref="B5:M5"/>
    <mergeCell ref="B6:M6"/>
    <mergeCell ref="A73:M73"/>
    <mergeCell ref="A74:M74"/>
    <mergeCell ref="A75:M75"/>
    <mergeCell ref="A76:M76"/>
    <mergeCell ref="A77:M77"/>
    <mergeCell ref="A78:M78"/>
    <mergeCell ref="A79:M79"/>
    <mergeCell ref="A82:M82"/>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51">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56:L66">
    <cfRule type="expression" priority="11" aboveAverage="0" equalAverage="0" bottom="0" percent="0" rank="0" text="" dxfId="2">
      <formula>LEFT(L56,5)="ACIMA"</formula>
    </cfRule>
  </conditionalFormatting>
  <conditionalFormatting sqref="E68:E69">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ISNUMBER(SEARCH("EXCEDE",E68))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3144</v>
      </c>
    </row>
    <row r="2" customFormat="false" ht="30" hidden="false" customHeight="true" outlineLevel="0" collapsed="false">
      <c r="A2" s="22" t="s">
        <v>2748</v>
      </c>
      <c r="B2" s="21" t="s">
        <v>3145</v>
      </c>
      <c r="C2" s="21"/>
      <c r="D2" s="21"/>
      <c r="E2" s="21"/>
      <c r="F2" s="21"/>
      <c r="G2" s="21"/>
      <c r="H2" s="21"/>
      <c r="I2" s="21"/>
      <c r="J2" s="21"/>
      <c r="K2" s="21"/>
      <c r="L2" s="21"/>
      <c r="M2" s="21"/>
    </row>
    <row r="3" customFormat="false" ht="30" hidden="false" customHeight="true" outlineLevel="0" collapsed="false">
      <c r="A3" s="22" t="s">
        <v>2750</v>
      </c>
      <c r="B3" s="21" t="s">
        <v>3146</v>
      </c>
      <c r="C3" s="21"/>
      <c r="D3" s="21"/>
      <c r="E3" s="21"/>
      <c r="F3" s="21"/>
      <c r="G3" s="21"/>
      <c r="H3" s="21"/>
      <c r="I3" s="21"/>
      <c r="J3" s="21"/>
      <c r="K3" s="21"/>
      <c r="L3" s="21"/>
      <c r="M3" s="21"/>
    </row>
    <row r="4" customFormat="false" ht="30" hidden="false" customHeight="true" outlineLevel="0" collapsed="false">
      <c r="A4" s="22" t="s">
        <v>2752</v>
      </c>
      <c r="B4" s="21" t="s">
        <v>3147</v>
      </c>
      <c r="C4" s="21"/>
      <c r="D4" s="21"/>
      <c r="E4" s="21"/>
      <c r="F4" s="21"/>
      <c r="G4" s="21"/>
      <c r="H4" s="21"/>
      <c r="I4" s="21"/>
      <c r="J4" s="21"/>
      <c r="K4" s="21"/>
      <c r="L4" s="21"/>
      <c r="M4" s="21"/>
    </row>
    <row r="5" customFormat="false" ht="30" hidden="false" customHeight="true" outlineLevel="0" collapsed="false">
      <c r="A5" s="22" t="s">
        <v>2754</v>
      </c>
      <c r="B5" s="21" t="s">
        <v>3148</v>
      </c>
      <c r="C5" s="21"/>
      <c r="D5" s="21"/>
      <c r="E5" s="21"/>
      <c r="F5" s="21"/>
      <c r="G5" s="21"/>
      <c r="H5" s="21"/>
      <c r="I5" s="21"/>
      <c r="J5" s="21"/>
      <c r="K5" s="21"/>
      <c r="L5" s="21"/>
      <c r="M5" s="21"/>
    </row>
    <row r="6" customFormat="false" ht="30" hidden="false" customHeight="true" outlineLevel="0" collapsed="false">
      <c r="A6" s="22" t="s">
        <v>2756</v>
      </c>
      <c r="B6" s="21" t="s">
        <v>3149</v>
      </c>
      <c r="C6" s="21"/>
      <c r="D6" s="21"/>
      <c r="E6" s="21"/>
      <c r="F6" s="21"/>
      <c r="G6" s="21"/>
      <c r="H6" s="21"/>
      <c r="I6" s="21"/>
      <c r="J6" s="21"/>
      <c r="K6" s="21"/>
      <c r="L6" s="21"/>
      <c r="M6" s="21"/>
    </row>
    <row r="7" customFormat="false" ht="15" hidden="false" customHeight="false" outlineLevel="0" collapsed="false">
      <c r="A7" s="22" t="s">
        <v>2758</v>
      </c>
      <c r="B7" s="19" t="n">
        <v>900000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SUMIFS($I$26:$I$69,$B$26:$B$69,A11)</f>
        <v>66980</v>
      </c>
      <c r="C11" s="24" t="n">
        <f aca="false">IF($B$16=0,0,B11/$B$16)</f>
        <v>0.0960059627471638</v>
      </c>
    </row>
    <row r="12" customFormat="false" ht="15" hidden="false" customHeight="false" outlineLevel="0" collapsed="false">
      <c r="A12" s="12" t="s">
        <v>2765</v>
      </c>
      <c r="B12" s="23" t="n">
        <f aca="false">SUMIFS($I$26:$I$69,$B$26:$B$69,A12)</f>
        <v>568345</v>
      </c>
      <c r="C12" s="24" t="n">
        <f aca="false">IF($B$16=0,0,B12/$B$16)</f>
        <v>0.814638830957551</v>
      </c>
    </row>
    <row r="13" customFormat="false" ht="15" hidden="false" customHeight="false" outlineLevel="0" collapsed="false">
      <c r="A13" s="12" t="s">
        <v>2766</v>
      </c>
      <c r="B13" s="23" t="n">
        <f aca="false">SUMIFS($I$26:$I$69,$B$26:$B$69,A13)</f>
        <v>25500</v>
      </c>
      <c r="C13" s="24" t="n">
        <f aca="false">IF($B$16=0,0,B13/$B$16)</f>
        <v>0.0365504934316613</v>
      </c>
    </row>
    <row r="14" customFormat="false" ht="15" hidden="false" customHeight="false" outlineLevel="0" collapsed="false">
      <c r="A14" s="12" t="s">
        <v>2767</v>
      </c>
      <c r="B14" s="23" t="n">
        <f aca="false">SUMIFS($I$26:$I$69,$B$26:$B$69,A14)</f>
        <v>22400</v>
      </c>
      <c r="C14" s="24" t="n">
        <f aca="false">IF($B$16=0,0,B14/$B$16)</f>
        <v>0.0321071001125182</v>
      </c>
    </row>
    <row r="15" customFormat="false" ht="15" hidden="false" customHeight="false" outlineLevel="0" collapsed="false">
      <c r="A15" s="12" t="s">
        <v>2768</v>
      </c>
      <c r="B15" s="23" t="n">
        <f aca="false">SUMIFS($I$26:$I$69,$B$26:$B$69,A15)</f>
        <v>14440</v>
      </c>
      <c r="C15" s="24" t="n">
        <f aca="false">IF($B$16=0,0,B15/$B$16)</f>
        <v>0.0206976127511055</v>
      </c>
    </row>
    <row r="16" customFormat="false" ht="15" hidden="false" customHeight="false" outlineLevel="0" collapsed="false">
      <c r="A16" s="25" t="s">
        <v>2769</v>
      </c>
      <c r="B16" s="26" t="n">
        <f aca="false">SUM(B11:B15)</f>
        <v>697665</v>
      </c>
    </row>
    <row r="17" customFormat="false" ht="23.85" hidden="false" customHeight="false" outlineLevel="0" collapsed="false">
      <c r="A17" s="4" t="s">
        <v>2770</v>
      </c>
      <c r="B17" s="23" t="n">
        <f aca="false">$B$16*C17</f>
        <v>62789.85</v>
      </c>
      <c r="C17" s="27" t="n">
        <v>0.09</v>
      </c>
      <c r="D17" s="28" t="n">
        <f aca="false">'Parâmetros IN 29'!$B$4</f>
        <v>0.15</v>
      </c>
      <c r="E17" s="12" t="str">
        <f aca="false">IF(AND(C17&lt;=D17),"OK","EXCEDE")</f>
        <v>OK</v>
      </c>
    </row>
    <row r="18" customFormat="false" ht="35.05" hidden="false" customHeight="false" outlineLevel="0" collapsed="false">
      <c r="A18" s="4" t="s">
        <v>2771</v>
      </c>
      <c r="B18" s="23" t="n">
        <f aca="false">$B$16*C18</f>
        <v>69766.5</v>
      </c>
      <c r="C18" s="27" t="n">
        <v>0.1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69766.5</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899987.85</v>
      </c>
    </row>
    <row r="21" customFormat="false" ht="15" hidden="false" customHeight="false" outlineLevel="0" collapsed="false">
      <c r="A21" s="12" t="s">
        <v>2774</v>
      </c>
      <c r="B21" s="23" t="n">
        <f aca="false">B20-B7</f>
        <v>-12.1500000000233</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35.05" hidden="false" customHeight="false" outlineLevel="0" collapsed="false">
      <c r="A26" s="4" t="s">
        <v>3150</v>
      </c>
      <c r="B26" s="12" t="s">
        <v>2764</v>
      </c>
      <c r="C26" s="4" t="s">
        <v>3151</v>
      </c>
      <c r="D26" s="12" t="s">
        <v>2793</v>
      </c>
      <c r="E26" s="12" t="s">
        <v>2484</v>
      </c>
      <c r="F26" s="29" t="n">
        <v>1</v>
      </c>
      <c r="G26" s="29" t="n">
        <v>3</v>
      </c>
      <c r="H26" s="19" t="n">
        <v>7500</v>
      </c>
      <c r="I26" s="23" t="n">
        <f aca="false">F26*G26*H26</f>
        <v>22500</v>
      </c>
      <c r="J26" s="12" t="s">
        <v>3152</v>
      </c>
      <c r="K26" s="12" t="s">
        <v>2795</v>
      </c>
      <c r="L26" s="12" t="s">
        <v>2796</v>
      </c>
      <c r="M26" s="4" t="s">
        <v>3153</v>
      </c>
    </row>
    <row r="27" customFormat="false" ht="35.05" hidden="false" customHeight="false" outlineLevel="0" collapsed="false">
      <c r="A27" s="4" t="s">
        <v>3150</v>
      </c>
      <c r="B27" s="12" t="s">
        <v>2764</v>
      </c>
      <c r="C27" s="4" t="s">
        <v>2801</v>
      </c>
      <c r="D27" s="12" t="s">
        <v>2793</v>
      </c>
      <c r="E27" s="12" t="s">
        <v>2484</v>
      </c>
      <c r="F27" s="29" t="n">
        <v>1</v>
      </c>
      <c r="G27" s="29" t="n">
        <v>3</v>
      </c>
      <c r="H27" s="19" t="n">
        <v>6000</v>
      </c>
      <c r="I27" s="23" t="n">
        <f aca="false">F27*G27*H27</f>
        <v>18000</v>
      </c>
      <c r="J27" s="12" t="s">
        <v>3152</v>
      </c>
      <c r="K27" s="12" t="s">
        <v>2795</v>
      </c>
      <c r="L27" s="12" t="s">
        <v>2796</v>
      </c>
      <c r="M27" s="4" t="s">
        <v>3154</v>
      </c>
    </row>
    <row r="28" customFormat="false" ht="35.05" hidden="false" customHeight="false" outlineLevel="0" collapsed="false">
      <c r="A28" s="4" t="s">
        <v>3150</v>
      </c>
      <c r="B28" s="12" t="s">
        <v>2764</v>
      </c>
      <c r="C28" s="4" t="s">
        <v>3155</v>
      </c>
      <c r="D28" s="12" t="s">
        <v>2793</v>
      </c>
      <c r="E28" s="12" t="s">
        <v>2484</v>
      </c>
      <c r="F28" s="29" t="n">
        <v>1</v>
      </c>
      <c r="G28" s="29" t="n">
        <v>1</v>
      </c>
      <c r="H28" s="19" t="n">
        <v>6000</v>
      </c>
      <c r="I28" s="23" t="n">
        <f aca="false">F28*G28*H28</f>
        <v>6000</v>
      </c>
      <c r="J28" s="12" t="s">
        <v>3152</v>
      </c>
      <c r="K28" s="12" t="s">
        <v>3083</v>
      </c>
      <c r="L28" s="12" t="s">
        <v>2796</v>
      </c>
      <c r="M28" s="4" t="s">
        <v>3156</v>
      </c>
    </row>
    <row r="29" customFormat="false" ht="35.05" hidden="false" customHeight="false" outlineLevel="0" collapsed="false">
      <c r="A29" s="4" t="s">
        <v>3150</v>
      </c>
      <c r="B29" s="12" t="s">
        <v>2764</v>
      </c>
      <c r="C29" s="4" t="s">
        <v>3157</v>
      </c>
      <c r="D29" s="12" t="s">
        <v>2855</v>
      </c>
      <c r="E29" s="12" t="s">
        <v>2516</v>
      </c>
      <c r="F29" s="29" t="n">
        <v>2</v>
      </c>
      <c r="G29" s="29" t="n">
        <v>1</v>
      </c>
      <c r="H29" s="19" t="n">
        <v>2500</v>
      </c>
      <c r="I29" s="23" t="n">
        <f aca="false">F29*G29*H29</f>
        <v>5000</v>
      </c>
      <c r="J29" s="12" t="s">
        <v>3152</v>
      </c>
      <c r="K29" s="12" t="s">
        <v>2805</v>
      </c>
      <c r="L29" s="12"/>
      <c r="M29" s="4" t="s">
        <v>3158</v>
      </c>
    </row>
    <row r="30" customFormat="false" ht="35.05" hidden="false" customHeight="false" outlineLevel="0" collapsed="false">
      <c r="A30" s="4" t="s">
        <v>3150</v>
      </c>
      <c r="B30" s="12" t="s">
        <v>2764</v>
      </c>
      <c r="C30" s="4" t="s">
        <v>3159</v>
      </c>
      <c r="D30" s="12" t="s">
        <v>2793</v>
      </c>
      <c r="E30" s="12" t="s">
        <v>2484</v>
      </c>
      <c r="F30" s="29" t="n">
        <v>1</v>
      </c>
      <c r="G30" s="29" t="n">
        <v>1</v>
      </c>
      <c r="H30" s="19" t="n">
        <v>6000</v>
      </c>
      <c r="I30" s="23" t="n">
        <f aca="false">F30*G30*H30</f>
        <v>6000</v>
      </c>
      <c r="J30" s="12" t="s">
        <v>3152</v>
      </c>
      <c r="K30" s="12" t="s">
        <v>2805</v>
      </c>
      <c r="L30" s="12"/>
      <c r="M30" s="4" t="s">
        <v>3160</v>
      </c>
    </row>
    <row r="31" customFormat="false" ht="35.05" hidden="false" customHeight="false" outlineLevel="0" collapsed="false">
      <c r="A31" s="4" t="s">
        <v>3150</v>
      </c>
      <c r="B31" s="12" t="s">
        <v>2764</v>
      </c>
      <c r="C31" s="4" t="s">
        <v>3161</v>
      </c>
      <c r="D31" s="12" t="s">
        <v>2808</v>
      </c>
      <c r="E31" s="12" t="s">
        <v>2497</v>
      </c>
      <c r="F31" s="29" t="n">
        <v>1</v>
      </c>
      <c r="G31" s="29" t="n">
        <v>6</v>
      </c>
      <c r="H31" s="19" t="n">
        <v>1000</v>
      </c>
      <c r="I31" s="23" t="n">
        <f aca="false">F31*G31*H31</f>
        <v>6000</v>
      </c>
      <c r="J31" s="12" t="s">
        <v>3162</v>
      </c>
      <c r="K31" s="12" t="s">
        <v>2810</v>
      </c>
      <c r="L31" s="12" t="s">
        <v>2796</v>
      </c>
      <c r="M31" s="4" t="s">
        <v>3163</v>
      </c>
    </row>
    <row r="32" customFormat="false" ht="35.05" hidden="false" customHeight="false" outlineLevel="0" collapsed="false">
      <c r="A32" s="4" t="s">
        <v>3150</v>
      </c>
      <c r="B32" s="12" t="s">
        <v>2764</v>
      </c>
      <c r="C32" s="4" t="s">
        <v>3164</v>
      </c>
      <c r="D32" s="12" t="s">
        <v>2808</v>
      </c>
      <c r="E32" s="12" t="s">
        <v>3165</v>
      </c>
      <c r="F32" s="29" t="n">
        <v>2</v>
      </c>
      <c r="G32" s="29" t="n">
        <v>6</v>
      </c>
      <c r="H32" s="19" t="n">
        <v>200</v>
      </c>
      <c r="I32" s="23" t="n">
        <f aca="false">F32*G32*H32</f>
        <v>2400</v>
      </c>
      <c r="J32" s="12" t="s">
        <v>3162</v>
      </c>
      <c r="K32" s="12" t="s">
        <v>3166</v>
      </c>
      <c r="L32" s="12" t="s">
        <v>2796</v>
      </c>
      <c r="M32" s="4" t="s">
        <v>3167</v>
      </c>
    </row>
    <row r="33" customFormat="false" ht="35.05" hidden="false" customHeight="false" outlineLevel="0" collapsed="false">
      <c r="A33" s="4" t="s">
        <v>3150</v>
      </c>
      <c r="B33" s="12" t="s">
        <v>2764</v>
      </c>
      <c r="C33" s="4" t="s">
        <v>3168</v>
      </c>
      <c r="D33" s="12" t="s">
        <v>2808</v>
      </c>
      <c r="E33" s="12" t="s">
        <v>3165</v>
      </c>
      <c r="F33" s="29" t="n">
        <v>2</v>
      </c>
      <c r="G33" s="29" t="n">
        <v>6</v>
      </c>
      <c r="H33" s="19" t="n">
        <v>90</v>
      </c>
      <c r="I33" s="23" t="n">
        <f aca="false">F33*G33*H33</f>
        <v>1080</v>
      </c>
      <c r="J33" s="12" t="s">
        <v>3162</v>
      </c>
      <c r="K33" s="12" t="s">
        <v>3169</v>
      </c>
      <c r="L33" s="12" t="s">
        <v>2796</v>
      </c>
      <c r="M33" s="4" t="s">
        <v>3170</v>
      </c>
    </row>
    <row r="34" customFormat="false" ht="35.05" hidden="false" customHeight="false" outlineLevel="0" collapsed="false">
      <c r="A34" s="4" t="s">
        <v>3150</v>
      </c>
      <c r="B34" s="12" t="s">
        <v>2765</v>
      </c>
      <c r="C34" s="4" t="s">
        <v>3151</v>
      </c>
      <c r="D34" s="12" t="s">
        <v>2793</v>
      </c>
      <c r="E34" s="12" t="s">
        <v>2484</v>
      </c>
      <c r="F34" s="29" t="n">
        <v>1</v>
      </c>
      <c r="G34" s="29" t="n">
        <v>4</v>
      </c>
      <c r="H34" s="19" t="n">
        <v>7500</v>
      </c>
      <c r="I34" s="23" t="n">
        <f aca="false">F34*G34*H34</f>
        <v>30000</v>
      </c>
      <c r="J34" s="12" t="s">
        <v>3152</v>
      </c>
      <c r="K34" s="12" t="s">
        <v>2795</v>
      </c>
      <c r="L34" s="12" t="s">
        <v>2796</v>
      </c>
      <c r="M34" s="4" t="s">
        <v>3171</v>
      </c>
    </row>
    <row r="35" customFormat="false" ht="35.05" hidden="false" customHeight="false" outlineLevel="0" collapsed="false">
      <c r="A35" s="4" t="s">
        <v>3150</v>
      </c>
      <c r="B35" s="12" t="s">
        <v>2765</v>
      </c>
      <c r="C35" s="4" t="s">
        <v>2801</v>
      </c>
      <c r="D35" s="12" t="s">
        <v>2793</v>
      </c>
      <c r="E35" s="12" t="s">
        <v>2484</v>
      </c>
      <c r="F35" s="29" t="n">
        <v>1</v>
      </c>
      <c r="G35" s="29" t="n">
        <v>4</v>
      </c>
      <c r="H35" s="19" t="n">
        <v>6000</v>
      </c>
      <c r="I35" s="23" t="n">
        <f aca="false">F35*G35*H35</f>
        <v>24000</v>
      </c>
      <c r="J35" s="12" t="s">
        <v>3152</v>
      </c>
      <c r="K35" s="12" t="s">
        <v>2795</v>
      </c>
      <c r="L35" s="12" t="s">
        <v>2796</v>
      </c>
      <c r="M35" s="4" t="s">
        <v>3172</v>
      </c>
    </row>
    <row r="36" customFormat="false" ht="35.05" hidden="false" customHeight="false" outlineLevel="0" collapsed="false">
      <c r="A36" s="4" t="s">
        <v>3150</v>
      </c>
      <c r="B36" s="12" t="s">
        <v>2765</v>
      </c>
      <c r="C36" s="4" t="s">
        <v>3173</v>
      </c>
      <c r="D36" s="12" t="s">
        <v>2793</v>
      </c>
      <c r="E36" s="12" t="s">
        <v>2484</v>
      </c>
      <c r="F36" s="29" t="n">
        <v>1</v>
      </c>
      <c r="G36" s="29" t="n">
        <v>4</v>
      </c>
      <c r="H36" s="19" t="n">
        <v>6000</v>
      </c>
      <c r="I36" s="23" t="n">
        <f aca="false">F36*G36*H36</f>
        <v>24000</v>
      </c>
      <c r="J36" s="12" t="s">
        <v>3162</v>
      </c>
      <c r="K36" s="12" t="s">
        <v>2805</v>
      </c>
      <c r="L36" s="12"/>
      <c r="M36" s="4" t="s">
        <v>3174</v>
      </c>
    </row>
    <row r="37" customFormat="false" ht="35.05" hidden="false" customHeight="false" outlineLevel="0" collapsed="false">
      <c r="A37" s="4" t="s">
        <v>3150</v>
      </c>
      <c r="B37" s="12" t="s">
        <v>2765</v>
      </c>
      <c r="C37" s="4" t="s">
        <v>3175</v>
      </c>
      <c r="D37" s="12" t="s">
        <v>2793</v>
      </c>
      <c r="E37" s="12" t="s">
        <v>2484</v>
      </c>
      <c r="F37" s="29" t="n">
        <v>1</v>
      </c>
      <c r="G37" s="29" t="n">
        <v>4</v>
      </c>
      <c r="H37" s="19" t="n">
        <v>5500</v>
      </c>
      <c r="I37" s="23" t="n">
        <f aca="false">F37*G37*H37</f>
        <v>22000</v>
      </c>
      <c r="J37" s="12" t="s">
        <v>3162</v>
      </c>
      <c r="K37" s="12" t="s">
        <v>2795</v>
      </c>
      <c r="L37" s="12" t="s">
        <v>2796</v>
      </c>
      <c r="M37" s="4" t="s">
        <v>3176</v>
      </c>
    </row>
    <row r="38" customFormat="false" ht="46.25" hidden="false" customHeight="false" outlineLevel="0" collapsed="false">
      <c r="A38" s="4" t="s">
        <v>3150</v>
      </c>
      <c r="B38" s="12" t="s">
        <v>2765</v>
      </c>
      <c r="C38" s="4" t="s">
        <v>3177</v>
      </c>
      <c r="D38" s="12" t="s">
        <v>2855</v>
      </c>
      <c r="E38" s="12" t="s">
        <v>2516</v>
      </c>
      <c r="F38" s="29" t="n">
        <v>24</v>
      </c>
      <c r="G38" s="29" t="n">
        <v>1</v>
      </c>
      <c r="H38" s="19" t="n">
        <v>5472</v>
      </c>
      <c r="I38" s="23" t="n">
        <f aca="false">F38*G38*H38</f>
        <v>131328</v>
      </c>
      <c r="J38" s="12" t="s">
        <v>3162</v>
      </c>
      <c r="K38" s="12" t="s">
        <v>2858</v>
      </c>
      <c r="L38" s="12" t="s">
        <v>2796</v>
      </c>
      <c r="M38" s="4" t="s">
        <v>3178</v>
      </c>
    </row>
    <row r="39" customFormat="false" ht="35.05" hidden="false" customHeight="false" outlineLevel="0" collapsed="false">
      <c r="A39" s="4" t="s">
        <v>3150</v>
      </c>
      <c r="B39" s="12" t="s">
        <v>2765</v>
      </c>
      <c r="C39" s="4" t="s">
        <v>3179</v>
      </c>
      <c r="D39" s="12" t="s">
        <v>2808</v>
      </c>
      <c r="E39" s="12" t="s">
        <v>2497</v>
      </c>
      <c r="F39" s="29" t="n">
        <v>12</v>
      </c>
      <c r="G39" s="29" t="n">
        <v>2</v>
      </c>
      <c r="H39" s="19" t="n">
        <v>450</v>
      </c>
      <c r="I39" s="23" t="n">
        <f aca="false">F39*G39*H39</f>
        <v>10800</v>
      </c>
      <c r="J39" s="12" t="s">
        <v>3162</v>
      </c>
      <c r="K39" s="12" t="s">
        <v>3180</v>
      </c>
      <c r="L39" s="12" t="s">
        <v>2796</v>
      </c>
      <c r="M39" s="4" t="s">
        <v>3181</v>
      </c>
    </row>
    <row r="40" customFormat="false" ht="35.05" hidden="false" customHeight="false" outlineLevel="0" collapsed="false">
      <c r="A40" s="4" t="s">
        <v>3150</v>
      </c>
      <c r="B40" s="12" t="s">
        <v>2765</v>
      </c>
      <c r="C40" s="4" t="s">
        <v>3182</v>
      </c>
      <c r="D40" s="12" t="s">
        <v>2808</v>
      </c>
      <c r="E40" s="12" t="s">
        <v>2497</v>
      </c>
      <c r="F40" s="29" t="n">
        <v>1</v>
      </c>
      <c r="G40" s="29" t="n">
        <v>16</v>
      </c>
      <c r="H40" s="19" t="n">
        <v>650</v>
      </c>
      <c r="I40" s="23" t="n">
        <f aca="false">F40*G40*H40</f>
        <v>10400</v>
      </c>
      <c r="J40" s="12" t="s">
        <v>3162</v>
      </c>
      <c r="K40" s="12" t="s">
        <v>2866</v>
      </c>
      <c r="L40" s="12" t="s">
        <v>2796</v>
      </c>
      <c r="M40" s="4" t="s">
        <v>3183</v>
      </c>
    </row>
    <row r="41" customFormat="false" ht="35.05" hidden="false" customHeight="false" outlineLevel="0" collapsed="false">
      <c r="A41" s="4" t="s">
        <v>3150</v>
      </c>
      <c r="B41" s="12" t="s">
        <v>2765</v>
      </c>
      <c r="C41" s="4" t="s">
        <v>2868</v>
      </c>
      <c r="D41" s="12" t="s">
        <v>2808</v>
      </c>
      <c r="E41" s="12" t="s">
        <v>2497</v>
      </c>
      <c r="F41" s="29" t="n">
        <v>1</v>
      </c>
      <c r="G41" s="29" t="n">
        <v>16</v>
      </c>
      <c r="H41" s="19" t="n">
        <v>700</v>
      </c>
      <c r="I41" s="23" t="n">
        <f aca="false">F41*G41*H41</f>
        <v>11200</v>
      </c>
      <c r="J41" s="12" t="s">
        <v>3162</v>
      </c>
      <c r="K41" s="12" t="s">
        <v>2866</v>
      </c>
      <c r="L41" s="12" t="s">
        <v>2796</v>
      </c>
      <c r="M41" s="4" t="s">
        <v>3184</v>
      </c>
    </row>
    <row r="42" customFormat="false" ht="35.05" hidden="false" customHeight="false" outlineLevel="0" collapsed="false">
      <c r="A42" s="4" t="s">
        <v>3150</v>
      </c>
      <c r="B42" s="12" t="s">
        <v>2765</v>
      </c>
      <c r="C42" s="4" t="s">
        <v>3185</v>
      </c>
      <c r="D42" s="12" t="s">
        <v>2808</v>
      </c>
      <c r="E42" s="12" t="s">
        <v>2497</v>
      </c>
      <c r="F42" s="29" t="n">
        <v>2</v>
      </c>
      <c r="G42" s="29" t="n">
        <v>12</v>
      </c>
      <c r="H42" s="19" t="n">
        <v>300</v>
      </c>
      <c r="I42" s="23" t="n">
        <f aca="false">F42*G42*H42</f>
        <v>7200</v>
      </c>
      <c r="J42" s="12" t="s">
        <v>3162</v>
      </c>
      <c r="K42" s="12" t="s">
        <v>2870</v>
      </c>
      <c r="L42" s="12" t="s">
        <v>2796</v>
      </c>
      <c r="M42" s="4" t="s">
        <v>3186</v>
      </c>
    </row>
    <row r="43" customFormat="false" ht="35.05" hidden="false" customHeight="false" outlineLevel="0" collapsed="false">
      <c r="A43" s="4" t="s">
        <v>3150</v>
      </c>
      <c r="B43" s="12" t="s">
        <v>2765</v>
      </c>
      <c r="C43" s="4" t="s">
        <v>3187</v>
      </c>
      <c r="D43" s="12" t="s">
        <v>2808</v>
      </c>
      <c r="E43" s="12" t="s">
        <v>2497</v>
      </c>
      <c r="F43" s="29" t="n">
        <v>12</v>
      </c>
      <c r="G43" s="29" t="n">
        <v>1</v>
      </c>
      <c r="H43" s="19" t="n">
        <v>1500</v>
      </c>
      <c r="I43" s="23" t="n">
        <f aca="false">F43*G43*H43</f>
        <v>18000</v>
      </c>
      <c r="J43" s="12" t="s">
        <v>3162</v>
      </c>
      <c r="K43" s="12" t="s">
        <v>2834</v>
      </c>
      <c r="L43" s="12" t="s">
        <v>2796</v>
      </c>
      <c r="M43" s="4" t="s">
        <v>3188</v>
      </c>
    </row>
    <row r="44" customFormat="false" ht="35.05" hidden="false" customHeight="false" outlineLevel="0" collapsed="false">
      <c r="A44" s="4" t="s">
        <v>3150</v>
      </c>
      <c r="B44" s="12" t="s">
        <v>2765</v>
      </c>
      <c r="C44" s="4" t="s">
        <v>3189</v>
      </c>
      <c r="D44" s="12" t="s">
        <v>2808</v>
      </c>
      <c r="E44" s="12" t="s">
        <v>2497</v>
      </c>
      <c r="F44" s="29" t="n">
        <v>12</v>
      </c>
      <c r="G44" s="29" t="n">
        <v>1</v>
      </c>
      <c r="H44" s="19" t="n">
        <v>2000</v>
      </c>
      <c r="I44" s="23" t="n">
        <f aca="false">F44*G44*H44</f>
        <v>24000</v>
      </c>
      <c r="J44" s="12" t="s">
        <v>3162</v>
      </c>
      <c r="K44" s="12" t="s">
        <v>2863</v>
      </c>
      <c r="L44" s="12" t="s">
        <v>2796</v>
      </c>
      <c r="M44" s="4" t="s">
        <v>3190</v>
      </c>
    </row>
    <row r="45" customFormat="false" ht="35.05" hidden="false" customHeight="false" outlineLevel="0" collapsed="false">
      <c r="A45" s="4" t="s">
        <v>3150</v>
      </c>
      <c r="B45" s="12" t="s">
        <v>2765</v>
      </c>
      <c r="C45" s="4" t="s">
        <v>3191</v>
      </c>
      <c r="D45" s="12" t="s">
        <v>2808</v>
      </c>
      <c r="E45" s="12" t="s">
        <v>2497</v>
      </c>
      <c r="F45" s="29" t="n">
        <v>4</v>
      </c>
      <c r="G45" s="29" t="n">
        <v>5</v>
      </c>
      <c r="H45" s="19" t="n">
        <v>1000</v>
      </c>
      <c r="I45" s="23" t="n">
        <f aca="false">F45*G45*H45</f>
        <v>20000</v>
      </c>
      <c r="J45" s="12" t="s">
        <v>3162</v>
      </c>
      <c r="K45" s="12" t="s">
        <v>2810</v>
      </c>
      <c r="L45" s="12" t="s">
        <v>2796</v>
      </c>
      <c r="M45" s="4" t="s">
        <v>3192</v>
      </c>
    </row>
    <row r="46" customFormat="false" ht="35.05" hidden="false" customHeight="false" outlineLevel="0" collapsed="false">
      <c r="A46" s="4" t="s">
        <v>3150</v>
      </c>
      <c r="B46" s="12" t="s">
        <v>2765</v>
      </c>
      <c r="C46" s="4" t="s">
        <v>3193</v>
      </c>
      <c r="D46" s="12" t="s">
        <v>2808</v>
      </c>
      <c r="E46" s="12" t="s">
        <v>2497</v>
      </c>
      <c r="F46" s="29" t="n">
        <v>1</v>
      </c>
      <c r="G46" s="29" t="n">
        <v>24</v>
      </c>
      <c r="H46" s="19" t="n">
        <v>1000</v>
      </c>
      <c r="I46" s="23" t="n">
        <f aca="false">F46*G46*H46</f>
        <v>24000</v>
      </c>
      <c r="J46" s="12" t="s">
        <v>3162</v>
      </c>
      <c r="K46" s="12" t="s">
        <v>2810</v>
      </c>
      <c r="L46" s="12" t="s">
        <v>2796</v>
      </c>
      <c r="M46" s="4" t="s">
        <v>3194</v>
      </c>
    </row>
    <row r="47" customFormat="false" ht="35.05" hidden="false" customHeight="false" outlineLevel="0" collapsed="false">
      <c r="A47" s="4" t="s">
        <v>3150</v>
      </c>
      <c r="B47" s="12" t="s">
        <v>2765</v>
      </c>
      <c r="C47" s="4" t="s">
        <v>3195</v>
      </c>
      <c r="D47" s="12" t="s">
        <v>2808</v>
      </c>
      <c r="E47" s="12" t="s">
        <v>2497</v>
      </c>
      <c r="F47" s="29" t="n">
        <v>12</v>
      </c>
      <c r="G47" s="29" t="n">
        <v>1</v>
      </c>
      <c r="H47" s="19" t="n">
        <v>2200</v>
      </c>
      <c r="I47" s="23" t="n">
        <f aca="false">F47*G47*H47</f>
        <v>26400</v>
      </c>
      <c r="J47" s="12" t="s">
        <v>3162</v>
      </c>
      <c r="K47" s="12" t="s">
        <v>3017</v>
      </c>
      <c r="L47" s="12" t="s">
        <v>2796</v>
      </c>
      <c r="M47" s="4" t="s">
        <v>3196</v>
      </c>
    </row>
    <row r="48" customFormat="false" ht="35.05" hidden="false" customHeight="false" outlineLevel="0" collapsed="false">
      <c r="A48" s="4" t="s">
        <v>3150</v>
      </c>
      <c r="B48" s="12" t="s">
        <v>2765</v>
      </c>
      <c r="C48" s="4" t="s">
        <v>3197</v>
      </c>
      <c r="D48" s="12" t="s">
        <v>2808</v>
      </c>
      <c r="E48" s="12" t="s">
        <v>3165</v>
      </c>
      <c r="F48" s="29" t="n">
        <v>28</v>
      </c>
      <c r="G48" s="29" t="n">
        <v>4</v>
      </c>
      <c r="H48" s="19" t="n">
        <v>200</v>
      </c>
      <c r="I48" s="23" t="n">
        <f aca="false">F48*G48*H48</f>
        <v>22400</v>
      </c>
      <c r="J48" s="12" t="s">
        <v>3162</v>
      </c>
      <c r="K48" s="12" t="s">
        <v>3166</v>
      </c>
      <c r="L48" s="12" t="s">
        <v>2796</v>
      </c>
      <c r="M48" s="4" t="s">
        <v>3198</v>
      </c>
    </row>
    <row r="49" customFormat="false" ht="35.05" hidden="false" customHeight="false" outlineLevel="0" collapsed="false">
      <c r="A49" s="4" t="s">
        <v>3150</v>
      </c>
      <c r="B49" s="12" t="s">
        <v>2765</v>
      </c>
      <c r="C49" s="4" t="s">
        <v>3199</v>
      </c>
      <c r="D49" s="12" t="s">
        <v>2808</v>
      </c>
      <c r="E49" s="12" t="s">
        <v>3165</v>
      </c>
      <c r="F49" s="29" t="n">
        <v>5</v>
      </c>
      <c r="G49" s="29" t="n">
        <v>22</v>
      </c>
      <c r="H49" s="19" t="n">
        <v>200</v>
      </c>
      <c r="I49" s="23" t="n">
        <f aca="false">F49*G49*H49</f>
        <v>22000</v>
      </c>
      <c r="J49" s="12" t="s">
        <v>3162</v>
      </c>
      <c r="K49" s="12" t="s">
        <v>3166</v>
      </c>
      <c r="L49" s="12" t="s">
        <v>2796</v>
      </c>
      <c r="M49" s="4" t="s">
        <v>3200</v>
      </c>
    </row>
    <row r="50" customFormat="false" ht="35.05" hidden="false" customHeight="false" outlineLevel="0" collapsed="false">
      <c r="A50" s="4" t="s">
        <v>3150</v>
      </c>
      <c r="B50" s="12" t="s">
        <v>2765</v>
      </c>
      <c r="C50" s="4" t="s">
        <v>3201</v>
      </c>
      <c r="D50" s="12" t="s">
        <v>2808</v>
      </c>
      <c r="E50" s="12" t="s">
        <v>3165</v>
      </c>
      <c r="F50" s="29" t="n">
        <v>28</v>
      </c>
      <c r="G50" s="29" t="n">
        <v>5</v>
      </c>
      <c r="H50" s="19" t="n">
        <v>90</v>
      </c>
      <c r="I50" s="23" t="n">
        <f aca="false">F50*G50*H50</f>
        <v>12600</v>
      </c>
      <c r="J50" s="12" t="s">
        <v>3162</v>
      </c>
      <c r="K50" s="12" t="s">
        <v>3169</v>
      </c>
      <c r="L50" s="12" t="s">
        <v>2796</v>
      </c>
      <c r="M50" s="4" t="s">
        <v>3202</v>
      </c>
    </row>
    <row r="51" customFormat="false" ht="35.05" hidden="false" customHeight="false" outlineLevel="0" collapsed="false">
      <c r="A51" s="4" t="s">
        <v>3150</v>
      </c>
      <c r="B51" s="12" t="s">
        <v>2765</v>
      </c>
      <c r="C51" s="4" t="s">
        <v>3203</v>
      </c>
      <c r="D51" s="12" t="s">
        <v>2808</v>
      </c>
      <c r="E51" s="12" t="s">
        <v>3165</v>
      </c>
      <c r="F51" s="29" t="n">
        <v>5</v>
      </c>
      <c r="G51" s="29" t="n">
        <v>24</v>
      </c>
      <c r="H51" s="19" t="n">
        <v>90</v>
      </c>
      <c r="I51" s="23" t="n">
        <f aca="false">F51*G51*H51</f>
        <v>10800</v>
      </c>
      <c r="J51" s="12" t="s">
        <v>3162</v>
      </c>
      <c r="K51" s="12" t="s">
        <v>3169</v>
      </c>
      <c r="L51" s="12" t="s">
        <v>2796</v>
      </c>
      <c r="M51" s="4" t="s">
        <v>3204</v>
      </c>
    </row>
    <row r="52" customFormat="false" ht="35.05" hidden="false" customHeight="false" outlineLevel="0" collapsed="false">
      <c r="A52" s="4" t="s">
        <v>3150</v>
      </c>
      <c r="B52" s="12" t="s">
        <v>2765</v>
      </c>
      <c r="C52" s="4" t="s">
        <v>2613</v>
      </c>
      <c r="D52" s="12" t="s">
        <v>2808</v>
      </c>
      <c r="E52" s="12" t="s">
        <v>2497</v>
      </c>
      <c r="F52" s="29" t="n">
        <v>1</v>
      </c>
      <c r="G52" s="29" t="n">
        <v>16</v>
      </c>
      <c r="H52" s="19" t="n">
        <v>900</v>
      </c>
      <c r="I52" s="23" t="n">
        <f aca="false">F52*G52*H52</f>
        <v>14400</v>
      </c>
      <c r="J52" s="12" t="s">
        <v>3162</v>
      </c>
      <c r="K52" s="12" t="s">
        <v>2848</v>
      </c>
      <c r="L52" s="12" t="s">
        <v>2796</v>
      </c>
      <c r="M52" s="4" t="s">
        <v>3205</v>
      </c>
    </row>
    <row r="53" customFormat="false" ht="35.05" hidden="false" customHeight="false" outlineLevel="0" collapsed="false">
      <c r="A53" s="4" t="s">
        <v>3150</v>
      </c>
      <c r="B53" s="12" t="s">
        <v>2765</v>
      </c>
      <c r="C53" s="4" t="s">
        <v>3206</v>
      </c>
      <c r="D53" s="12" t="s">
        <v>2808</v>
      </c>
      <c r="E53" s="12" t="s">
        <v>2497</v>
      </c>
      <c r="F53" s="29" t="n">
        <v>1</v>
      </c>
      <c r="G53" s="29" t="n">
        <v>6</v>
      </c>
      <c r="H53" s="19" t="n">
        <v>1800</v>
      </c>
      <c r="I53" s="23" t="n">
        <f aca="false">F53*G53*H53</f>
        <v>10800</v>
      </c>
      <c r="J53" s="12" t="s">
        <v>3162</v>
      </c>
      <c r="K53" s="12" t="s">
        <v>2851</v>
      </c>
      <c r="L53" s="12" t="s">
        <v>2796</v>
      </c>
      <c r="M53" s="4" t="s">
        <v>3207</v>
      </c>
    </row>
    <row r="54" customFormat="false" ht="35.05" hidden="false" customHeight="false" outlineLevel="0" collapsed="false">
      <c r="A54" s="4" t="s">
        <v>3150</v>
      </c>
      <c r="B54" s="12" t="s">
        <v>2765</v>
      </c>
      <c r="C54" s="4" t="s">
        <v>3208</v>
      </c>
      <c r="D54" s="12" t="s">
        <v>2808</v>
      </c>
      <c r="E54" s="12" t="s">
        <v>2683</v>
      </c>
      <c r="F54" s="29" t="n">
        <v>1</v>
      </c>
      <c r="G54" s="29" t="n">
        <v>1</v>
      </c>
      <c r="H54" s="19" t="n">
        <v>5000</v>
      </c>
      <c r="I54" s="23" t="n">
        <f aca="false">F54*G54*H54</f>
        <v>5000</v>
      </c>
      <c r="J54" s="12" t="s">
        <v>3162</v>
      </c>
      <c r="K54" s="12" t="s">
        <v>2845</v>
      </c>
      <c r="L54" s="12" t="s">
        <v>2796</v>
      </c>
      <c r="M54" s="4" t="s">
        <v>3209</v>
      </c>
    </row>
    <row r="55" customFormat="false" ht="35.05" hidden="false" customHeight="false" outlineLevel="0" collapsed="false">
      <c r="A55" s="4" t="s">
        <v>3150</v>
      </c>
      <c r="B55" s="12" t="s">
        <v>2765</v>
      </c>
      <c r="C55" s="4" t="s">
        <v>3210</v>
      </c>
      <c r="D55" s="12" t="s">
        <v>2882</v>
      </c>
      <c r="E55" s="12" t="s">
        <v>2601</v>
      </c>
      <c r="F55" s="29" t="n">
        <v>1</v>
      </c>
      <c r="G55" s="29" t="n">
        <v>1</v>
      </c>
      <c r="H55" s="19" t="n">
        <v>4000</v>
      </c>
      <c r="I55" s="23" t="n">
        <f aca="false">F55*G55*H55</f>
        <v>4000</v>
      </c>
      <c r="J55" s="12" t="s">
        <v>3162</v>
      </c>
      <c r="K55" s="12" t="s">
        <v>2805</v>
      </c>
      <c r="L55" s="12"/>
      <c r="M55" s="4" t="s">
        <v>3211</v>
      </c>
    </row>
    <row r="56" customFormat="false" ht="35.05" hidden="false" customHeight="false" outlineLevel="0" collapsed="false">
      <c r="A56" s="4" t="s">
        <v>3150</v>
      </c>
      <c r="B56" s="12" t="s">
        <v>2765</v>
      </c>
      <c r="C56" s="4" t="s">
        <v>2874</v>
      </c>
      <c r="D56" s="12" t="s">
        <v>2808</v>
      </c>
      <c r="E56" s="12" t="s">
        <v>2497</v>
      </c>
      <c r="F56" s="29" t="n">
        <v>12</v>
      </c>
      <c r="G56" s="29" t="n">
        <v>1</v>
      </c>
      <c r="H56" s="19" t="n">
        <v>300</v>
      </c>
      <c r="I56" s="23" t="n">
        <f aca="false">F56*G56*H56</f>
        <v>3600</v>
      </c>
      <c r="J56" s="12" t="s">
        <v>3162</v>
      </c>
      <c r="K56" s="12" t="s">
        <v>2875</v>
      </c>
      <c r="L56" s="12" t="s">
        <v>2796</v>
      </c>
      <c r="M56" s="4" t="s">
        <v>3212</v>
      </c>
    </row>
    <row r="57" customFormat="false" ht="23.85" hidden="false" customHeight="false" outlineLevel="0" collapsed="false">
      <c r="A57" s="4" t="s">
        <v>3213</v>
      </c>
      <c r="B57" s="12" t="s">
        <v>2765</v>
      </c>
      <c r="C57" s="4" t="s">
        <v>3214</v>
      </c>
      <c r="D57" s="12" t="s">
        <v>2808</v>
      </c>
      <c r="E57" s="12" t="s">
        <v>2501</v>
      </c>
      <c r="F57" s="29" t="n">
        <v>24</v>
      </c>
      <c r="G57" s="29" t="n">
        <v>6</v>
      </c>
      <c r="H57" s="19" t="n">
        <v>150</v>
      </c>
      <c r="I57" s="23" t="n">
        <f aca="false">F57*G57*H57</f>
        <v>21600</v>
      </c>
      <c r="J57" s="12" t="s">
        <v>3162</v>
      </c>
      <c r="K57" s="12" t="s">
        <v>2821</v>
      </c>
      <c r="L57" s="12" t="s">
        <v>2796</v>
      </c>
      <c r="M57" s="4" t="s">
        <v>3215</v>
      </c>
    </row>
    <row r="58" customFormat="false" ht="23.85" hidden="false" customHeight="false" outlineLevel="0" collapsed="false">
      <c r="A58" s="4" t="s">
        <v>3213</v>
      </c>
      <c r="B58" s="12" t="s">
        <v>2765</v>
      </c>
      <c r="C58" s="4" t="s">
        <v>3216</v>
      </c>
      <c r="D58" s="12" t="s">
        <v>2882</v>
      </c>
      <c r="E58" s="12" t="s">
        <v>2601</v>
      </c>
      <c r="F58" s="29" t="n">
        <v>1</v>
      </c>
      <c r="G58" s="29" t="n">
        <v>1</v>
      </c>
      <c r="H58" s="19" t="n">
        <v>3917</v>
      </c>
      <c r="I58" s="23" t="n">
        <f aca="false">F58*G58*H58</f>
        <v>3917</v>
      </c>
      <c r="J58" s="12" t="s">
        <v>3162</v>
      </c>
      <c r="K58" s="12" t="s">
        <v>2805</v>
      </c>
      <c r="L58" s="12"/>
      <c r="M58" s="4" t="s">
        <v>3217</v>
      </c>
    </row>
    <row r="59" customFormat="false" ht="35.05" hidden="false" customHeight="false" outlineLevel="0" collapsed="false">
      <c r="A59" s="4" t="s">
        <v>3150</v>
      </c>
      <c r="B59" s="12" t="s">
        <v>2766</v>
      </c>
      <c r="C59" s="4" t="s">
        <v>2884</v>
      </c>
      <c r="D59" s="12" t="s">
        <v>2793</v>
      </c>
      <c r="E59" s="12" t="s">
        <v>2484</v>
      </c>
      <c r="F59" s="29" t="n">
        <v>1</v>
      </c>
      <c r="G59" s="29" t="n">
        <v>1</v>
      </c>
      <c r="H59" s="19" t="n">
        <v>7500</v>
      </c>
      <c r="I59" s="23" t="n">
        <f aca="false">F59*G59*H59</f>
        <v>7500</v>
      </c>
      <c r="J59" s="12" t="s">
        <v>3152</v>
      </c>
      <c r="K59" s="12" t="s">
        <v>2795</v>
      </c>
      <c r="L59" s="12" t="s">
        <v>2796</v>
      </c>
      <c r="M59" s="4" t="s">
        <v>3218</v>
      </c>
    </row>
    <row r="60" customFormat="false" ht="35.05" hidden="false" customHeight="false" outlineLevel="0" collapsed="false">
      <c r="A60" s="4" t="s">
        <v>3150</v>
      </c>
      <c r="B60" s="12" t="s">
        <v>2766</v>
      </c>
      <c r="C60" s="4" t="s">
        <v>2888</v>
      </c>
      <c r="D60" s="12" t="s">
        <v>2793</v>
      </c>
      <c r="E60" s="12" t="s">
        <v>2484</v>
      </c>
      <c r="F60" s="29" t="n">
        <v>1</v>
      </c>
      <c r="G60" s="29" t="n">
        <v>1</v>
      </c>
      <c r="H60" s="19" t="n">
        <v>6000</v>
      </c>
      <c r="I60" s="23" t="n">
        <f aca="false">F60*G60*H60</f>
        <v>6000</v>
      </c>
      <c r="J60" s="12" t="s">
        <v>3152</v>
      </c>
      <c r="K60" s="12" t="s">
        <v>2795</v>
      </c>
      <c r="L60" s="12" t="s">
        <v>2796</v>
      </c>
      <c r="M60" s="4" t="s">
        <v>3219</v>
      </c>
    </row>
    <row r="61" customFormat="false" ht="35.05" hidden="false" customHeight="false" outlineLevel="0" collapsed="false">
      <c r="A61" s="4" t="s">
        <v>3150</v>
      </c>
      <c r="B61" s="12" t="s">
        <v>2766</v>
      </c>
      <c r="C61" s="4" t="s">
        <v>3220</v>
      </c>
      <c r="D61" s="12" t="s">
        <v>2804</v>
      </c>
      <c r="E61" s="12" t="s">
        <v>2597</v>
      </c>
      <c r="F61" s="29" t="n">
        <v>2</v>
      </c>
      <c r="G61" s="29" t="n">
        <v>1</v>
      </c>
      <c r="H61" s="19" t="n">
        <v>6000</v>
      </c>
      <c r="I61" s="23" t="n">
        <f aca="false">F61*G61*H61</f>
        <v>12000</v>
      </c>
      <c r="J61" s="12" t="s">
        <v>3152</v>
      </c>
      <c r="K61" s="12" t="s">
        <v>2891</v>
      </c>
      <c r="L61" s="12" t="s">
        <v>3221</v>
      </c>
      <c r="M61" s="4" t="s">
        <v>3222</v>
      </c>
    </row>
    <row r="62" customFormat="false" ht="35.05" hidden="false" customHeight="false" outlineLevel="0" collapsed="false">
      <c r="A62" s="4" t="s">
        <v>3150</v>
      </c>
      <c r="B62" s="12" t="s">
        <v>2767</v>
      </c>
      <c r="C62" s="4" t="s">
        <v>2893</v>
      </c>
      <c r="D62" s="12" t="s">
        <v>2793</v>
      </c>
      <c r="E62" s="12" t="s">
        <v>2484</v>
      </c>
      <c r="F62" s="29" t="n">
        <v>1</v>
      </c>
      <c r="G62" s="29" t="n">
        <v>8</v>
      </c>
      <c r="H62" s="19" t="n">
        <v>1800</v>
      </c>
      <c r="I62" s="23" t="n">
        <f aca="false">F62*G62*H62</f>
        <v>14400</v>
      </c>
      <c r="J62" s="12" t="s">
        <v>3152</v>
      </c>
      <c r="K62" s="12" t="s">
        <v>2894</v>
      </c>
      <c r="L62" s="12" t="s">
        <v>2796</v>
      </c>
      <c r="M62" s="4" t="s">
        <v>3223</v>
      </c>
    </row>
    <row r="63" customFormat="false" ht="35.05" hidden="false" customHeight="false" outlineLevel="0" collapsed="false">
      <c r="A63" s="4" t="s">
        <v>3150</v>
      </c>
      <c r="B63" s="12" t="s">
        <v>2767</v>
      </c>
      <c r="C63" s="4" t="s">
        <v>3224</v>
      </c>
      <c r="D63" s="12" t="s">
        <v>2793</v>
      </c>
      <c r="E63" s="12" t="s">
        <v>2484</v>
      </c>
      <c r="F63" s="29" t="n">
        <v>1</v>
      </c>
      <c r="G63" s="29" t="n">
        <v>4</v>
      </c>
      <c r="H63" s="19" t="n">
        <v>2000</v>
      </c>
      <c r="I63" s="23" t="n">
        <f aca="false">F63*G63*H63</f>
        <v>8000</v>
      </c>
      <c r="J63" s="12" t="s">
        <v>3152</v>
      </c>
      <c r="K63" s="12" t="s">
        <v>2891</v>
      </c>
      <c r="L63" s="12" t="s">
        <v>2796</v>
      </c>
      <c r="M63" s="4"/>
    </row>
    <row r="64" customFormat="false" ht="35.05" hidden="false" customHeight="false" outlineLevel="0" collapsed="false">
      <c r="A64" s="4" t="s">
        <v>3150</v>
      </c>
      <c r="B64" s="12" t="s">
        <v>2765</v>
      </c>
      <c r="C64" s="4" t="s">
        <v>3225</v>
      </c>
      <c r="D64" s="12" t="s">
        <v>2808</v>
      </c>
      <c r="E64" s="12" t="s">
        <v>2497</v>
      </c>
      <c r="F64" s="29" t="n">
        <v>24</v>
      </c>
      <c r="G64" s="29" t="n">
        <v>1</v>
      </c>
      <c r="H64" s="19" t="n">
        <v>1100</v>
      </c>
      <c r="I64" s="23" t="n">
        <f aca="false">F64*G64*H64</f>
        <v>26400</v>
      </c>
      <c r="J64" s="12" t="s">
        <v>3162</v>
      </c>
      <c r="K64" s="12" t="s">
        <v>2805</v>
      </c>
      <c r="L64" s="12"/>
      <c r="M64" s="4" t="s">
        <v>3226</v>
      </c>
    </row>
    <row r="65" customFormat="false" ht="35.05" hidden="false" customHeight="false" outlineLevel="0" collapsed="false">
      <c r="A65" s="4" t="s">
        <v>3150</v>
      </c>
      <c r="B65" s="12" t="s">
        <v>2765</v>
      </c>
      <c r="C65" s="4" t="s">
        <v>3227</v>
      </c>
      <c r="D65" s="12" t="s">
        <v>2804</v>
      </c>
      <c r="E65" s="12" t="s">
        <v>2597</v>
      </c>
      <c r="F65" s="29" t="n">
        <v>4</v>
      </c>
      <c r="G65" s="29" t="n">
        <v>1</v>
      </c>
      <c r="H65" s="19" t="n">
        <v>2500</v>
      </c>
      <c r="I65" s="23" t="n">
        <f aca="false">F65*G65*H65</f>
        <v>10000</v>
      </c>
      <c r="J65" s="12" t="s">
        <v>3162</v>
      </c>
      <c r="K65" s="12" t="s">
        <v>2902</v>
      </c>
      <c r="L65" s="12" t="s">
        <v>2796</v>
      </c>
      <c r="M65" s="4" t="s">
        <v>3228</v>
      </c>
    </row>
    <row r="66" customFormat="false" ht="35.05" hidden="false" customHeight="false" outlineLevel="0" collapsed="false">
      <c r="A66" s="4" t="s">
        <v>3150</v>
      </c>
      <c r="B66" s="12" t="s">
        <v>2765</v>
      </c>
      <c r="C66" s="4" t="s">
        <v>3229</v>
      </c>
      <c r="D66" s="12" t="s">
        <v>2804</v>
      </c>
      <c r="E66" s="12" t="s">
        <v>2597</v>
      </c>
      <c r="F66" s="29" t="n">
        <v>12</v>
      </c>
      <c r="G66" s="29" t="n">
        <v>1</v>
      </c>
      <c r="H66" s="19" t="n">
        <v>1000</v>
      </c>
      <c r="I66" s="23" t="n">
        <f aca="false">F66*G66*H66</f>
        <v>12000</v>
      </c>
      <c r="J66" s="12" t="s">
        <v>3162</v>
      </c>
      <c r="K66" s="12" t="s">
        <v>2902</v>
      </c>
      <c r="L66" s="12" t="s">
        <v>2950</v>
      </c>
      <c r="M66" s="4" t="s">
        <v>3230</v>
      </c>
    </row>
    <row r="67" customFormat="false" ht="35.05" hidden="false" customHeight="false" outlineLevel="0" collapsed="false">
      <c r="A67" s="4" t="s">
        <v>3150</v>
      </c>
      <c r="B67" s="12" t="s">
        <v>2765</v>
      </c>
      <c r="C67" s="4" t="s">
        <v>3231</v>
      </c>
      <c r="D67" s="12" t="s">
        <v>2804</v>
      </c>
      <c r="E67" s="12" t="s">
        <v>2597</v>
      </c>
      <c r="F67" s="29" t="n">
        <v>1</v>
      </c>
      <c r="G67" s="29" t="n">
        <v>1</v>
      </c>
      <c r="H67" s="19" t="n">
        <v>3000</v>
      </c>
      <c r="I67" s="23" t="n">
        <f aca="false">F67*G67*H67</f>
        <v>3000</v>
      </c>
      <c r="J67" s="12" t="s">
        <v>3152</v>
      </c>
      <c r="K67" s="12" t="s">
        <v>2902</v>
      </c>
      <c r="L67" s="12" t="s">
        <v>2796</v>
      </c>
      <c r="M67" s="4" t="s">
        <v>3232</v>
      </c>
    </row>
    <row r="68" customFormat="false" ht="35.05" hidden="false" customHeight="false" outlineLevel="0" collapsed="false">
      <c r="A68" s="4" t="s">
        <v>3150</v>
      </c>
      <c r="B68" s="12" t="s">
        <v>2765</v>
      </c>
      <c r="C68" s="4" t="s">
        <v>3233</v>
      </c>
      <c r="D68" s="12" t="s">
        <v>2808</v>
      </c>
      <c r="E68" s="12" t="s">
        <v>2477</v>
      </c>
      <c r="F68" s="29" t="n">
        <v>100</v>
      </c>
      <c r="G68" s="29" t="n">
        <v>1</v>
      </c>
      <c r="H68" s="19" t="n">
        <v>25</v>
      </c>
      <c r="I68" s="23" t="n">
        <f aca="false">F68*G68*H68</f>
        <v>2500</v>
      </c>
      <c r="J68" s="12" t="s">
        <v>3162</v>
      </c>
      <c r="K68" s="12" t="s">
        <v>2805</v>
      </c>
      <c r="L68" s="12"/>
      <c r="M68" s="4" t="s">
        <v>3234</v>
      </c>
    </row>
    <row r="69" customFormat="false" ht="35.05" hidden="false" customHeight="false" outlineLevel="0" collapsed="false">
      <c r="A69" s="4" t="s">
        <v>3150</v>
      </c>
      <c r="B69" s="12" t="s">
        <v>2768</v>
      </c>
      <c r="C69" s="4" t="s">
        <v>2911</v>
      </c>
      <c r="D69" s="12" t="s">
        <v>2882</v>
      </c>
      <c r="E69" s="12" t="s">
        <v>2601</v>
      </c>
      <c r="F69" s="29" t="n">
        <v>1</v>
      </c>
      <c r="G69" s="29" t="n">
        <v>1</v>
      </c>
      <c r="H69" s="19" t="n">
        <v>14440</v>
      </c>
      <c r="I69" s="23" t="n">
        <f aca="false">F69*G69*H69</f>
        <v>14440</v>
      </c>
      <c r="J69" s="12" t="s">
        <v>3152</v>
      </c>
      <c r="K69" s="12" t="s">
        <v>2805</v>
      </c>
      <c r="L69" s="12"/>
      <c r="M69" s="4" t="s">
        <v>3235</v>
      </c>
    </row>
    <row r="70" customFormat="false" ht="15" hidden="false" customHeight="false" outlineLevel="0" collapsed="false">
      <c r="H70" s="10" t="s">
        <v>134</v>
      </c>
      <c r="I70" s="11" t="n">
        <f aca="false">SUM(I26:I69)</f>
        <v>697665</v>
      </c>
    </row>
    <row r="72" customFormat="false" ht="15" hidden="false" customHeight="false" outlineLevel="0" collapsed="false">
      <c r="A72" s="22" t="s">
        <v>2913</v>
      </c>
    </row>
    <row r="73" customFormat="false" ht="23.85" hidden="false" customHeight="false" outlineLevel="0" collapsed="false">
      <c r="A73" s="3" t="s">
        <v>2914</v>
      </c>
      <c r="B73" s="3" t="s">
        <v>2915</v>
      </c>
      <c r="C73" s="3" t="s">
        <v>2780</v>
      </c>
      <c r="D73" s="3" t="s">
        <v>2781</v>
      </c>
      <c r="E73" s="3" t="s">
        <v>2782</v>
      </c>
      <c r="F73" s="3" t="s">
        <v>2783</v>
      </c>
      <c r="G73" s="3" t="s">
        <v>2784</v>
      </c>
      <c r="H73" s="3" t="s">
        <v>2785</v>
      </c>
      <c r="I73" s="3" t="s">
        <v>2786</v>
      </c>
      <c r="J73" s="3" t="s">
        <v>1393</v>
      </c>
      <c r="K73" s="3" t="s">
        <v>2916</v>
      </c>
      <c r="L73" s="3" t="s">
        <v>2789</v>
      </c>
      <c r="M73" s="3" t="s">
        <v>368</v>
      </c>
    </row>
    <row r="74" customFormat="false" ht="23.85" hidden="false" customHeight="false" outlineLevel="0" collapsed="false">
      <c r="A74" s="4" t="s">
        <v>2917</v>
      </c>
      <c r="B74" s="12" t="s">
        <v>2918</v>
      </c>
      <c r="C74" s="4" t="s">
        <v>2919</v>
      </c>
      <c r="D74" s="12" t="s">
        <v>2804</v>
      </c>
      <c r="E74" s="12" t="s">
        <v>2597</v>
      </c>
      <c r="F74" s="30" t="n">
        <v>1</v>
      </c>
      <c r="G74" s="30" t="n">
        <v>1</v>
      </c>
      <c r="H74" s="19" t="n">
        <v>18000</v>
      </c>
      <c r="I74" s="23" t="n">
        <f aca="false">F74*G74*H74</f>
        <v>18000</v>
      </c>
      <c r="J74" s="12" t="s">
        <v>3152</v>
      </c>
      <c r="K74" s="12" t="s">
        <v>2920</v>
      </c>
      <c r="L74" s="12" t="s">
        <v>2796</v>
      </c>
      <c r="M74" s="4" t="s">
        <v>3127</v>
      </c>
    </row>
    <row r="75" customFormat="false" ht="23.85" hidden="false" customHeight="false" outlineLevel="0" collapsed="false">
      <c r="A75" s="4" t="s">
        <v>2917</v>
      </c>
      <c r="B75" s="12" t="s">
        <v>2918</v>
      </c>
      <c r="C75" s="4" t="s">
        <v>2922</v>
      </c>
      <c r="D75" s="12" t="s">
        <v>2804</v>
      </c>
      <c r="E75" s="12" t="s">
        <v>2597</v>
      </c>
      <c r="F75" s="30" t="n">
        <v>1</v>
      </c>
      <c r="G75" s="30" t="n">
        <v>1</v>
      </c>
      <c r="H75" s="19" t="n">
        <v>10000</v>
      </c>
      <c r="I75" s="23" t="n">
        <f aca="false">F75*G75*H75</f>
        <v>10000</v>
      </c>
      <c r="J75" s="12" t="s">
        <v>3152</v>
      </c>
      <c r="K75" s="12" t="s">
        <v>2805</v>
      </c>
      <c r="L75" s="12"/>
      <c r="M75" s="4"/>
    </row>
    <row r="76" customFormat="false" ht="23.85" hidden="false" customHeight="false" outlineLevel="0" collapsed="false">
      <c r="A76" s="4" t="s">
        <v>2917</v>
      </c>
      <c r="B76" s="12" t="s">
        <v>2918</v>
      </c>
      <c r="C76" s="4" t="s">
        <v>2924</v>
      </c>
      <c r="D76" s="12" t="s">
        <v>2793</v>
      </c>
      <c r="E76" s="12" t="s">
        <v>2484</v>
      </c>
      <c r="F76" s="30" t="n">
        <v>1</v>
      </c>
      <c r="G76" s="30" t="n">
        <v>8</v>
      </c>
      <c r="H76" s="19" t="n">
        <v>3500</v>
      </c>
      <c r="I76" s="23" t="n">
        <f aca="false">F76*G76*H76</f>
        <v>28000</v>
      </c>
      <c r="J76" s="12" t="s">
        <v>3152</v>
      </c>
      <c r="K76" s="12" t="s">
        <v>2805</v>
      </c>
      <c r="L76" s="12"/>
      <c r="M76" s="4" t="s">
        <v>3236</v>
      </c>
    </row>
    <row r="77" customFormat="false" ht="23.85" hidden="false" customHeight="false" outlineLevel="0" collapsed="false">
      <c r="A77" s="4" t="s">
        <v>2917</v>
      </c>
      <c r="B77" s="12" t="s">
        <v>2918</v>
      </c>
      <c r="C77" s="4" t="s">
        <v>2926</v>
      </c>
      <c r="D77" s="12" t="s">
        <v>2793</v>
      </c>
      <c r="E77" s="12" t="s">
        <v>2484</v>
      </c>
      <c r="F77" s="30" t="n">
        <v>1</v>
      </c>
      <c r="G77" s="30" t="n">
        <v>10</v>
      </c>
      <c r="H77" s="19" t="n">
        <v>80</v>
      </c>
      <c r="I77" s="23" t="n">
        <f aca="false">F77*G77*H77</f>
        <v>800</v>
      </c>
      <c r="J77" s="12" t="s">
        <v>3152</v>
      </c>
      <c r="K77" s="12" t="s">
        <v>2805</v>
      </c>
      <c r="L77" s="12"/>
      <c r="M77" s="4"/>
    </row>
    <row r="78" customFormat="false" ht="23.85" hidden="false" customHeight="false" outlineLevel="0" collapsed="false">
      <c r="A78" s="4" t="s">
        <v>2917</v>
      </c>
      <c r="B78" s="12" t="s">
        <v>2918</v>
      </c>
      <c r="C78" s="4" t="s">
        <v>2928</v>
      </c>
      <c r="D78" s="12" t="s">
        <v>2882</v>
      </c>
      <c r="E78" s="12" t="s">
        <v>2601</v>
      </c>
      <c r="F78" s="30" t="n">
        <v>1</v>
      </c>
      <c r="G78" s="30" t="n">
        <v>1</v>
      </c>
      <c r="H78" s="19" t="n">
        <v>2000</v>
      </c>
      <c r="I78" s="23" t="n">
        <f aca="false">F78*G78*H78</f>
        <v>2000</v>
      </c>
      <c r="J78" s="12" t="s">
        <v>3152</v>
      </c>
      <c r="K78" s="12" t="s">
        <v>2805</v>
      </c>
      <c r="L78" s="12"/>
      <c r="M78" s="4"/>
    </row>
    <row r="79" customFormat="false" ht="23.85" hidden="false" customHeight="false" outlineLevel="0" collapsed="false">
      <c r="A79" s="4" t="s">
        <v>2917</v>
      </c>
      <c r="B79" s="12" t="s">
        <v>2930</v>
      </c>
      <c r="C79" s="4" t="s">
        <v>3237</v>
      </c>
      <c r="D79" s="12" t="s">
        <v>2793</v>
      </c>
      <c r="E79" s="12" t="s">
        <v>2484</v>
      </c>
      <c r="F79" s="30" t="n">
        <v>1</v>
      </c>
      <c r="G79" s="30" t="n">
        <v>3</v>
      </c>
      <c r="H79" s="19" t="n">
        <v>4000</v>
      </c>
      <c r="I79" s="23" t="n">
        <f aca="false">F79*G79*H79</f>
        <v>12000</v>
      </c>
      <c r="J79" s="12" t="s">
        <v>3162</v>
      </c>
      <c r="K79" s="12" t="s">
        <v>2805</v>
      </c>
      <c r="L79" s="12"/>
      <c r="M79" s="4" t="s">
        <v>3238</v>
      </c>
    </row>
    <row r="80" customFormat="false" ht="23.85" hidden="false" customHeight="false" outlineLevel="0" collapsed="false">
      <c r="A80" s="4" t="s">
        <v>2917</v>
      </c>
      <c r="B80" s="12" t="s">
        <v>2930</v>
      </c>
      <c r="C80" s="4" t="s">
        <v>3239</v>
      </c>
      <c r="D80" s="12" t="s">
        <v>2808</v>
      </c>
      <c r="E80" s="12" t="s">
        <v>2497</v>
      </c>
      <c r="F80" s="30" t="n">
        <v>2</v>
      </c>
      <c r="G80" s="30" t="n">
        <v>12</v>
      </c>
      <c r="H80" s="19" t="n">
        <v>250</v>
      </c>
      <c r="I80" s="23" t="n">
        <f aca="false">F80*G80*H80</f>
        <v>6000</v>
      </c>
      <c r="J80" s="12" t="s">
        <v>3162</v>
      </c>
      <c r="K80" s="12" t="s">
        <v>2934</v>
      </c>
      <c r="L80" s="12" t="s">
        <v>2796</v>
      </c>
      <c r="M80" s="4" t="s">
        <v>3240</v>
      </c>
    </row>
    <row r="81" customFormat="false" ht="23.85" hidden="false" customHeight="false" outlineLevel="0" collapsed="false">
      <c r="A81" s="4" t="s">
        <v>2917</v>
      </c>
      <c r="B81" s="12" t="s">
        <v>2930</v>
      </c>
      <c r="C81" s="4" t="s">
        <v>3241</v>
      </c>
      <c r="D81" s="12" t="s">
        <v>2808</v>
      </c>
      <c r="E81" s="12" t="s">
        <v>2497</v>
      </c>
      <c r="F81" s="30" t="n">
        <v>2</v>
      </c>
      <c r="G81" s="30" t="n">
        <v>1</v>
      </c>
      <c r="H81" s="19" t="n">
        <v>600</v>
      </c>
      <c r="I81" s="23" t="n">
        <f aca="false">F81*G81*H81</f>
        <v>1200</v>
      </c>
      <c r="J81" s="12" t="s">
        <v>3162</v>
      </c>
      <c r="K81" s="12" t="s">
        <v>2805</v>
      </c>
      <c r="L81" s="12"/>
      <c r="M81" s="4" t="s">
        <v>3242</v>
      </c>
    </row>
    <row r="82" customFormat="false" ht="23.85" hidden="false" customHeight="false" outlineLevel="0" collapsed="false">
      <c r="A82" s="4" t="s">
        <v>2917</v>
      </c>
      <c r="B82" s="12" t="s">
        <v>2930</v>
      </c>
      <c r="C82" s="4" t="s">
        <v>3243</v>
      </c>
      <c r="D82" s="12" t="s">
        <v>2804</v>
      </c>
      <c r="E82" s="12" t="s">
        <v>2597</v>
      </c>
      <c r="F82" s="30" t="n">
        <v>1</v>
      </c>
      <c r="G82" s="30" t="n">
        <v>1</v>
      </c>
      <c r="H82" s="19" t="n">
        <v>7000</v>
      </c>
      <c r="I82" s="23" t="n">
        <f aca="false">F82*G82*H82</f>
        <v>7000</v>
      </c>
      <c r="J82" s="12" t="s">
        <v>3152</v>
      </c>
      <c r="K82" s="12" t="s">
        <v>2937</v>
      </c>
      <c r="L82" s="12" t="s">
        <v>2796</v>
      </c>
      <c r="M82" s="4"/>
    </row>
    <row r="83" customFormat="false" ht="23.85" hidden="false" customHeight="false" outlineLevel="0" collapsed="false">
      <c r="A83" s="4" t="s">
        <v>2917</v>
      </c>
      <c r="B83" s="12" t="s">
        <v>2930</v>
      </c>
      <c r="C83" s="4" t="s">
        <v>3244</v>
      </c>
      <c r="D83" s="12" t="s">
        <v>2793</v>
      </c>
      <c r="E83" s="12" t="s">
        <v>2484</v>
      </c>
      <c r="F83" s="30" t="n">
        <v>1</v>
      </c>
      <c r="G83" s="30" t="n">
        <v>2</v>
      </c>
      <c r="H83" s="19" t="n">
        <v>4500</v>
      </c>
      <c r="I83" s="23" t="n">
        <f aca="false">F83*G83*H83</f>
        <v>9000</v>
      </c>
      <c r="J83" s="12" t="s">
        <v>3152</v>
      </c>
      <c r="K83" s="12" t="s">
        <v>2939</v>
      </c>
      <c r="L83" s="12" t="s">
        <v>2796</v>
      </c>
      <c r="M83" s="4"/>
    </row>
    <row r="84" customFormat="false" ht="23.85" hidden="false" customHeight="false" outlineLevel="0" collapsed="false">
      <c r="A84" s="4" t="s">
        <v>2917</v>
      </c>
      <c r="B84" s="12" t="s">
        <v>2930</v>
      </c>
      <c r="C84" s="4" t="s">
        <v>3060</v>
      </c>
      <c r="D84" s="12" t="s">
        <v>2793</v>
      </c>
      <c r="E84" s="12" t="s">
        <v>2484</v>
      </c>
      <c r="F84" s="30" t="n">
        <v>1</v>
      </c>
      <c r="G84" s="30" t="n">
        <v>4</v>
      </c>
      <c r="H84" s="19" t="n">
        <v>3800</v>
      </c>
      <c r="I84" s="23" t="n">
        <f aca="false">F84*G84*H84</f>
        <v>15200</v>
      </c>
      <c r="J84" s="12" t="s">
        <v>3152</v>
      </c>
      <c r="K84" s="12" t="s">
        <v>2909</v>
      </c>
      <c r="L84" s="12" t="s">
        <v>2796</v>
      </c>
      <c r="M84" s="4"/>
    </row>
    <row r="85" customFormat="false" ht="23.85" hidden="false" customHeight="false" outlineLevel="0" collapsed="false">
      <c r="A85" s="4" t="s">
        <v>2917</v>
      </c>
      <c r="B85" s="12" t="s">
        <v>2930</v>
      </c>
      <c r="C85" s="4" t="s">
        <v>3245</v>
      </c>
      <c r="D85" s="12" t="s">
        <v>2882</v>
      </c>
      <c r="E85" s="12" t="s">
        <v>2601</v>
      </c>
      <c r="F85" s="30" t="n">
        <v>1</v>
      </c>
      <c r="G85" s="30" t="n">
        <v>1</v>
      </c>
      <c r="H85" s="19" t="n">
        <v>6000</v>
      </c>
      <c r="I85" s="23" t="n">
        <f aca="false">F85*G85*H85</f>
        <v>6000</v>
      </c>
      <c r="J85" s="12" t="s">
        <v>3162</v>
      </c>
      <c r="K85" s="12" t="s">
        <v>2942</v>
      </c>
      <c r="L85" s="12" t="s">
        <v>2796</v>
      </c>
      <c r="M85" s="4" t="s">
        <v>3246</v>
      </c>
    </row>
    <row r="86" customFormat="false" ht="23.85" hidden="false" customHeight="false" outlineLevel="0" collapsed="false">
      <c r="A86" s="4" t="s">
        <v>2917</v>
      </c>
      <c r="B86" s="12" t="s">
        <v>2930</v>
      </c>
      <c r="C86" s="4" t="s">
        <v>2944</v>
      </c>
      <c r="D86" s="12" t="s">
        <v>2808</v>
      </c>
      <c r="E86" s="12" t="s">
        <v>2477</v>
      </c>
      <c r="F86" s="30" t="n">
        <v>1200</v>
      </c>
      <c r="G86" s="30" t="n">
        <v>1</v>
      </c>
      <c r="H86" s="19" t="n">
        <v>2.5</v>
      </c>
      <c r="I86" s="23" t="n">
        <f aca="false">F86*G86*H86</f>
        <v>3000</v>
      </c>
      <c r="J86" s="12" t="s">
        <v>3162</v>
      </c>
      <c r="K86" s="12" t="s">
        <v>2805</v>
      </c>
      <c r="L86" s="12"/>
      <c r="M86" s="4" t="s">
        <v>3247</v>
      </c>
    </row>
    <row r="87" customFormat="false" ht="23.85" hidden="false" customHeight="false" outlineLevel="0" collapsed="false">
      <c r="A87" s="4" t="s">
        <v>2917</v>
      </c>
      <c r="B87" s="12" t="s">
        <v>2930</v>
      </c>
      <c r="C87" s="4" t="s">
        <v>2946</v>
      </c>
      <c r="D87" s="12" t="s">
        <v>2808</v>
      </c>
      <c r="E87" s="12" t="s">
        <v>2661</v>
      </c>
      <c r="F87" s="30" t="n">
        <v>6</v>
      </c>
      <c r="G87" s="30" t="n">
        <v>1</v>
      </c>
      <c r="H87" s="19" t="n">
        <v>450</v>
      </c>
      <c r="I87" s="23" t="n">
        <f aca="false">F87*G87*H87</f>
        <v>2700</v>
      </c>
      <c r="J87" s="12" t="s">
        <v>3162</v>
      </c>
      <c r="K87" s="12" t="s">
        <v>2805</v>
      </c>
      <c r="L87" s="12"/>
      <c r="M87" s="4" t="s">
        <v>3248</v>
      </c>
    </row>
    <row r="88" customFormat="false" ht="23.85" hidden="false" customHeight="false" outlineLevel="0" collapsed="false">
      <c r="A88" s="4" t="s">
        <v>2917</v>
      </c>
      <c r="B88" s="12" t="s">
        <v>2930</v>
      </c>
      <c r="C88" s="4" t="s">
        <v>3249</v>
      </c>
      <c r="D88" s="12" t="s">
        <v>2808</v>
      </c>
      <c r="E88" s="12" t="s">
        <v>2528</v>
      </c>
      <c r="F88" s="30" t="n">
        <v>48</v>
      </c>
      <c r="G88" s="30" t="n">
        <v>1</v>
      </c>
      <c r="H88" s="19" t="n">
        <v>65</v>
      </c>
      <c r="I88" s="23" t="n">
        <f aca="false">F88*G88*H88</f>
        <v>3120</v>
      </c>
      <c r="J88" s="12" t="s">
        <v>3162</v>
      </c>
      <c r="K88" s="12" t="s">
        <v>2949</v>
      </c>
      <c r="L88" s="12" t="s">
        <v>2950</v>
      </c>
      <c r="M88" s="4" t="s">
        <v>3250</v>
      </c>
    </row>
    <row r="90" customFormat="false" ht="15" hidden="false" customHeight="false" outlineLevel="0" collapsed="false">
      <c r="A90" s="10" t="s">
        <v>2952</v>
      </c>
      <c r="B90" s="23" t="n">
        <f aca="false">SUMIFS($I$74:$I$88,$B$74:$B$88,"Custos de administração")</f>
        <v>58800</v>
      </c>
      <c r="C90" s="13" t="n">
        <f aca="false">B17</f>
        <v>62789.85</v>
      </c>
      <c r="D90" s="23" t="n">
        <f aca="false">C90-B90</f>
        <v>3989.85</v>
      </c>
      <c r="E90" s="12" t="str">
        <f aca="false">IF(D90&gt;=0,"OK","EXCEDE")</f>
        <v>OK</v>
      </c>
    </row>
    <row r="91" customFormat="false" ht="15" hidden="false" customHeight="false" outlineLevel="0" collapsed="false">
      <c r="A91" s="10" t="s">
        <v>2953</v>
      </c>
      <c r="B91" s="23" t="n">
        <f aca="false">SUMIFS($I$74:$I$88,$B$74:$B$88,"Custos de acessibilidade, comunicação e divulgação")</f>
        <v>65220</v>
      </c>
      <c r="C91" s="13" t="n">
        <f aca="false">B18</f>
        <v>69766.5</v>
      </c>
      <c r="D91" s="23" t="n">
        <f aca="false">C91-B91</f>
        <v>4546.5</v>
      </c>
      <c r="E91" s="12" t="str">
        <f aca="false">IF(D91&gt;=0,"OK","EXCEDE")</f>
        <v>OK</v>
      </c>
    </row>
    <row r="92" customFormat="false" ht="15" hidden="false" customHeight="false" outlineLevel="0" collapsed="false">
      <c r="A92" s="14" t="s">
        <v>2954</v>
      </c>
    </row>
    <row r="94" customFormat="false" ht="15" hidden="false" customHeight="false" outlineLevel="0" collapsed="false">
      <c r="A94" s="22" t="s">
        <v>2955</v>
      </c>
    </row>
    <row r="95" customFormat="false" ht="30" hidden="false" customHeight="true" outlineLevel="0" collapsed="false">
      <c r="A95" s="21" t="s">
        <v>3251</v>
      </c>
      <c r="B95" s="21"/>
      <c r="C95" s="21"/>
      <c r="D95" s="21"/>
      <c r="E95" s="21"/>
      <c r="F95" s="21"/>
      <c r="G95" s="21"/>
      <c r="H95" s="21"/>
      <c r="I95" s="21"/>
      <c r="J95" s="21"/>
      <c r="K95" s="21"/>
      <c r="L95" s="21"/>
      <c r="M95" s="21"/>
    </row>
    <row r="96" customFormat="false" ht="30" hidden="false" customHeight="true" outlineLevel="0" collapsed="false">
      <c r="A96" s="21" t="s">
        <v>3252</v>
      </c>
      <c r="B96" s="21"/>
      <c r="C96" s="21"/>
      <c r="D96" s="21"/>
      <c r="E96" s="21"/>
      <c r="F96" s="21"/>
      <c r="G96" s="21"/>
      <c r="H96" s="21"/>
      <c r="I96" s="21"/>
      <c r="J96" s="21"/>
      <c r="K96" s="21"/>
      <c r="L96" s="21"/>
      <c r="M96" s="21"/>
    </row>
    <row r="97" customFormat="false" ht="30" hidden="false" customHeight="true" outlineLevel="0" collapsed="false">
      <c r="A97" s="21" t="s">
        <v>3253</v>
      </c>
      <c r="B97" s="21"/>
      <c r="C97" s="21"/>
      <c r="D97" s="21"/>
      <c r="E97" s="21"/>
      <c r="F97" s="21"/>
      <c r="G97" s="21"/>
      <c r="H97" s="21"/>
      <c r="I97" s="21"/>
      <c r="J97" s="21"/>
      <c r="K97" s="21"/>
      <c r="L97" s="21"/>
      <c r="M97" s="21"/>
    </row>
    <row r="98" customFormat="false" ht="30" hidden="false" customHeight="true" outlineLevel="0" collapsed="false">
      <c r="A98" s="21" t="s">
        <v>3254</v>
      </c>
      <c r="B98" s="21"/>
      <c r="C98" s="21"/>
      <c r="D98" s="21"/>
      <c r="E98" s="21"/>
      <c r="F98" s="21"/>
      <c r="G98" s="21"/>
      <c r="H98" s="21"/>
      <c r="I98" s="21"/>
      <c r="J98" s="21"/>
      <c r="K98" s="21"/>
      <c r="L98" s="21"/>
      <c r="M98" s="21"/>
    </row>
    <row r="99" customFormat="false" ht="30" hidden="false" customHeight="true" outlineLevel="0" collapsed="false">
      <c r="A99" s="21" t="s">
        <v>3255</v>
      </c>
      <c r="B99" s="21"/>
      <c r="C99" s="21"/>
      <c r="D99" s="21"/>
      <c r="E99" s="21"/>
      <c r="F99" s="21"/>
      <c r="G99" s="21"/>
      <c r="H99" s="21"/>
      <c r="I99" s="21"/>
      <c r="J99" s="21"/>
      <c r="K99" s="21"/>
      <c r="L99" s="21"/>
      <c r="M99" s="21"/>
    </row>
    <row r="100" customFormat="false" ht="30" hidden="false" customHeight="true" outlineLevel="0" collapsed="false">
      <c r="A100" s="21" t="s">
        <v>3256</v>
      </c>
      <c r="B100" s="21"/>
      <c r="C100" s="21"/>
      <c r="D100" s="21"/>
      <c r="E100" s="21"/>
      <c r="F100" s="21"/>
      <c r="G100" s="21"/>
      <c r="H100" s="21"/>
      <c r="I100" s="21"/>
      <c r="J100" s="21"/>
      <c r="K100" s="21"/>
      <c r="L100" s="21"/>
      <c r="M100" s="21"/>
    </row>
    <row r="101" customFormat="false" ht="30" hidden="false" customHeight="true" outlineLevel="0" collapsed="false">
      <c r="A101" s="21" t="s">
        <v>3257</v>
      </c>
      <c r="B101" s="21"/>
      <c r="C101" s="21"/>
      <c r="D101" s="21"/>
      <c r="E101" s="21"/>
      <c r="F101" s="21"/>
      <c r="G101" s="21"/>
      <c r="H101" s="21"/>
      <c r="I101" s="21"/>
      <c r="J101" s="21"/>
      <c r="K101" s="21"/>
      <c r="L101" s="21"/>
      <c r="M101" s="21"/>
    </row>
    <row r="102" customFormat="false" ht="30" hidden="false" customHeight="true" outlineLevel="0" collapsed="false">
      <c r="A102" s="21" t="s">
        <v>3258</v>
      </c>
      <c r="B102" s="21"/>
      <c r="C102" s="21"/>
      <c r="D102" s="21"/>
      <c r="E102" s="21"/>
      <c r="F102" s="21"/>
      <c r="G102" s="21"/>
      <c r="H102" s="21"/>
      <c r="I102" s="21"/>
      <c r="J102" s="21"/>
      <c r="K102" s="21"/>
      <c r="L102" s="21"/>
      <c r="M102" s="21"/>
    </row>
    <row r="103" customFormat="false" ht="15" hidden="false" customHeight="true" outlineLevel="0" collapsed="false">
      <c r="A103" s="21" t="s">
        <v>3259</v>
      </c>
      <c r="B103" s="21"/>
      <c r="C103" s="21"/>
      <c r="D103" s="21"/>
      <c r="E103" s="21"/>
      <c r="F103" s="21"/>
      <c r="G103" s="21"/>
      <c r="H103" s="21"/>
      <c r="I103" s="21"/>
      <c r="J103" s="21"/>
      <c r="K103" s="21"/>
      <c r="L103" s="21"/>
      <c r="M103" s="21"/>
    </row>
    <row r="105" customFormat="false" ht="15" hidden="false" customHeight="false" outlineLevel="0" collapsed="false">
      <c r="A105" s="22" t="s">
        <v>2964</v>
      </c>
      <c r="B105" s="19" t="n">
        <v>180000</v>
      </c>
    </row>
    <row r="106" customFormat="false" ht="75" hidden="false" customHeight="true" outlineLevel="0" collapsed="false">
      <c r="A106" s="21" t="s">
        <v>3260</v>
      </c>
      <c r="B106" s="21"/>
      <c r="C106" s="21"/>
      <c r="D106" s="21"/>
      <c r="E106" s="21"/>
      <c r="F106" s="21"/>
      <c r="G106" s="21"/>
      <c r="H106" s="21"/>
      <c r="I106" s="21"/>
      <c r="J106" s="21"/>
      <c r="K106" s="21"/>
      <c r="L106" s="21"/>
      <c r="M106" s="21"/>
    </row>
  </sheetData>
  <mergeCells count="15">
    <mergeCell ref="B2:M2"/>
    <mergeCell ref="B3:M3"/>
    <mergeCell ref="B4:M4"/>
    <mergeCell ref="B5:M5"/>
    <mergeCell ref="B6:M6"/>
    <mergeCell ref="A95:M95"/>
    <mergeCell ref="A96:M96"/>
    <mergeCell ref="A97:M97"/>
    <mergeCell ref="A98:M98"/>
    <mergeCell ref="A99:M99"/>
    <mergeCell ref="A100:M100"/>
    <mergeCell ref="A101:M101"/>
    <mergeCell ref="A102:M102"/>
    <mergeCell ref="A103:M103"/>
    <mergeCell ref="A106:M106"/>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9">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4:L88">
    <cfRule type="expression" priority="11" aboveAverage="0" equalAverage="0" bottom="0" percent="0" rank="0" text="" dxfId="2">
      <formula>LEFT(L74,5)="ACIMA"</formula>
    </cfRule>
  </conditionalFormatting>
  <conditionalFormatting sqref="E90:E91">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3261</v>
      </c>
    </row>
    <row r="2" customFormat="false" ht="30" hidden="false" customHeight="true" outlineLevel="0" collapsed="false">
      <c r="A2" s="22" t="s">
        <v>2748</v>
      </c>
      <c r="B2" s="21" t="s">
        <v>3262</v>
      </c>
      <c r="C2" s="21"/>
      <c r="D2" s="21"/>
      <c r="E2" s="21"/>
      <c r="F2" s="21"/>
      <c r="G2" s="21"/>
      <c r="H2" s="21"/>
      <c r="I2" s="21"/>
      <c r="J2" s="21"/>
      <c r="K2" s="21"/>
      <c r="L2" s="21"/>
      <c r="M2" s="21"/>
    </row>
    <row r="3" customFormat="false" ht="30" hidden="false" customHeight="true" outlineLevel="0" collapsed="false">
      <c r="A3" s="22" t="s">
        <v>2750</v>
      </c>
      <c r="B3" s="21" t="s">
        <v>3263</v>
      </c>
      <c r="C3" s="21"/>
      <c r="D3" s="21"/>
      <c r="E3" s="21"/>
      <c r="F3" s="21"/>
      <c r="G3" s="21"/>
      <c r="H3" s="21"/>
      <c r="I3" s="21"/>
      <c r="J3" s="21"/>
      <c r="K3" s="21"/>
      <c r="L3" s="21"/>
      <c r="M3" s="21"/>
    </row>
    <row r="4" customFormat="false" ht="30" hidden="false" customHeight="true" outlineLevel="0" collapsed="false">
      <c r="A4" s="22" t="s">
        <v>2752</v>
      </c>
      <c r="B4" s="21" t="s">
        <v>3264</v>
      </c>
      <c r="C4" s="21"/>
      <c r="D4" s="21"/>
      <c r="E4" s="21"/>
      <c r="F4" s="21"/>
      <c r="G4" s="21"/>
      <c r="H4" s="21"/>
      <c r="I4" s="21"/>
      <c r="J4" s="21"/>
      <c r="K4" s="21"/>
      <c r="L4" s="21"/>
      <c r="M4" s="21"/>
    </row>
    <row r="5" customFormat="false" ht="30" hidden="false" customHeight="true" outlineLevel="0" collapsed="false">
      <c r="A5" s="22" t="s">
        <v>2754</v>
      </c>
      <c r="B5" s="21" t="s">
        <v>3265</v>
      </c>
      <c r="C5" s="21"/>
      <c r="D5" s="21"/>
      <c r="E5" s="21"/>
      <c r="F5" s="21"/>
      <c r="G5" s="21"/>
      <c r="H5" s="21"/>
      <c r="I5" s="21"/>
      <c r="J5" s="21"/>
      <c r="K5" s="21"/>
      <c r="L5" s="21"/>
      <c r="M5" s="21"/>
    </row>
    <row r="6" customFormat="false" ht="30" hidden="false" customHeight="true" outlineLevel="0" collapsed="false">
      <c r="A6" s="22" t="s">
        <v>2756</v>
      </c>
      <c r="B6" s="21" t="s">
        <v>3266</v>
      </c>
      <c r="C6" s="21"/>
      <c r="D6" s="21"/>
      <c r="E6" s="21"/>
      <c r="F6" s="21"/>
      <c r="G6" s="21"/>
      <c r="H6" s="21"/>
      <c r="I6" s="21"/>
      <c r="J6" s="21"/>
      <c r="K6" s="21"/>
      <c r="L6" s="21"/>
      <c r="M6" s="21"/>
    </row>
    <row r="7" customFormat="false" ht="15" hidden="false" customHeight="false" outlineLevel="0" collapsed="false">
      <c r="A7" s="22" t="s">
        <v>2758</v>
      </c>
      <c r="B7" s="19" t="n">
        <v>300000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SUMIFS($I$26:$I$73,$B$26:$B$73,A11)</f>
        <v>21000</v>
      </c>
      <c r="C11" s="24" t="n">
        <f aca="false">IF($B$16=0,0,B11/$B$16)</f>
        <v>0.0889005541467875</v>
      </c>
    </row>
    <row r="12" customFormat="false" ht="15" hidden="false" customHeight="false" outlineLevel="0" collapsed="false">
      <c r="A12" s="12" t="s">
        <v>2765</v>
      </c>
      <c r="B12" s="23" t="n">
        <f aca="false">SUMIFS($I$26:$I$73,$B$26:$B$73,A12)</f>
        <v>166226</v>
      </c>
      <c r="C12" s="24" t="n">
        <f aca="false">IF($B$16=0,0,B12/$B$16)</f>
        <v>0.703694453028757</v>
      </c>
    </row>
    <row r="13" customFormat="false" ht="15" hidden="false" customHeight="false" outlineLevel="0" collapsed="false">
      <c r="A13" s="12" t="s">
        <v>2766</v>
      </c>
      <c r="B13" s="23" t="n">
        <f aca="false">SUMIFS($I$26:$I$73,$B$26:$B$73,A13)</f>
        <v>25593</v>
      </c>
      <c r="C13" s="24" t="n">
        <f aca="false">IF($B$16=0,0,B13/$B$16)</f>
        <v>0.108344375346606</v>
      </c>
    </row>
    <row r="14" customFormat="false" ht="15" hidden="false" customHeight="false" outlineLevel="0" collapsed="false">
      <c r="A14" s="12" t="s">
        <v>2767</v>
      </c>
      <c r="B14" s="23" t="n">
        <f aca="false">SUMIFS($I$26:$I$73,$B$26:$B$73,A14)</f>
        <v>11000</v>
      </c>
      <c r="C14" s="24" t="n">
        <f aca="false">IF($B$16=0,0,B14/$B$16)</f>
        <v>0.0465669569340316</v>
      </c>
    </row>
    <row r="15" customFormat="false" ht="15" hidden="false" customHeight="false" outlineLevel="0" collapsed="false">
      <c r="A15" s="12" t="s">
        <v>2768</v>
      </c>
      <c r="B15" s="23" t="n">
        <f aca="false">SUMIFS($I$26:$I$73,$B$26:$B$73,A15)</f>
        <v>12400</v>
      </c>
      <c r="C15" s="24" t="n">
        <f aca="false">IF($B$16=0,0,B15/$B$16)</f>
        <v>0.0524936605438174</v>
      </c>
    </row>
    <row r="16" customFormat="false" ht="15" hidden="false" customHeight="false" outlineLevel="0" collapsed="false">
      <c r="A16" s="25" t="s">
        <v>2769</v>
      </c>
      <c r="B16" s="26" t="n">
        <f aca="false">SUM(B11:B15)</f>
        <v>236219</v>
      </c>
    </row>
    <row r="17" customFormat="false" ht="23.85" hidden="false" customHeight="false" outlineLevel="0" collapsed="false">
      <c r="A17" s="4" t="s">
        <v>2770</v>
      </c>
      <c r="B17" s="23" t="n">
        <f aca="false">$B$16*C17</f>
        <v>16535.33</v>
      </c>
      <c r="C17" s="27" t="n">
        <v>0.07</v>
      </c>
      <c r="D17" s="28" t="n">
        <f aca="false">'Parâmetros IN 29'!$B$4</f>
        <v>0.15</v>
      </c>
      <c r="E17" s="12" t="str">
        <f aca="false">IF(AND(C17&lt;=D17),"OK","EXCEDE")</f>
        <v>OK</v>
      </c>
    </row>
    <row r="18" customFormat="false" ht="35.05" hidden="false" customHeight="false" outlineLevel="0" collapsed="false">
      <c r="A18" s="4" t="s">
        <v>2771</v>
      </c>
      <c r="B18" s="23" t="n">
        <f aca="false">$B$16*C18</f>
        <v>23621.9</v>
      </c>
      <c r="C18" s="27" t="n">
        <v>0.1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23621.9</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299998.13</v>
      </c>
    </row>
    <row r="21" customFormat="false" ht="15" hidden="false" customHeight="false" outlineLevel="0" collapsed="false">
      <c r="A21" s="12" t="s">
        <v>2774</v>
      </c>
      <c r="B21" s="23" t="n">
        <f aca="false">B20-B7</f>
        <v>-1.86999999993714</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3268</v>
      </c>
      <c r="B26" s="12" t="s">
        <v>2764</v>
      </c>
      <c r="C26" s="4" t="s">
        <v>3269</v>
      </c>
      <c r="D26" s="12" t="s">
        <v>2793</v>
      </c>
      <c r="E26" s="12" t="s">
        <v>2484</v>
      </c>
      <c r="F26" s="29" t="n">
        <v>1</v>
      </c>
      <c r="G26" s="29" t="n">
        <v>2</v>
      </c>
      <c r="H26" s="19" t="n">
        <v>4500</v>
      </c>
      <c r="I26" s="23" t="n">
        <f aca="false">F26*G26*H26</f>
        <v>9000</v>
      </c>
      <c r="J26" s="12" t="s">
        <v>3270</v>
      </c>
      <c r="K26" s="12" t="s">
        <v>2795</v>
      </c>
      <c r="L26" s="12" t="s">
        <v>2796</v>
      </c>
      <c r="M26" s="4" t="s">
        <v>3271</v>
      </c>
    </row>
    <row r="27" customFormat="false" ht="35.05" hidden="false" customHeight="false" outlineLevel="0" collapsed="false">
      <c r="A27" s="4" t="s">
        <v>3268</v>
      </c>
      <c r="B27" s="12" t="s">
        <v>2764</v>
      </c>
      <c r="C27" s="4" t="s">
        <v>3272</v>
      </c>
      <c r="D27" s="12" t="s">
        <v>2793</v>
      </c>
      <c r="E27" s="12" t="s">
        <v>2484</v>
      </c>
      <c r="F27" s="29" t="n">
        <v>1</v>
      </c>
      <c r="G27" s="29" t="n">
        <v>2</v>
      </c>
      <c r="H27" s="19" t="n">
        <v>4000</v>
      </c>
      <c r="I27" s="23" t="n">
        <f aca="false">F27*G27*H27</f>
        <v>8000</v>
      </c>
      <c r="J27" s="12" t="s">
        <v>3273</v>
      </c>
      <c r="K27" s="12" t="s">
        <v>2805</v>
      </c>
      <c r="L27" s="12"/>
      <c r="M27" s="4" t="s">
        <v>3274</v>
      </c>
    </row>
    <row r="28" customFormat="false" ht="23.85" hidden="false" customHeight="false" outlineLevel="0" collapsed="false">
      <c r="A28" s="4" t="s">
        <v>3268</v>
      </c>
      <c r="B28" s="12" t="s">
        <v>2764</v>
      </c>
      <c r="C28" s="4" t="s">
        <v>3275</v>
      </c>
      <c r="D28" s="12" t="s">
        <v>2808</v>
      </c>
      <c r="E28" s="12" t="s">
        <v>2497</v>
      </c>
      <c r="F28" s="29" t="n">
        <v>1</v>
      </c>
      <c r="G28" s="29" t="n">
        <v>4</v>
      </c>
      <c r="H28" s="19" t="n">
        <v>1000</v>
      </c>
      <c r="I28" s="23" t="n">
        <f aca="false">F28*G28*H28</f>
        <v>4000</v>
      </c>
      <c r="J28" s="12" t="s">
        <v>3273</v>
      </c>
      <c r="K28" s="12" t="s">
        <v>2810</v>
      </c>
      <c r="L28" s="12" t="s">
        <v>2796</v>
      </c>
      <c r="M28" s="4" t="s">
        <v>3276</v>
      </c>
    </row>
    <row r="29" customFormat="false" ht="23.85" hidden="false" customHeight="false" outlineLevel="0" collapsed="false">
      <c r="A29" s="4" t="s">
        <v>3268</v>
      </c>
      <c r="B29" s="12" t="s">
        <v>2765</v>
      </c>
      <c r="C29" s="4" t="s">
        <v>3151</v>
      </c>
      <c r="D29" s="12" t="s">
        <v>2793</v>
      </c>
      <c r="E29" s="12" t="s">
        <v>2484</v>
      </c>
      <c r="F29" s="29" t="n">
        <v>1</v>
      </c>
      <c r="G29" s="29" t="n">
        <v>3</v>
      </c>
      <c r="H29" s="19" t="n">
        <v>4500</v>
      </c>
      <c r="I29" s="23" t="n">
        <f aca="false">F29*G29*H29</f>
        <v>13500</v>
      </c>
      <c r="J29" s="12" t="s">
        <v>3270</v>
      </c>
      <c r="K29" s="12" t="s">
        <v>2795</v>
      </c>
      <c r="L29" s="12" t="s">
        <v>2796</v>
      </c>
      <c r="M29" s="4" t="s">
        <v>3277</v>
      </c>
    </row>
    <row r="30" customFormat="false" ht="23.85" hidden="false" customHeight="false" outlineLevel="0" collapsed="false">
      <c r="A30" s="4" t="s">
        <v>3268</v>
      </c>
      <c r="B30" s="12" t="s">
        <v>2765</v>
      </c>
      <c r="C30" s="4" t="s">
        <v>3278</v>
      </c>
      <c r="D30" s="12" t="s">
        <v>2793</v>
      </c>
      <c r="E30" s="12" t="s">
        <v>2484</v>
      </c>
      <c r="F30" s="29" t="n">
        <v>1</v>
      </c>
      <c r="G30" s="29" t="n">
        <v>1</v>
      </c>
      <c r="H30" s="19" t="n">
        <v>4000</v>
      </c>
      <c r="I30" s="23" t="n">
        <f aca="false">F30*G30*H30</f>
        <v>4000</v>
      </c>
      <c r="J30" s="12" t="s">
        <v>3273</v>
      </c>
      <c r="K30" s="12" t="s">
        <v>2805</v>
      </c>
      <c r="L30" s="12"/>
      <c r="M30" s="4" t="s">
        <v>3279</v>
      </c>
    </row>
    <row r="31" customFormat="false" ht="23.85" hidden="false" customHeight="false" outlineLevel="0" collapsed="false">
      <c r="A31" s="4" t="s">
        <v>3268</v>
      </c>
      <c r="B31" s="12" t="s">
        <v>2765</v>
      </c>
      <c r="C31" s="4" t="s">
        <v>3280</v>
      </c>
      <c r="D31" s="12" t="s">
        <v>2804</v>
      </c>
      <c r="E31" s="12" t="s">
        <v>2597</v>
      </c>
      <c r="F31" s="29" t="n">
        <v>1</v>
      </c>
      <c r="G31" s="29" t="n">
        <v>1</v>
      </c>
      <c r="H31" s="19" t="n">
        <v>8000</v>
      </c>
      <c r="I31" s="23" t="n">
        <f aca="false">F31*G31*H31</f>
        <v>8000</v>
      </c>
      <c r="J31" s="12" t="s">
        <v>3270</v>
      </c>
      <c r="K31" s="12" t="s">
        <v>2805</v>
      </c>
      <c r="L31" s="12"/>
      <c r="M31" s="4" t="s">
        <v>3281</v>
      </c>
    </row>
    <row r="32" customFormat="false" ht="35.05" hidden="false" customHeight="false" outlineLevel="0" collapsed="false">
      <c r="A32" s="4" t="s">
        <v>3268</v>
      </c>
      <c r="B32" s="12" t="s">
        <v>2765</v>
      </c>
      <c r="C32" s="4" t="s">
        <v>3282</v>
      </c>
      <c r="D32" s="12" t="s">
        <v>2855</v>
      </c>
      <c r="E32" s="12" t="s">
        <v>2516</v>
      </c>
      <c r="F32" s="29" t="n">
        <v>4</v>
      </c>
      <c r="G32" s="29" t="n">
        <v>1</v>
      </c>
      <c r="H32" s="19" t="n">
        <v>3824</v>
      </c>
      <c r="I32" s="23" t="n">
        <f aca="false">F32*G32*H32</f>
        <v>15296</v>
      </c>
      <c r="J32" s="12" t="s">
        <v>3273</v>
      </c>
      <c r="K32" s="12" t="s">
        <v>2805</v>
      </c>
      <c r="L32" s="12"/>
      <c r="M32" s="4" t="s">
        <v>3283</v>
      </c>
    </row>
    <row r="33" customFormat="false" ht="23.85" hidden="false" customHeight="false" outlineLevel="0" collapsed="false">
      <c r="A33" s="4" t="s">
        <v>3268</v>
      </c>
      <c r="B33" s="12" t="s">
        <v>2765</v>
      </c>
      <c r="C33" s="4" t="s">
        <v>3284</v>
      </c>
      <c r="D33" s="12" t="s">
        <v>2855</v>
      </c>
      <c r="E33" s="12" t="s">
        <v>2516</v>
      </c>
      <c r="F33" s="29" t="n">
        <v>4</v>
      </c>
      <c r="G33" s="29" t="n">
        <v>1</v>
      </c>
      <c r="H33" s="19" t="n">
        <v>1800</v>
      </c>
      <c r="I33" s="23" t="n">
        <f aca="false">F33*G33*H33</f>
        <v>7200</v>
      </c>
      <c r="J33" s="12" t="s">
        <v>3273</v>
      </c>
      <c r="K33" s="12" t="s">
        <v>2985</v>
      </c>
      <c r="L33" s="12" t="s">
        <v>2796</v>
      </c>
      <c r="M33" s="4" t="s">
        <v>3285</v>
      </c>
    </row>
    <row r="34" customFormat="false" ht="23.85" hidden="false" customHeight="false" outlineLevel="0" collapsed="false">
      <c r="A34" s="4" t="s">
        <v>3268</v>
      </c>
      <c r="B34" s="12" t="s">
        <v>2765</v>
      </c>
      <c r="C34" s="4" t="s">
        <v>3286</v>
      </c>
      <c r="D34" s="12" t="s">
        <v>2808</v>
      </c>
      <c r="E34" s="12" t="s">
        <v>2497</v>
      </c>
      <c r="F34" s="29" t="n">
        <v>1</v>
      </c>
      <c r="G34" s="29" t="n">
        <v>4</v>
      </c>
      <c r="H34" s="19" t="n">
        <v>2200</v>
      </c>
      <c r="I34" s="23" t="n">
        <f aca="false">F34*G34*H34</f>
        <v>8800</v>
      </c>
      <c r="J34" s="12" t="s">
        <v>3273</v>
      </c>
      <c r="K34" s="12" t="s">
        <v>2805</v>
      </c>
      <c r="L34" s="12"/>
      <c r="M34" s="4" t="s">
        <v>3287</v>
      </c>
    </row>
    <row r="35" customFormat="false" ht="23.85" hidden="false" customHeight="false" outlineLevel="0" collapsed="false">
      <c r="A35" s="4" t="s">
        <v>3268</v>
      </c>
      <c r="B35" s="12" t="s">
        <v>2765</v>
      </c>
      <c r="C35" s="4" t="s">
        <v>3288</v>
      </c>
      <c r="D35" s="12" t="s">
        <v>2808</v>
      </c>
      <c r="E35" s="12" t="s">
        <v>2497</v>
      </c>
      <c r="F35" s="29" t="n">
        <v>1</v>
      </c>
      <c r="G35" s="29" t="n">
        <v>1</v>
      </c>
      <c r="H35" s="19" t="n">
        <v>1500</v>
      </c>
      <c r="I35" s="23" t="n">
        <f aca="false">F35*G35*H35</f>
        <v>1500</v>
      </c>
      <c r="J35" s="12" t="s">
        <v>3270</v>
      </c>
      <c r="K35" s="12" t="s">
        <v>2805</v>
      </c>
      <c r="L35" s="12"/>
      <c r="M35" s="4" t="s">
        <v>3289</v>
      </c>
    </row>
    <row r="36" customFormat="false" ht="23.85" hidden="false" customHeight="false" outlineLevel="0" collapsed="false">
      <c r="A36" s="4" t="s">
        <v>3268</v>
      </c>
      <c r="B36" s="12" t="s">
        <v>2765</v>
      </c>
      <c r="C36" s="4" t="s">
        <v>3290</v>
      </c>
      <c r="D36" s="12" t="s">
        <v>2808</v>
      </c>
      <c r="E36" s="12" t="s">
        <v>2497</v>
      </c>
      <c r="F36" s="29" t="n">
        <v>1</v>
      </c>
      <c r="G36" s="29" t="n">
        <v>4</v>
      </c>
      <c r="H36" s="19" t="n">
        <v>700</v>
      </c>
      <c r="I36" s="23" t="n">
        <f aca="false">F36*G36*H36</f>
        <v>2800</v>
      </c>
      <c r="J36" s="12" t="s">
        <v>3273</v>
      </c>
      <c r="K36" s="12" t="s">
        <v>2866</v>
      </c>
      <c r="L36" s="12" t="s">
        <v>2796</v>
      </c>
      <c r="M36" s="4" t="s">
        <v>3291</v>
      </c>
    </row>
    <row r="37" customFormat="false" ht="23.85" hidden="false" customHeight="false" outlineLevel="0" collapsed="false">
      <c r="A37" s="4" t="s">
        <v>3268</v>
      </c>
      <c r="B37" s="12" t="s">
        <v>2765</v>
      </c>
      <c r="C37" s="4" t="s">
        <v>3292</v>
      </c>
      <c r="D37" s="12" t="s">
        <v>2808</v>
      </c>
      <c r="E37" s="12" t="s">
        <v>3165</v>
      </c>
      <c r="F37" s="29" t="n">
        <v>60</v>
      </c>
      <c r="G37" s="29" t="n">
        <v>1</v>
      </c>
      <c r="H37" s="19" t="n">
        <v>90</v>
      </c>
      <c r="I37" s="23" t="n">
        <f aca="false">F37*G37*H37</f>
        <v>5400</v>
      </c>
      <c r="J37" s="12" t="s">
        <v>3273</v>
      </c>
      <c r="K37" s="12" t="s">
        <v>3169</v>
      </c>
      <c r="L37" s="12" t="s">
        <v>2796</v>
      </c>
      <c r="M37" s="4" t="s">
        <v>3293</v>
      </c>
    </row>
    <row r="38" customFormat="false" ht="23.85" hidden="false" customHeight="false" outlineLevel="0" collapsed="false">
      <c r="A38" s="4" t="s">
        <v>3268</v>
      </c>
      <c r="B38" s="12" t="s">
        <v>2765</v>
      </c>
      <c r="C38" s="4" t="s">
        <v>3294</v>
      </c>
      <c r="D38" s="12" t="s">
        <v>2808</v>
      </c>
      <c r="E38" s="12" t="s">
        <v>3165</v>
      </c>
      <c r="F38" s="29" t="n">
        <v>4</v>
      </c>
      <c r="G38" s="29" t="n">
        <v>2</v>
      </c>
      <c r="H38" s="19" t="n">
        <v>200</v>
      </c>
      <c r="I38" s="23" t="n">
        <f aca="false">F38*G38*H38</f>
        <v>1600</v>
      </c>
      <c r="J38" s="12" t="s">
        <v>3273</v>
      </c>
      <c r="K38" s="12" t="s">
        <v>3166</v>
      </c>
      <c r="L38" s="12" t="s">
        <v>2796</v>
      </c>
      <c r="M38" s="4" t="s">
        <v>3295</v>
      </c>
    </row>
    <row r="39" customFormat="false" ht="23.85" hidden="false" customHeight="false" outlineLevel="0" collapsed="false">
      <c r="A39" s="4" t="s">
        <v>3268</v>
      </c>
      <c r="B39" s="12" t="s">
        <v>2765</v>
      </c>
      <c r="C39" s="4" t="s">
        <v>3296</v>
      </c>
      <c r="D39" s="12" t="s">
        <v>2808</v>
      </c>
      <c r="E39" s="12" t="s">
        <v>3165</v>
      </c>
      <c r="F39" s="29" t="n">
        <v>4</v>
      </c>
      <c r="G39" s="29" t="n">
        <v>5</v>
      </c>
      <c r="H39" s="19" t="n">
        <v>90</v>
      </c>
      <c r="I39" s="23" t="n">
        <f aca="false">F39*G39*H39</f>
        <v>1800</v>
      </c>
      <c r="J39" s="12" t="s">
        <v>3273</v>
      </c>
      <c r="K39" s="12" t="s">
        <v>3169</v>
      </c>
      <c r="L39" s="12" t="s">
        <v>2796</v>
      </c>
      <c r="M39" s="4" t="s">
        <v>3297</v>
      </c>
    </row>
    <row r="40" customFormat="false" ht="23.85" hidden="false" customHeight="false" outlineLevel="0" collapsed="false">
      <c r="A40" s="4" t="s">
        <v>3268</v>
      </c>
      <c r="B40" s="12" t="s">
        <v>2765</v>
      </c>
      <c r="C40" s="4" t="s">
        <v>3298</v>
      </c>
      <c r="D40" s="12" t="s">
        <v>2808</v>
      </c>
      <c r="E40" s="12" t="s">
        <v>2497</v>
      </c>
      <c r="F40" s="29" t="n">
        <v>1</v>
      </c>
      <c r="G40" s="29" t="n">
        <v>5</v>
      </c>
      <c r="H40" s="19" t="n">
        <v>1000</v>
      </c>
      <c r="I40" s="23" t="n">
        <f aca="false">F40*G40*H40</f>
        <v>5000</v>
      </c>
      <c r="J40" s="12" t="s">
        <v>3273</v>
      </c>
      <c r="K40" s="12" t="s">
        <v>2810</v>
      </c>
      <c r="L40" s="12" t="s">
        <v>2796</v>
      </c>
      <c r="M40" s="4" t="s">
        <v>3299</v>
      </c>
    </row>
    <row r="41" customFormat="false" ht="23.85" hidden="false" customHeight="false" outlineLevel="0" collapsed="false">
      <c r="A41" s="4" t="s">
        <v>3300</v>
      </c>
      <c r="B41" s="12" t="s">
        <v>2765</v>
      </c>
      <c r="C41" s="4" t="s">
        <v>3301</v>
      </c>
      <c r="D41" s="12" t="s">
        <v>2855</v>
      </c>
      <c r="E41" s="12" t="s">
        <v>2516</v>
      </c>
      <c r="F41" s="29" t="n">
        <v>6</v>
      </c>
      <c r="G41" s="29" t="n">
        <v>1</v>
      </c>
      <c r="H41" s="19" t="n">
        <v>1800</v>
      </c>
      <c r="I41" s="23" t="n">
        <f aca="false">F41*G41*H41</f>
        <v>10800</v>
      </c>
      <c r="J41" s="12" t="s">
        <v>3273</v>
      </c>
      <c r="K41" s="12" t="s">
        <v>2985</v>
      </c>
      <c r="L41" s="12" t="s">
        <v>2796</v>
      </c>
      <c r="M41" s="4" t="s">
        <v>3302</v>
      </c>
    </row>
    <row r="42" customFormat="false" ht="23.85" hidden="false" customHeight="false" outlineLevel="0" collapsed="false">
      <c r="A42" s="4" t="s">
        <v>3300</v>
      </c>
      <c r="B42" s="12" t="s">
        <v>2765</v>
      </c>
      <c r="C42" s="4" t="s">
        <v>3303</v>
      </c>
      <c r="D42" s="12" t="s">
        <v>2808</v>
      </c>
      <c r="E42" s="12" t="s">
        <v>2497</v>
      </c>
      <c r="F42" s="29" t="n">
        <v>1</v>
      </c>
      <c r="G42" s="29" t="n">
        <v>6</v>
      </c>
      <c r="H42" s="19" t="n">
        <v>1000</v>
      </c>
      <c r="I42" s="23" t="n">
        <f aca="false">F42*G42*H42</f>
        <v>6000</v>
      </c>
      <c r="J42" s="12" t="s">
        <v>3273</v>
      </c>
      <c r="K42" s="12" t="s">
        <v>2810</v>
      </c>
      <c r="L42" s="12" t="s">
        <v>2796</v>
      </c>
      <c r="M42" s="4" t="s">
        <v>3304</v>
      </c>
    </row>
    <row r="43" customFormat="false" ht="23.85" hidden="false" customHeight="false" outlineLevel="0" collapsed="false">
      <c r="A43" s="4" t="s">
        <v>3300</v>
      </c>
      <c r="B43" s="12" t="s">
        <v>2765</v>
      </c>
      <c r="C43" s="4" t="s">
        <v>3305</v>
      </c>
      <c r="D43" s="12" t="s">
        <v>2808</v>
      </c>
      <c r="E43" s="12" t="s">
        <v>2477</v>
      </c>
      <c r="F43" s="29" t="n">
        <v>180</v>
      </c>
      <c r="G43" s="29" t="n">
        <v>1</v>
      </c>
      <c r="H43" s="19" t="n">
        <v>12</v>
      </c>
      <c r="I43" s="23" t="n">
        <f aca="false">F43*G43*H43</f>
        <v>2160</v>
      </c>
      <c r="J43" s="12" t="s">
        <v>3273</v>
      </c>
      <c r="K43" s="12" t="s">
        <v>2805</v>
      </c>
      <c r="L43" s="12"/>
      <c r="M43" s="4" t="s">
        <v>3306</v>
      </c>
    </row>
    <row r="44" customFormat="false" ht="23.85" hidden="false" customHeight="false" outlineLevel="0" collapsed="false">
      <c r="A44" s="4" t="s">
        <v>3300</v>
      </c>
      <c r="B44" s="12" t="s">
        <v>2765</v>
      </c>
      <c r="C44" s="4" t="s">
        <v>3307</v>
      </c>
      <c r="D44" s="12" t="s">
        <v>2808</v>
      </c>
      <c r="E44" s="12" t="s">
        <v>2831</v>
      </c>
      <c r="F44" s="29" t="n">
        <v>120</v>
      </c>
      <c r="G44" s="29" t="n">
        <v>1</v>
      </c>
      <c r="H44" s="19" t="n">
        <v>30</v>
      </c>
      <c r="I44" s="23" t="n">
        <f aca="false">F44*G44*H44</f>
        <v>3600</v>
      </c>
      <c r="J44" s="12" t="s">
        <v>3273</v>
      </c>
      <c r="K44" s="12" t="s">
        <v>2805</v>
      </c>
      <c r="L44" s="12"/>
      <c r="M44" s="4" t="s">
        <v>3308</v>
      </c>
    </row>
    <row r="45" customFormat="false" ht="23.85" hidden="false" customHeight="false" outlineLevel="0" collapsed="false">
      <c r="A45" s="4" t="s">
        <v>3309</v>
      </c>
      <c r="B45" s="12" t="s">
        <v>2765</v>
      </c>
      <c r="C45" s="4" t="s">
        <v>3310</v>
      </c>
      <c r="D45" s="12" t="s">
        <v>2855</v>
      </c>
      <c r="E45" s="12" t="s">
        <v>2516</v>
      </c>
      <c r="F45" s="29" t="n">
        <v>4</v>
      </c>
      <c r="G45" s="29" t="n">
        <v>1</v>
      </c>
      <c r="H45" s="19" t="n">
        <v>3500</v>
      </c>
      <c r="I45" s="23" t="n">
        <f aca="false">F45*G45*H45</f>
        <v>14000</v>
      </c>
      <c r="J45" s="12" t="s">
        <v>3270</v>
      </c>
      <c r="K45" s="12" t="s">
        <v>2805</v>
      </c>
      <c r="L45" s="12"/>
      <c r="M45" s="4" t="s">
        <v>3311</v>
      </c>
    </row>
    <row r="46" customFormat="false" ht="23.85" hidden="false" customHeight="false" outlineLevel="0" collapsed="false">
      <c r="A46" s="4" t="s">
        <v>3309</v>
      </c>
      <c r="B46" s="12" t="s">
        <v>2765</v>
      </c>
      <c r="C46" s="4" t="s">
        <v>3312</v>
      </c>
      <c r="D46" s="12" t="s">
        <v>2808</v>
      </c>
      <c r="E46" s="12" t="s">
        <v>2497</v>
      </c>
      <c r="F46" s="29" t="n">
        <v>1</v>
      </c>
      <c r="G46" s="29" t="n">
        <v>2</v>
      </c>
      <c r="H46" s="19" t="n">
        <v>3000</v>
      </c>
      <c r="I46" s="23" t="n">
        <f aca="false">F46*G46*H46</f>
        <v>6000</v>
      </c>
      <c r="J46" s="12" t="s">
        <v>3273</v>
      </c>
      <c r="K46" s="12" t="s">
        <v>2828</v>
      </c>
      <c r="L46" s="12" t="s">
        <v>2796</v>
      </c>
      <c r="M46" s="4" t="s">
        <v>3313</v>
      </c>
    </row>
    <row r="47" customFormat="false" ht="23.85" hidden="false" customHeight="false" outlineLevel="0" collapsed="false">
      <c r="A47" s="4" t="s">
        <v>3309</v>
      </c>
      <c r="B47" s="12" t="s">
        <v>2765</v>
      </c>
      <c r="C47" s="4" t="s">
        <v>3314</v>
      </c>
      <c r="D47" s="12" t="s">
        <v>2808</v>
      </c>
      <c r="E47" s="12" t="s">
        <v>2497</v>
      </c>
      <c r="F47" s="29" t="n">
        <v>1</v>
      </c>
      <c r="G47" s="29" t="n">
        <v>2</v>
      </c>
      <c r="H47" s="19" t="n">
        <v>1000</v>
      </c>
      <c r="I47" s="23" t="n">
        <f aca="false">F47*G47*H47</f>
        <v>2000</v>
      </c>
      <c r="J47" s="12" t="s">
        <v>3270</v>
      </c>
      <c r="K47" s="12" t="s">
        <v>2810</v>
      </c>
      <c r="L47" s="12" t="s">
        <v>2796</v>
      </c>
      <c r="M47" s="4" t="s">
        <v>3315</v>
      </c>
    </row>
    <row r="48" customFormat="false" ht="23.85" hidden="false" customHeight="false" outlineLevel="0" collapsed="false">
      <c r="A48" s="4" t="s">
        <v>3309</v>
      </c>
      <c r="B48" s="12" t="s">
        <v>2765</v>
      </c>
      <c r="C48" s="4" t="s">
        <v>3316</v>
      </c>
      <c r="D48" s="12" t="s">
        <v>2808</v>
      </c>
      <c r="E48" s="12" t="s">
        <v>3165</v>
      </c>
      <c r="F48" s="29" t="n">
        <v>60</v>
      </c>
      <c r="G48" s="29" t="n">
        <v>1</v>
      </c>
      <c r="H48" s="19" t="n">
        <v>90</v>
      </c>
      <c r="I48" s="23" t="n">
        <f aca="false">F48*G48*H48</f>
        <v>5400</v>
      </c>
      <c r="J48" s="12" t="s">
        <v>3270</v>
      </c>
      <c r="K48" s="12" t="s">
        <v>3169</v>
      </c>
      <c r="L48" s="12" t="s">
        <v>2796</v>
      </c>
      <c r="M48" s="4" t="s">
        <v>3317</v>
      </c>
    </row>
    <row r="49" customFormat="false" ht="23.85" hidden="false" customHeight="false" outlineLevel="0" collapsed="false">
      <c r="A49" s="4" t="s">
        <v>3309</v>
      </c>
      <c r="B49" s="12" t="s">
        <v>2765</v>
      </c>
      <c r="C49" s="4" t="s">
        <v>3318</v>
      </c>
      <c r="D49" s="12" t="s">
        <v>2808</v>
      </c>
      <c r="E49" s="12" t="s">
        <v>2497</v>
      </c>
      <c r="F49" s="29" t="n">
        <v>1</v>
      </c>
      <c r="G49" s="29" t="n">
        <v>1</v>
      </c>
      <c r="H49" s="19" t="n">
        <v>2500</v>
      </c>
      <c r="I49" s="23" t="n">
        <f aca="false">F49*G49*H49</f>
        <v>2500</v>
      </c>
      <c r="J49" s="12" t="s">
        <v>3270</v>
      </c>
      <c r="K49" s="12" t="s">
        <v>2863</v>
      </c>
      <c r="L49" s="12" t="s">
        <v>2796</v>
      </c>
      <c r="M49" s="4" t="s">
        <v>3319</v>
      </c>
    </row>
    <row r="50" customFormat="false" ht="23.85" hidden="false" customHeight="false" outlineLevel="0" collapsed="false">
      <c r="A50" s="4" t="s">
        <v>3309</v>
      </c>
      <c r="B50" s="12" t="s">
        <v>2765</v>
      </c>
      <c r="C50" s="4" t="s">
        <v>3320</v>
      </c>
      <c r="D50" s="12" t="s">
        <v>2808</v>
      </c>
      <c r="E50" s="12" t="s">
        <v>2497</v>
      </c>
      <c r="F50" s="29" t="n">
        <v>1</v>
      </c>
      <c r="G50" s="29" t="n">
        <v>1</v>
      </c>
      <c r="H50" s="19" t="n">
        <v>2000</v>
      </c>
      <c r="I50" s="23" t="n">
        <f aca="false">F50*G50*H50</f>
        <v>2000</v>
      </c>
      <c r="J50" s="12" t="s">
        <v>3270</v>
      </c>
      <c r="K50" s="12" t="s">
        <v>2834</v>
      </c>
      <c r="L50" s="12" t="s">
        <v>2796</v>
      </c>
      <c r="M50" s="4"/>
    </row>
    <row r="51" customFormat="false" ht="23.85" hidden="false" customHeight="false" outlineLevel="0" collapsed="false">
      <c r="A51" s="4" t="s">
        <v>3309</v>
      </c>
      <c r="B51" s="12" t="s">
        <v>2765</v>
      </c>
      <c r="C51" s="4" t="s">
        <v>3321</v>
      </c>
      <c r="D51" s="12" t="s">
        <v>2808</v>
      </c>
      <c r="E51" s="12" t="s">
        <v>2497</v>
      </c>
      <c r="F51" s="29" t="n">
        <v>1</v>
      </c>
      <c r="G51" s="29" t="n">
        <v>1</v>
      </c>
      <c r="H51" s="19" t="n">
        <v>700</v>
      </c>
      <c r="I51" s="23" t="n">
        <f aca="false">F51*G51*H51</f>
        <v>700</v>
      </c>
      <c r="J51" s="12" t="s">
        <v>3270</v>
      </c>
      <c r="K51" s="12" t="s">
        <v>2866</v>
      </c>
      <c r="L51" s="12" t="s">
        <v>2796</v>
      </c>
      <c r="M51" s="4"/>
    </row>
    <row r="52" customFormat="false" ht="23.85" hidden="false" customHeight="false" outlineLevel="0" collapsed="false">
      <c r="A52" s="4" t="s">
        <v>3309</v>
      </c>
      <c r="B52" s="12" t="s">
        <v>2765</v>
      </c>
      <c r="C52" s="4" t="s">
        <v>3322</v>
      </c>
      <c r="D52" s="12" t="s">
        <v>2808</v>
      </c>
      <c r="E52" s="12" t="s">
        <v>2497</v>
      </c>
      <c r="F52" s="29" t="n">
        <v>2</v>
      </c>
      <c r="G52" s="29" t="n">
        <v>1</v>
      </c>
      <c r="H52" s="19" t="n">
        <v>300</v>
      </c>
      <c r="I52" s="23" t="n">
        <f aca="false">F52*G52*H52</f>
        <v>600</v>
      </c>
      <c r="J52" s="12" t="s">
        <v>3270</v>
      </c>
      <c r="K52" s="12" t="s">
        <v>2870</v>
      </c>
      <c r="L52" s="12" t="s">
        <v>2796</v>
      </c>
      <c r="M52" s="4"/>
    </row>
    <row r="53" customFormat="false" ht="23.85" hidden="false" customHeight="false" outlineLevel="0" collapsed="false">
      <c r="A53" s="4" t="s">
        <v>3309</v>
      </c>
      <c r="B53" s="12" t="s">
        <v>2765</v>
      </c>
      <c r="C53" s="4" t="s">
        <v>3323</v>
      </c>
      <c r="D53" s="12" t="s">
        <v>2808</v>
      </c>
      <c r="E53" s="12" t="s">
        <v>2497</v>
      </c>
      <c r="F53" s="29" t="n">
        <v>4</v>
      </c>
      <c r="G53" s="29" t="n">
        <v>1</v>
      </c>
      <c r="H53" s="19" t="n">
        <v>280</v>
      </c>
      <c r="I53" s="23" t="n">
        <f aca="false">F53*G53*H53</f>
        <v>1120</v>
      </c>
      <c r="J53" s="12" t="s">
        <v>3270</v>
      </c>
      <c r="K53" s="12" t="s">
        <v>3324</v>
      </c>
      <c r="L53" s="12" t="s">
        <v>2950</v>
      </c>
      <c r="M53" s="4"/>
    </row>
    <row r="54" customFormat="false" ht="23.85" hidden="false" customHeight="false" outlineLevel="0" collapsed="false">
      <c r="A54" s="4" t="s">
        <v>3309</v>
      </c>
      <c r="B54" s="12" t="s">
        <v>2765</v>
      </c>
      <c r="C54" s="4" t="s">
        <v>3325</v>
      </c>
      <c r="D54" s="12" t="s">
        <v>2808</v>
      </c>
      <c r="E54" s="12" t="s">
        <v>2497</v>
      </c>
      <c r="F54" s="29" t="n">
        <v>1</v>
      </c>
      <c r="G54" s="29" t="n">
        <v>1</v>
      </c>
      <c r="H54" s="19" t="n">
        <v>300</v>
      </c>
      <c r="I54" s="23" t="n">
        <f aca="false">F54*G54*H54</f>
        <v>300</v>
      </c>
      <c r="J54" s="12" t="s">
        <v>3270</v>
      </c>
      <c r="K54" s="12" t="s">
        <v>2875</v>
      </c>
      <c r="L54" s="12" t="s">
        <v>2796</v>
      </c>
      <c r="M54" s="4"/>
    </row>
    <row r="55" customFormat="false" ht="23.85" hidden="false" customHeight="false" outlineLevel="0" collapsed="false">
      <c r="A55" s="4" t="s">
        <v>3309</v>
      </c>
      <c r="B55" s="12" t="s">
        <v>2765</v>
      </c>
      <c r="C55" s="4" t="s">
        <v>3326</v>
      </c>
      <c r="D55" s="12" t="s">
        <v>2882</v>
      </c>
      <c r="E55" s="12" t="s">
        <v>2601</v>
      </c>
      <c r="F55" s="29" t="n">
        <v>1</v>
      </c>
      <c r="G55" s="29" t="n">
        <v>1</v>
      </c>
      <c r="H55" s="19" t="n">
        <v>1000</v>
      </c>
      <c r="I55" s="23" t="n">
        <f aca="false">F55*G55*H55</f>
        <v>1000</v>
      </c>
      <c r="J55" s="12" t="s">
        <v>3270</v>
      </c>
      <c r="K55" s="12" t="s">
        <v>3327</v>
      </c>
      <c r="L55" s="12" t="s">
        <v>2796</v>
      </c>
      <c r="M55" s="4"/>
    </row>
    <row r="56" customFormat="false" ht="23.85" hidden="false" customHeight="false" outlineLevel="0" collapsed="false">
      <c r="A56" s="4" t="s">
        <v>3328</v>
      </c>
      <c r="B56" s="12" t="s">
        <v>2765</v>
      </c>
      <c r="C56" s="4" t="s">
        <v>3329</v>
      </c>
      <c r="D56" s="12" t="s">
        <v>2808</v>
      </c>
      <c r="E56" s="12" t="s">
        <v>2683</v>
      </c>
      <c r="F56" s="29" t="n">
        <v>1</v>
      </c>
      <c r="G56" s="29" t="n">
        <v>1</v>
      </c>
      <c r="H56" s="19" t="n">
        <v>2500</v>
      </c>
      <c r="I56" s="23" t="n">
        <f aca="false">F56*G56*H56</f>
        <v>2500</v>
      </c>
      <c r="J56" s="12" t="s">
        <v>3270</v>
      </c>
      <c r="K56" s="12" t="s">
        <v>2845</v>
      </c>
      <c r="L56" s="12" t="s">
        <v>2796</v>
      </c>
      <c r="M56" s="4"/>
    </row>
    <row r="57" customFormat="false" ht="23.85" hidden="false" customHeight="false" outlineLevel="0" collapsed="false">
      <c r="A57" s="4" t="s">
        <v>3330</v>
      </c>
      <c r="B57" s="12" t="s">
        <v>2765</v>
      </c>
      <c r="C57" s="4" t="s">
        <v>3331</v>
      </c>
      <c r="D57" s="12" t="s">
        <v>2804</v>
      </c>
      <c r="E57" s="12" t="s">
        <v>2597</v>
      </c>
      <c r="F57" s="29" t="n">
        <v>1</v>
      </c>
      <c r="G57" s="29" t="n">
        <v>1</v>
      </c>
      <c r="H57" s="19" t="n">
        <v>4000</v>
      </c>
      <c r="I57" s="23" t="n">
        <f aca="false">F57*G57*H57</f>
        <v>4000</v>
      </c>
      <c r="J57" s="12" t="s">
        <v>3270</v>
      </c>
      <c r="K57" s="12" t="s">
        <v>2805</v>
      </c>
      <c r="L57" s="12"/>
      <c r="M57" s="4" t="s">
        <v>3332</v>
      </c>
    </row>
    <row r="58" customFormat="false" ht="23.85" hidden="false" customHeight="false" outlineLevel="0" collapsed="false">
      <c r="A58" s="4" t="s">
        <v>3330</v>
      </c>
      <c r="B58" s="12" t="s">
        <v>2765</v>
      </c>
      <c r="C58" s="4" t="s">
        <v>3333</v>
      </c>
      <c r="D58" s="12" t="s">
        <v>2808</v>
      </c>
      <c r="E58" s="12" t="s">
        <v>2497</v>
      </c>
      <c r="F58" s="29" t="n">
        <v>1</v>
      </c>
      <c r="G58" s="29" t="n">
        <v>4</v>
      </c>
      <c r="H58" s="19" t="n">
        <v>1800</v>
      </c>
      <c r="I58" s="23" t="n">
        <f aca="false">F58*G58*H58</f>
        <v>7200</v>
      </c>
      <c r="J58" s="12" t="s">
        <v>3273</v>
      </c>
      <c r="K58" s="12" t="s">
        <v>2851</v>
      </c>
      <c r="L58" s="12" t="s">
        <v>2796</v>
      </c>
      <c r="M58" s="4" t="s">
        <v>3334</v>
      </c>
    </row>
    <row r="59" customFormat="false" ht="23.85" hidden="false" customHeight="false" outlineLevel="0" collapsed="false">
      <c r="A59" s="4" t="s">
        <v>3330</v>
      </c>
      <c r="B59" s="12" t="s">
        <v>2765</v>
      </c>
      <c r="C59" s="4" t="s">
        <v>2613</v>
      </c>
      <c r="D59" s="12" t="s">
        <v>2808</v>
      </c>
      <c r="E59" s="12" t="s">
        <v>2497</v>
      </c>
      <c r="F59" s="29" t="n">
        <v>1</v>
      </c>
      <c r="G59" s="29" t="n">
        <v>4</v>
      </c>
      <c r="H59" s="19" t="n">
        <v>900</v>
      </c>
      <c r="I59" s="23" t="n">
        <f aca="false">F59*G59*H59</f>
        <v>3600</v>
      </c>
      <c r="J59" s="12" t="s">
        <v>3273</v>
      </c>
      <c r="K59" s="12" t="s">
        <v>2848</v>
      </c>
      <c r="L59" s="12" t="s">
        <v>2796</v>
      </c>
      <c r="M59" s="4"/>
    </row>
    <row r="60" customFormat="false" ht="23.85" hidden="false" customHeight="false" outlineLevel="0" collapsed="false">
      <c r="A60" s="4" t="s">
        <v>3268</v>
      </c>
      <c r="B60" s="12" t="s">
        <v>2766</v>
      </c>
      <c r="C60" s="4" t="s">
        <v>3335</v>
      </c>
      <c r="D60" s="12" t="s">
        <v>2793</v>
      </c>
      <c r="E60" s="12" t="s">
        <v>2484</v>
      </c>
      <c r="F60" s="29" t="n">
        <v>1</v>
      </c>
      <c r="G60" s="29" t="n">
        <v>1</v>
      </c>
      <c r="H60" s="19" t="n">
        <v>4500</v>
      </c>
      <c r="I60" s="23" t="n">
        <f aca="false">F60*G60*H60</f>
        <v>4500</v>
      </c>
      <c r="J60" s="12" t="s">
        <v>3270</v>
      </c>
      <c r="K60" s="12" t="s">
        <v>2795</v>
      </c>
      <c r="L60" s="12" t="s">
        <v>2796</v>
      </c>
      <c r="M60" s="4" t="s">
        <v>3336</v>
      </c>
    </row>
    <row r="61" customFormat="false" ht="23.85" hidden="false" customHeight="false" outlineLevel="0" collapsed="false">
      <c r="A61" s="4" t="s">
        <v>3268</v>
      </c>
      <c r="B61" s="12" t="s">
        <v>2766</v>
      </c>
      <c r="C61" s="4" t="s">
        <v>3337</v>
      </c>
      <c r="D61" s="12" t="s">
        <v>2804</v>
      </c>
      <c r="E61" s="12" t="s">
        <v>2597</v>
      </c>
      <c r="F61" s="29" t="n">
        <v>1</v>
      </c>
      <c r="G61" s="29" t="n">
        <v>1</v>
      </c>
      <c r="H61" s="19" t="n">
        <v>6993</v>
      </c>
      <c r="I61" s="23" t="n">
        <f aca="false">F61*G61*H61</f>
        <v>6993</v>
      </c>
      <c r="J61" s="12" t="s">
        <v>3270</v>
      </c>
      <c r="K61" s="12" t="s">
        <v>2805</v>
      </c>
      <c r="L61" s="12"/>
      <c r="M61" s="4" t="s">
        <v>3338</v>
      </c>
    </row>
    <row r="62" customFormat="false" ht="23.85" hidden="false" customHeight="false" outlineLevel="0" collapsed="false">
      <c r="A62" s="4" t="s">
        <v>3268</v>
      </c>
      <c r="B62" s="12" t="s">
        <v>2766</v>
      </c>
      <c r="C62" s="4" t="s">
        <v>3339</v>
      </c>
      <c r="D62" s="12" t="s">
        <v>2808</v>
      </c>
      <c r="E62" s="12" t="s">
        <v>2477</v>
      </c>
      <c r="F62" s="29" t="n">
        <v>300</v>
      </c>
      <c r="G62" s="29" t="n">
        <v>1</v>
      </c>
      <c r="H62" s="19" t="n">
        <v>8</v>
      </c>
      <c r="I62" s="23" t="n">
        <f aca="false">F62*G62*H62</f>
        <v>2400</v>
      </c>
      <c r="J62" s="12" t="s">
        <v>3270</v>
      </c>
      <c r="K62" s="12" t="s">
        <v>2805</v>
      </c>
      <c r="L62" s="12"/>
      <c r="M62" s="4" t="s">
        <v>3340</v>
      </c>
    </row>
    <row r="63" customFormat="false" ht="23.85" hidden="false" customHeight="false" outlineLevel="0" collapsed="false">
      <c r="A63" s="4" t="s">
        <v>3268</v>
      </c>
      <c r="B63" s="12" t="s">
        <v>2766</v>
      </c>
      <c r="C63" s="4" t="s">
        <v>3341</v>
      </c>
      <c r="D63" s="12" t="s">
        <v>2804</v>
      </c>
      <c r="E63" s="12" t="s">
        <v>2597</v>
      </c>
      <c r="F63" s="29" t="n">
        <v>1</v>
      </c>
      <c r="G63" s="29" t="n">
        <v>1</v>
      </c>
      <c r="H63" s="19" t="n">
        <v>1500</v>
      </c>
      <c r="I63" s="23" t="n">
        <f aca="false">F63*G63*H63</f>
        <v>1500</v>
      </c>
      <c r="J63" s="12" t="s">
        <v>3270</v>
      </c>
      <c r="K63" s="12" t="s">
        <v>2805</v>
      </c>
      <c r="L63" s="12"/>
      <c r="M63" s="4" t="s">
        <v>3342</v>
      </c>
    </row>
    <row r="64" customFormat="false" ht="23.85" hidden="false" customHeight="false" outlineLevel="0" collapsed="false">
      <c r="A64" s="4" t="s">
        <v>3330</v>
      </c>
      <c r="B64" s="12" t="s">
        <v>2766</v>
      </c>
      <c r="C64" s="4" t="s">
        <v>3343</v>
      </c>
      <c r="D64" s="12" t="s">
        <v>2804</v>
      </c>
      <c r="E64" s="12" t="s">
        <v>2597</v>
      </c>
      <c r="F64" s="29" t="n">
        <v>1</v>
      </c>
      <c r="G64" s="29" t="n">
        <v>1</v>
      </c>
      <c r="H64" s="19" t="n">
        <v>6000</v>
      </c>
      <c r="I64" s="23" t="n">
        <f aca="false">F64*G64*H64</f>
        <v>6000</v>
      </c>
      <c r="J64" s="12" t="s">
        <v>3270</v>
      </c>
      <c r="K64" s="12" t="s">
        <v>2891</v>
      </c>
      <c r="L64" s="12" t="s">
        <v>3221</v>
      </c>
      <c r="M64" s="4"/>
    </row>
    <row r="65" customFormat="false" ht="23.85" hidden="false" customHeight="false" outlineLevel="0" collapsed="false">
      <c r="A65" s="4" t="s">
        <v>3330</v>
      </c>
      <c r="B65" s="12" t="s">
        <v>2766</v>
      </c>
      <c r="C65" s="4" t="s">
        <v>3344</v>
      </c>
      <c r="D65" s="12" t="s">
        <v>2804</v>
      </c>
      <c r="E65" s="12" t="s">
        <v>2597</v>
      </c>
      <c r="F65" s="29" t="n">
        <v>1</v>
      </c>
      <c r="G65" s="29" t="n">
        <v>1</v>
      </c>
      <c r="H65" s="19" t="n">
        <v>3000</v>
      </c>
      <c r="I65" s="23" t="n">
        <f aca="false">F65*G65*H65</f>
        <v>3000</v>
      </c>
      <c r="J65" s="12" t="s">
        <v>3270</v>
      </c>
      <c r="K65" s="12" t="s">
        <v>2805</v>
      </c>
      <c r="L65" s="12"/>
      <c r="M65" s="4" t="s">
        <v>3345</v>
      </c>
    </row>
    <row r="66" customFormat="false" ht="23.85" hidden="false" customHeight="false" outlineLevel="0" collapsed="false">
      <c r="A66" s="4" t="s">
        <v>3330</v>
      </c>
      <c r="B66" s="12" t="s">
        <v>2766</v>
      </c>
      <c r="C66" s="4" t="s">
        <v>3346</v>
      </c>
      <c r="D66" s="12" t="s">
        <v>2882</v>
      </c>
      <c r="E66" s="12" t="s">
        <v>2601</v>
      </c>
      <c r="F66" s="29" t="n">
        <v>1</v>
      </c>
      <c r="G66" s="29" t="n">
        <v>1</v>
      </c>
      <c r="H66" s="19" t="n">
        <v>1200</v>
      </c>
      <c r="I66" s="23" t="n">
        <f aca="false">F66*G66*H66</f>
        <v>1200</v>
      </c>
      <c r="J66" s="12" t="s">
        <v>3270</v>
      </c>
      <c r="K66" s="12" t="s">
        <v>2805</v>
      </c>
      <c r="L66" s="12"/>
      <c r="M66" s="4" t="s">
        <v>3347</v>
      </c>
    </row>
    <row r="67" customFormat="false" ht="79.85" hidden="false" customHeight="false" outlineLevel="0" collapsed="false">
      <c r="A67" s="4" t="s">
        <v>3328</v>
      </c>
      <c r="B67" s="12" t="s">
        <v>2768</v>
      </c>
      <c r="C67" s="4" t="s">
        <v>2911</v>
      </c>
      <c r="D67" s="12" t="s">
        <v>2882</v>
      </c>
      <c r="E67" s="12" t="s">
        <v>2601</v>
      </c>
      <c r="F67" s="29" t="n">
        <v>1</v>
      </c>
      <c r="G67" s="29" t="n">
        <v>1</v>
      </c>
      <c r="H67" s="19" t="n">
        <v>12400</v>
      </c>
      <c r="I67" s="23" t="n">
        <f aca="false">F67*G67*H67</f>
        <v>12400</v>
      </c>
      <c r="J67" s="12" t="s">
        <v>3270</v>
      </c>
      <c r="K67" s="12" t="s">
        <v>2805</v>
      </c>
      <c r="L67" s="12"/>
      <c r="M67" s="4" t="s">
        <v>3348</v>
      </c>
    </row>
    <row r="68" customFormat="false" ht="15" hidden="false" customHeight="false" outlineLevel="0" collapsed="false">
      <c r="A68" s="4" t="s">
        <v>3328</v>
      </c>
      <c r="B68" s="12" t="s">
        <v>2767</v>
      </c>
      <c r="C68" s="4" t="s">
        <v>2893</v>
      </c>
      <c r="D68" s="12" t="s">
        <v>2793</v>
      </c>
      <c r="E68" s="12" t="s">
        <v>2484</v>
      </c>
      <c r="F68" s="29" t="n">
        <v>1</v>
      </c>
      <c r="G68" s="29" t="n">
        <v>7</v>
      </c>
      <c r="H68" s="19" t="n">
        <v>1000</v>
      </c>
      <c r="I68" s="23" t="n">
        <f aca="false">F68*G68*H68</f>
        <v>7000</v>
      </c>
      <c r="J68" s="12" t="s">
        <v>3270</v>
      </c>
      <c r="K68" s="12" t="s">
        <v>2894</v>
      </c>
      <c r="L68" s="12" t="s">
        <v>2796</v>
      </c>
      <c r="M68" s="4" t="s">
        <v>3349</v>
      </c>
    </row>
    <row r="69" customFormat="false" ht="23.85" hidden="false" customHeight="false" outlineLevel="0" collapsed="false">
      <c r="A69" s="4" t="s">
        <v>3328</v>
      </c>
      <c r="B69" s="12" t="s">
        <v>2767</v>
      </c>
      <c r="C69" s="4" t="s">
        <v>3350</v>
      </c>
      <c r="D69" s="12" t="s">
        <v>2804</v>
      </c>
      <c r="E69" s="12" t="s">
        <v>2597</v>
      </c>
      <c r="F69" s="29" t="n">
        <v>1</v>
      </c>
      <c r="G69" s="29" t="n">
        <v>1</v>
      </c>
      <c r="H69" s="19" t="n">
        <v>4000</v>
      </c>
      <c r="I69" s="23" t="n">
        <f aca="false">F69*G69*H69</f>
        <v>4000</v>
      </c>
      <c r="J69" s="12" t="s">
        <v>3270</v>
      </c>
      <c r="K69" s="12" t="s">
        <v>2891</v>
      </c>
      <c r="L69" s="12" t="s">
        <v>2796</v>
      </c>
      <c r="M69" s="4" t="s">
        <v>3351</v>
      </c>
    </row>
    <row r="70" customFormat="false" ht="23.85" hidden="false" customHeight="false" outlineLevel="0" collapsed="false">
      <c r="A70" s="4" t="s">
        <v>3268</v>
      </c>
      <c r="B70" s="12" t="s">
        <v>2765</v>
      </c>
      <c r="C70" s="4" t="s">
        <v>3352</v>
      </c>
      <c r="D70" s="12" t="s">
        <v>2808</v>
      </c>
      <c r="E70" s="12" t="s">
        <v>2497</v>
      </c>
      <c r="F70" s="29" t="n">
        <v>1</v>
      </c>
      <c r="G70" s="29" t="n">
        <v>7</v>
      </c>
      <c r="H70" s="19" t="n">
        <v>1300</v>
      </c>
      <c r="I70" s="23" t="n">
        <f aca="false">F70*G70*H70</f>
        <v>9100</v>
      </c>
      <c r="J70" s="12" t="s">
        <v>3273</v>
      </c>
      <c r="K70" s="12" t="s">
        <v>2805</v>
      </c>
      <c r="L70" s="12"/>
      <c r="M70" s="4" t="s">
        <v>3353</v>
      </c>
    </row>
    <row r="71" customFormat="false" ht="23.85" hidden="false" customHeight="false" outlineLevel="0" collapsed="false">
      <c r="A71" s="4" t="s">
        <v>3268</v>
      </c>
      <c r="B71" s="12" t="s">
        <v>2765</v>
      </c>
      <c r="C71" s="4" t="s">
        <v>3354</v>
      </c>
      <c r="D71" s="12" t="s">
        <v>2804</v>
      </c>
      <c r="E71" s="12" t="s">
        <v>2597</v>
      </c>
      <c r="F71" s="29" t="n">
        <v>1</v>
      </c>
      <c r="G71" s="29" t="n">
        <v>1</v>
      </c>
      <c r="H71" s="19" t="n">
        <v>3000</v>
      </c>
      <c r="I71" s="23" t="n">
        <f aca="false">F71*G71*H71</f>
        <v>3000</v>
      </c>
      <c r="J71" s="12" t="s">
        <v>3270</v>
      </c>
      <c r="K71" s="12" t="s">
        <v>2902</v>
      </c>
      <c r="L71" s="12" t="s">
        <v>2796</v>
      </c>
      <c r="M71" s="4" t="s">
        <v>3234</v>
      </c>
    </row>
    <row r="72" customFormat="false" ht="23.85" hidden="false" customHeight="false" outlineLevel="0" collapsed="false">
      <c r="A72" s="4" t="s">
        <v>3268</v>
      </c>
      <c r="B72" s="12" t="s">
        <v>2765</v>
      </c>
      <c r="C72" s="4" t="s">
        <v>3355</v>
      </c>
      <c r="D72" s="12" t="s">
        <v>2804</v>
      </c>
      <c r="E72" s="12" t="s">
        <v>2597</v>
      </c>
      <c r="F72" s="29" t="n">
        <v>1</v>
      </c>
      <c r="G72" s="29" t="n">
        <v>1</v>
      </c>
      <c r="H72" s="19" t="n">
        <v>2500</v>
      </c>
      <c r="I72" s="23" t="n">
        <f aca="false">F72*G72*H72</f>
        <v>2500</v>
      </c>
      <c r="J72" s="12" t="s">
        <v>3270</v>
      </c>
      <c r="K72" s="12" t="s">
        <v>2805</v>
      </c>
      <c r="L72" s="12"/>
      <c r="M72" s="4" t="s">
        <v>3234</v>
      </c>
    </row>
    <row r="73" customFormat="false" ht="23.85" hidden="false" customHeight="false" outlineLevel="0" collapsed="false">
      <c r="A73" s="4" t="s">
        <v>3268</v>
      </c>
      <c r="B73" s="12" t="s">
        <v>2765</v>
      </c>
      <c r="C73" s="4" t="s">
        <v>3356</v>
      </c>
      <c r="D73" s="12" t="s">
        <v>2808</v>
      </c>
      <c r="E73" s="12" t="s">
        <v>2477</v>
      </c>
      <c r="F73" s="29" t="n">
        <v>50</v>
      </c>
      <c r="G73" s="29" t="n">
        <v>1</v>
      </c>
      <c r="H73" s="19" t="n">
        <v>25</v>
      </c>
      <c r="I73" s="23" t="n">
        <f aca="false">F73*G73*H73</f>
        <v>1250</v>
      </c>
      <c r="J73" s="12" t="s">
        <v>3270</v>
      </c>
      <c r="K73" s="12" t="s">
        <v>2805</v>
      </c>
      <c r="L73" s="12"/>
      <c r="M73" s="4" t="s">
        <v>3357</v>
      </c>
    </row>
    <row r="74" customFormat="false" ht="15" hidden="false" customHeight="false" outlineLevel="0" collapsed="false">
      <c r="H74" s="10" t="s">
        <v>134</v>
      </c>
      <c r="I74" s="11" t="n">
        <f aca="false">SUM(I26:I73)</f>
        <v>236219</v>
      </c>
    </row>
    <row r="76" customFormat="false" ht="15" hidden="false" customHeight="false" outlineLevel="0" collapsed="false">
      <c r="A76" s="22" t="s">
        <v>2913</v>
      </c>
    </row>
    <row r="77" customFormat="false" ht="23.85" hidden="false" customHeight="false" outlineLevel="0" collapsed="false">
      <c r="A77" s="3" t="s">
        <v>2914</v>
      </c>
      <c r="B77" s="3" t="s">
        <v>2915</v>
      </c>
      <c r="C77" s="3" t="s">
        <v>2780</v>
      </c>
      <c r="D77" s="3" t="s">
        <v>2781</v>
      </c>
      <c r="E77" s="3" t="s">
        <v>2782</v>
      </c>
      <c r="F77" s="3" t="s">
        <v>2783</v>
      </c>
      <c r="G77" s="3" t="s">
        <v>2784</v>
      </c>
      <c r="H77" s="3" t="s">
        <v>2785</v>
      </c>
      <c r="I77" s="3" t="s">
        <v>2786</v>
      </c>
      <c r="J77" s="3" t="s">
        <v>1393</v>
      </c>
      <c r="K77" s="3" t="s">
        <v>2916</v>
      </c>
      <c r="L77" s="3" t="s">
        <v>2789</v>
      </c>
      <c r="M77" s="3" t="s">
        <v>368</v>
      </c>
    </row>
    <row r="78" customFormat="false" ht="23.85" hidden="false" customHeight="false" outlineLevel="0" collapsed="false">
      <c r="A78" s="4" t="s">
        <v>3328</v>
      </c>
      <c r="B78" s="12" t="s">
        <v>2918</v>
      </c>
      <c r="C78" s="4" t="s">
        <v>3358</v>
      </c>
      <c r="D78" s="12" t="s">
        <v>2804</v>
      </c>
      <c r="E78" s="12" t="s">
        <v>2597</v>
      </c>
      <c r="F78" s="30" t="n">
        <v>1</v>
      </c>
      <c r="G78" s="30" t="n">
        <v>1</v>
      </c>
      <c r="H78" s="19" t="n">
        <v>7000</v>
      </c>
      <c r="I78" s="23" t="n">
        <f aca="false">F78*G78*H78</f>
        <v>7000</v>
      </c>
      <c r="J78" s="12" t="s">
        <v>3270</v>
      </c>
      <c r="K78" s="12" t="s">
        <v>2920</v>
      </c>
      <c r="L78" s="12" t="s">
        <v>2796</v>
      </c>
      <c r="M78" s="4" t="s">
        <v>3359</v>
      </c>
    </row>
    <row r="79" customFormat="false" ht="15" hidden="false" customHeight="false" outlineLevel="0" collapsed="false">
      <c r="A79" s="4" t="s">
        <v>3328</v>
      </c>
      <c r="B79" s="12" t="s">
        <v>2918</v>
      </c>
      <c r="C79" s="4" t="s">
        <v>2922</v>
      </c>
      <c r="D79" s="12" t="s">
        <v>2804</v>
      </c>
      <c r="E79" s="12" t="s">
        <v>2597</v>
      </c>
      <c r="F79" s="30" t="n">
        <v>1</v>
      </c>
      <c r="G79" s="30" t="n">
        <v>1</v>
      </c>
      <c r="H79" s="19" t="n">
        <v>5000</v>
      </c>
      <c r="I79" s="23" t="n">
        <f aca="false">F79*G79*H79</f>
        <v>5000</v>
      </c>
      <c r="J79" s="12" t="s">
        <v>3270</v>
      </c>
      <c r="K79" s="12" t="s">
        <v>2805</v>
      </c>
      <c r="L79" s="12"/>
      <c r="M79" s="4"/>
    </row>
    <row r="80" customFormat="false" ht="15" hidden="false" customHeight="false" outlineLevel="0" collapsed="false">
      <c r="A80" s="4" t="s">
        <v>3328</v>
      </c>
      <c r="B80" s="12" t="s">
        <v>2918</v>
      </c>
      <c r="C80" s="4" t="s">
        <v>2924</v>
      </c>
      <c r="D80" s="12" t="s">
        <v>2793</v>
      </c>
      <c r="E80" s="12" t="s">
        <v>2484</v>
      </c>
      <c r="F80" s="30" t="n">
        <v>1</v>
      </c>
      <c r="G80" s="30" t="n">
        <v>1</v>
      </c>
      <c r="H80" s="19" t="n">
        <v>3000</v>
      </c>
      <c r="I80" s="23" t="n">
        <f aca="false">F80*G80*H80</f>
        <v>3000</v>
      </c>
      <c r="J80" s="12" t="s">
        <v>3270</v>
      </c>
      <c r="K80" s="12" t="s">
        <v>2805</v>
      </c>
      <c r="L80" s="12"/>
      <c r="M80" s="4"/>
    </row>
    <row r="81" customFormat="false" ht="15" hidden="false" customHeight="false" outlineLevel="0" collapsed="false">
      <c r="A81" s="4" t="s">
        <v>3328</v>
      </c>
      <c r="B81" s="12" t="s">
        <v>2918</v>
      </c>
      <c r="C81" s="4" t="s">
        <v>2926</v>
      </c>
      <c r="D81" s="12" t="s">
        <v>2793</v>
      </c>
      <c r="E81" s="12" t="s">
        <v>2484</v>
      </c>
      <c r="F81" s="30" t="n">
        <v>1</v>
      </c>
      <c r="G81" s="30" t="n">
        <v>9</v>
      </c>
      <c r="H81" s="19" t="n">
        <v>80</v>
      </c>
      <c r="I81" s="23" t="n">
        <f aca="false">F81*G81*H81</f>
        <v>720</v>
      </c>
      <c r="J81" s="12" t="s">
        <v>3270</v>
      </c>
      <c r="K81" s="12" t="s">
        <v>2805</v>
      </c>
      <c r="L81" s="12"/>
      <c r="M81" s="4"/>
    </row>
    <row r="82" customFormat="false" ht="15" hidden="false" customHeight="false" outlineLevel="0" collapsed="false">
      <c r="A82" s="4" t="s">
        <v>3328</v>
      </c>
      <c r="B82" s="12" t="s">
        <v>2918</v>
      </c>
      <c r="C82" s="4" t="s">
        <v>2928</v>
      </c>
      <c r="D82" s="12" t="s">
        <v>2882</v>
      </c>
      <c r="E82" s="12" t="s">
        <v>2601</v>
      </c>
      <c r="F82" s="30" t="n">
        <v>1</v>
      </c>
      <c r="G82" s="30" t="n">
        <v>1</v>
      </c>
      <c r="H82" s="19" t="n">
        <v>800</v>
      </c>
      <c r="I82" s="23" t="n">
        <f aca="false">F82*G82*H82</f>
        <v>800</v>
      </c>
      <c r="J82" s="12" t="s">
        <v>3270</v>
      </c>
      <c r="K82" s="12" t="s">
        <v>2805</v>
      </c>
      <c r="L82" s="12"/>
      <c r="M82" s="4"/>
    </row>
    <row r="83" customFormat="false" ht="23.85" hidden="false" customHeight="false" outlineLevel="0" collapsed="false">
      <c r="A83" s="4" t="s">
        <v>3328</v>
      </c>
      <c r="B83" s="12" t="s">
        <v>2930</v>
      </c>
      <c r="C83" s="4" t="s">
        <v>3360</v>
      </c>
      <c r="D83" s="12" t="s">
        <v>2793</v>
      </c>
      <c r="E83" s="12" t="s">
        <v>2484</v>
      </c>
      <c r="F83" s="30" t="n">
        <v>1</v>
      </c>
      <c r="G83" s="30" t="n">
        <v>2</v>
      </c>
      <c r="H83" s="19" t="n">
        <v>3500</v>
      </c>
      <c r="I83" s="23" t="n">
        <f aca="false">F83*G83*H83</f>
        <v>7000</v>
      </c>
      <c r="J83" s="12" t="s">
        <v>3270</v>
      </c>
      <c r="K83" s="12" t="s">
        <v>2805</v>
      </c>
      <c r="L83" s="12"/>
      <c r="M83" s="4"/>
    </row>
    <row r="84" customFormat="false" ht="23.85" hidden="false" customHeight="false" outlineLevel="0" collapsed="false">
      <c r="A84" s="4" t="s">
        <v>3309</v>
      </c>
      <c r="B84" s="12" t="s">
        <v>2930</v>
      </c>
      <c r="C84" s="4" t="s">
        <v>3361</v>
      </c>
      <c r="D84" s="12" t="s">
        <v>2808</v>
      </c>
      <c r="E84" s="12" t="s">
        <v>2497</v>
      </c>
      <c r="F84" s="30" t="n">
        <v>2</v>
      </c>
      <c r="G84" s="30" t="n">
        <v>1</v>
      </c>
      <c r="H84" s="19" t="n">
        <v>250</v>
      </c>
      <c r="I84" s="23" t="n">
        <f aca="false">F84*G84*H84</f>
        <v>500</v>
      </c>
      <c r="J84" s="12" t="s">
        <v>3270</v>
      </c>
      <c r="K84" s="12" t="s">
        <v>2934</v>
      </c>
      <c r="L84" s="12" t="s">
        <v>2796</v>
      </c>
      <c r="M84" s="4"/>
    </row>
    <row r="85" customFormat="false" ht="23.85" hidden="false" customHeight="false" outlineLevel="0" collapsed="false">
      <c r="A85" s="4" t="s">
        <v>3309</v>
      </c>
      <c r="B85" s="12" t="s">
        <v>2930</v>
      </c>
      <c r="C85" s="4" t="s">
        <v>3362</v>
      </c>
      <c r="D85" s="12" t="s">
        <v>2808</v>
      </c>
      <c r="E85" s="12" t="s">
        <v>2497</v>
      </c>
      <c r="F85" s="30" t="n">
        <v>1</v>
      </c>
      <c r="G85" s="30" t="n">
        <v>1</v>
      </c>
      <c r="H85" s="19" t="n">
        <v>600</v>
      </c>
      <c r="I85" s="23" t="n">
        <f aca="false">F85*G85*H85</f>
        <v>600</v>
      </c>
      <c r="J85" s="12" t="s">
        <v>3270</v>
      </c>
      <c r="K85" s="12" t="s">
        <v>2805</v>
      </c>
      <c r="L85" s="12"/>
      <c r="M85" s="4" t="s">
        <v>3363</v>
      </c>
    </row>
    <row r="86" customFormat="false" ht="23.85" hidden="false" customHeight="false" outlineLevel="0" collapsed="false">
      <c r="A86" s="4" t="s">
        <v>3328</v>
      </c>
      <c r="B86" s="12" t="s">
        <v>2930</v>
      </c>
      <c r="C86" s="4" t="s">
        <v>3364</v>
      </c>
      <c r="D86" s="12" t="s">
        <v>2804</v>
      </c>
      <c r="E86" s="12" t="s">
        <v>2597</v>
      </c>
      <c r="F86" s="30" t="n">
        <v>1</v>
      </c>
      <c r="G86" s="30" t="n">
        <v>1</v>
      </c>
      <c r="H86" s="19" t="n">
        <v>5000</v>
      </c>
      <c r="I86" s="23" t="n">
        <f aca="false">F86*G86*H86</f>
        <v>5000</v>
      </c>
      <c r="J86" s="12" t="s">
        <v>3270</v>
      </c>
      <c r="K86" s="12" t="s">
        <v>2937</v>
      </c>
      <c r="L86" s="12" t="s">
        <v>2796</v>
      </c>
      <c r="M86" s="4"/>
    </row>
    <row r="87" customFormat="false" ht="15" hidden="false" customHeight="false" outlineLevel="0" collapsed="false">
      <c r="A87" s="4" t="s">
        <v>3328</v>
      </c>
      <c r="B87" s="12" t="s">
        <v>2930</v>
      </c>
      <c r="C87" s="4" t="s">
        <v>3365</v>
      </c>
      <c r="D87" s="12" t="s">
        <v>2793</v>
      </c>
      <c r="E87" s="12" t="s">
        <v>2484</v>
      </c>
      <c r="F87" s="30" t="n">
        <v>1</v>
      </c>
      <c r="G87" s="30" t="n">
        <v>3</v>
      </c>
      <c r="H87" s="19" t="n">
        <v>2500</v>
      </c>
      <c r="I87" s="23" t="n">
        <f aca="false">F87*G87*H87</f>
        <v>7500</v>
      </c>
      <c r="J87" s="12" t="s">
        <v>3270</v>
      </c>
      <c r="K87" s="12" t="s">
        <v>2909</v>
      </c>
      <c r="L87" s="12" t="s">
        <v>2796</v>
      </c>
      <c r="M87" s="4" t="s">
        <v>3366</v>
      </c>
    </row>
    <row r="88" customFormat="false" ht="15" hidden="false" customHeight="false" outlineLevel="0" collapsed="false">
      <c r="A88" s="4" t="s">
        <v>3328</v>
      </c>
      <c r="B88" s="12" t="s">
        <v>2930</v>
      </c>
      <c r="C88" s="4" t="s">
        <v>2944</v>
      </c>
      <c r="D88" s="12" t="s">
        <v>2808</v>
      </c>
      <c r="E88" s="12" t="s">
        <v>2477</v>
      </c>
      <c r="F88" s="30" t="n">
        <v>300</v>
      </c>
      <c r="G88" s="30" t="n">
        <v>1</v>
      </c>
      <c r="H88" s="19" t="n">
        <v>2.5</v>
      </c>
      <c r="I88" s="23" t="n">
        <f aca="false">F88*G88*H88</f>
        <v>750</v>
      </c>
      <c r="J88" s="12" t="s">
        <v>3273</v>
      </c>
      <c r="K88" s="12" t="s">
        <v>2805</v>
      </c>
      <c r="L88" s="12"/>
      <c r="M88" s="4"/>
    </row>
    <row r="89" customFormat="false" ht="15" hidden="false" customHeight="false" outlineLevel="0" collapsed="false">
      <c r="A89" s="4" t="s">
        <v>3328</v>
      </c>
      <c r="B89" s="12" t="s">
        <v>2930</v>
      </c>
      <c r="C89" s="4" t="s">
        <v>2946</v>
      </c>
      <c r="D89" s="12" t="s">
        <v>2808</v>
      </c>
      <c r="E89" s="12" t="s">
        <v>2661</v>
      </c>
      <c r="F89" s="30" t="n">
        <v>2</v>
      </c>
      <c r="G89" s="30" t="n">
        <v>1</v>
      </c>
      <c r="H89" s="19" t="n">
        <v>450</v>
      </c>
      <c r="I89" s="23" t="n">
        <f aca="false">F89*G89*H89</f>
        <v>900</v>
      </c>
      <c r="J89" s="12" t="s">
        <v>3273</v>
      </c>
      <c r="K89" s="12" t="s">
        <v>2805</v>
      </c>
      <c r="L89" s="12"/>
      <c r="M89" s="4"/>
    </row>
    <row r="91" customFormat="false" ht="15" hidden="false" customHeight="false" outlineLevel="0" collapsed="false">
      <c r="A91" s="10" t="s">
        <v>2952</v>
      </c>
      <c r="B91" s="23" t="n">
        <f aca="false">SUMIFS($I$78:$I$89,$B$78:$B$89,"Custos de administração")</f>
        <v>16520</v>
      </c>
      <c r="C91" s="13" t="n">
        <f aca="false">B17</f>
        <v>16535.33</v>
      </c>
      <c r="D91" s="23" t="n">
        <f aca="false">C91-B91</f>
        <v>15.3300000000017</v>
      </c>
      <c r="E91" s="12" t="str">
        <f aca="false">IF(D91&gt;=0,"OK","EXCEDE")</f>
        <v>OK</v>
      </c>
    </row>
    <row r="92" customFormat="false" ht="15" hidden="false" customHeight="false" outlineLevel="0" collapsed="false">
      <c r="A92" s="10" t="s">
        <v>2953</v>
      </c>
      <c r="B92" s="23" t="n">
        <f aca="false">SUMIFS($I$78:$I$89,$B$78:$B$89,"Custos de acessibilidade, comunicação e divulgação")</f>
        <v>22250</v>
      </c>
      <c r="C92" s="13" t="n">
        <f aca="false">B18</f>
        <v>23621.9</v>
      </c>
      <c r="D92" s="23" t="n">
        <f aca="false">C92-B92</f>
        <v>1371.9</v>
      </c>
      <c r="E92" s="12" t="str">
        <f aca="false">IF(D92&gt;=0,"OK","EXCEDE")</f>
        <v>OK</v>
      </c>
    </row>
    <row r="93" customFormat="false" ht="15" hidden="false" customHeight="false" outlineLevel="0" collapsed="false">
      <c r="A93" s="14" t="s">
        <v>2954</v>
      </c>
    </row>
    <row r="95" customFormat="false" ht="15" hidden="false" customHeight="false" outlineLevel="0" collapsed="false">
      <c r="A95" s="22" t="s">
        <v>2955</v>
      </c>
    </row>
    <row r="96" customFormat="false" ht="30" hidden="false" customHeight="true" outlineLevel="0" collapsed="false">
      <c r="A96" s="21" t="s">
        <v>3367</v>
      </c>
      <c r="B96" s="21"/>
      <c r="C96" s="21"/>
      <c r="D96" s="21"/>
      <c r="E96" s="21"/>
      <c r="F96" s="21"/>
      <c r="G96" s="21"/>
      <c r="H96" s="21"/>
      <c r="I96" s="21"/>
      <c r="J96" s="21"/>
      <c r="K96" s="21"/>
      <c r="L96" s="21"/>
      <c r="M96" s="21"/>
    </row>
    <row r="97" customFormat="false" ht="30" hidden="false" customHeight="true" outlineLevel="0" collapsed="false">
      <c r="A97" s="21" t="s">
        <v>3368</v>
      </c>
      <c r="B97" s="21"/>
      <c r="C97" s="21"/>
      <c r="D97" s="21"/>
      <c r="E97" s="21"/>
      <c r="F97" s="21"/>
      <c r="G97" s="21"/>
      <c r="H97" s="21"/>
      <c r="I97" s="21"/>
      <c r="J97" s="21"/>
      <c r="K97" s="21"/>
      <c r="L97" s="21"/>
      <c r="M97" s="21"/>
    </row>
    <row r="98" customFormat="false" ht="30" hidden="false" customHeight="true" outlineLevel="0" collapsed="false">
      <c r="A98" s="21" t="s">
        <v>3369</v>
      </c>
      <c r="B98" s="21"/>
      <c r="C98" s="21"/>
      <c r="D98" s="21"/>
      <c r="E98" s="21"/>
      <c r="F98" s="21"/>
      <c r="G98" s="21"/>
      <c r="H98" s="21"/>
      <c r="I98" s="21"/>
      <c r="J98" s="21"/>
      <c r="K98" s="21"/>
      <c r="L98" s="21"/>
      <c r="M98" s="21"/>
    </row>
    <row r="99" customFormat="false" ht="30" hidden="false" customHeight="true" outlineLevel="0" collapsed="false">
      <c r="A99" s="21" t="s">
        <v>3370</v>
      </c>
      <c r="B99" s="21"/>
      <c r="C99" s="21"/>
      <c r="D99" s="21"/>
      <c r="E99" s="21"/>
      <c r="F99" s="21"/>
      <c r="G99" s="21"/>
      <c r="H99" s="21"/>
      <c r="I99" s="21"/>
      <c r="J99" s="21"/>
      <c r="K99" s="21"/>
      <c r="L99" s="21"/>
      <c r="M99" s="21"/>
    </row>
    <row r="100" customFormat="false" ht="30" hidden="false" customHeight="true" outlineLevel="0" collapsed="false">
      <c r="A100" s="21" t="s">
        <v>3371</v>
      </c>
      <c r="B100" s="21"/>
      <c r="C100" s="21"/>
      <c r="D100" s="21"/>
      <c r="E100" s="21"/>
      <c r="F100" s="21"/>
      <c r="G100" s="21"/>
      <c r="H100" s="21"/>
      <c r="I100" s="21"/>
      <c r="J100" s="21"/>
      <c r="K100" s="21"/>
      <c r="L100" s="21"/>
      <c r="M100" s="21"/>
    </row>
    <row r="101" customFormat="false" ht="30" hidden="false" customHeight="true" outlineLevel="0" collapsed="false">
      <c r="A101" s="21" t="s">
        <v>3372</v>
      </c>
      <c r="B101" s="21"/>
      <c r="C101" s="21"/>
      <c r="D101" s="21"/>
      <c r="E101" s="21"/>
      <c r="F101" s="21"/>
      <c r="G101" s="21"/>
      <c r="H101" s="21"/>
      <c r="I101" s="21"/>
      <c r="J101" s="21"/>
      <c r="K101" s="21"/>
      <c r="L101" s="21"/>
      <c r="M101" s="21"/>
    </row>
    <row r="102" customFormat="false" ht="30" hidden="false" customHeight="true" outlineLevel="0" collapsed="false">
      <c r="A102" s="21" t="s">
        <v>3373</v>
      </c>
      <c r="B102" s="21"/>
      <c r="C102" s="21"/>
      <c r="D102" s="21"/>
      <c r="E102" s="21"/>
      <c r="F102" s="21"/>
      <c r="G102" s="21"/>
      <c r="H102" s="21"/>
      <c r="I102" s="21"/>
      <c r="J102" s="21"/>
      <c r="K102" s="21"/>
      <c r="L102" s="21"/>
      <c r="M102" s="21"/>
    </row>
    <row r="103" customFormat="false" ht="30" hidden="false" customHeight="true" outlineLevel="0" collapsed="false">
      <c r="A103" s="21" t="s">
        <v>3374</v>
      </c>
      <c r="B103" s="21"/>
      <c r="C103" s="21"/>
      <c r="D103" s="21"/>
      <c r="E103" s="21"/>
      <c r="F103" s="21"/>
      <c r="G103" s="21"/>
      <c r="H103" s="21"/>
      <c r="I103" s="21"/>
      <c r="J103" s="21"/>
      <c r="K103" s="21"/>
      <c r="L103" s="21"/>
      <c r="M103" s="21"/>
    </row>
    <row r="104" customFormat="false" ht="15" hidden="false" customHeight="true" outlineLevel="0" collapsed="false">
      <c r="A104" s="21" t="s">
        <v>3375</v>
      </c>
      <c r="B104" s="21"/>
      <c r="C104" s="21"/>
      <c r="D104" s="21"/>
      <c r="E104" s="21"/>
      <c r="F104" s="21"/>
      <c r="G104" s="21"/>
      <c r="H104" s="21"/>
      <c r="I104" s="21"/>
      <c r="J104" s="21"/>
      <c r="K104" s="21"/>
      <c r="L104" s="21"/>
      <c r="M104" s="21"/>
    </row>
    <row r="106" customFormat="false" ht="15" hidden="false" customHeight="false" outlineLevel="0" collapsed="false">
      <c r="A106" s="22" t="s">
        <v>2964</v>
      </c>
      <c r="B106" s="19" t="n">
        <v>60000</v>
      </c>
    </row>
    <row r="107" customFormat="false" ht="75" hidden="false" customHeight="true" outlineLevel="0" collapsed="false">
      <c r="A107" s="21" t="s">
        <v>3376</v>
      </c>
      <c r="B107" s="21"/>
      <c r="C107" s="21"/>
      <c r="D107" s="21"/>
      <c r="E107" s="21"/>
      <c r="F107" s="21"/>
      <c r="G107" s="21"/>
      <c r="H107" s="21"/>
      <c r="I107" s="21"/>
      <c r="J107" s="21"/>
      <c r="K107" s="21"/>
      <c r="L107" s="21"/>
      <c r="M107" s="21"/>
    </row>
  </sheetData>
  <mergeCells count="15">
    <mergeCell ref="B2:M2"/>
    <mergeCell ref="B3:M3"/>
    <mergeCell ref="B4:M4"/>
    <mergeCell ref="B5:M5"/>
    <mergeCell ref="B6:M6"/>
    <mergeCell ref="A96:M96"/>
    <mergeCell ref="A97:M97"/>
    <mergeCell ref="A98:M98"/>
    <mergeCell ref="A99:M99"/>
    <mergeCell ref="A100:M100"/>
    <mergeCell ref="A101:M101"/>
    <mergeCell ref="A102:M102"/>
    <mergeCell ref="A103:M103"/>
    <mergeCell ref="A104:M104"/>
    <mergeCell ref="A107:M107"/>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3">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8:L89">
    <cfRule type="expression" priority="11" aboveAverage="0" equalAverage="0" bottom="0" percent="0" rank="0" text="" dxfId="2">
      <formula>LEFT(L78,5)="ACIMA"</formula>
    </cfRule>
  </conditionalFormatting>
  <conditionalFormatting sqref="E91:E92">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3377</v>
      </c>
    </row>
    <row r="2" customFormat="false" ht="30" hidden="false" customHeight="true" outlineLevel="0" collapsed="false">
      <c r="A2" s="22" t="s">
        <v>2748</v>
      </c>
      <c r="B2" s="21" t="s">
        <v>3378</v>
      </c>
      <c r="C2" s="21"/>
      <c r="D2" s="21"/>
      <c r="E2" s="21"/>
      <c r="F2" s="21"/>
      <c r="G2" s="21"/>
      <c r="H2" s="21"/>
      <c r="I2" s="21"/>
      <c r="J2" s="21"/>
      <c r="K2" s="21"/>
      <c r="L2" s="21"/>
      <c r="M2" s="21"/>
    </row>
    <row r="3" customFormat="false" ht="30" hidden="false" customHeight="true" outlineLevel="0" collapsed="false">
      <c r="A3" s="22" t="s">
        <v>2750</v>
      </c>
      <c r="B3" s="21" t="s">
        <v>3379</v>
      </c>
      <c r="C3" s="21"/>
      <c r="D3" s="21"/>
      <c r="E3" s="21"/>
      <c r="F3" s="21"/>
      <c r="G3" s="21"/>
      <c r="H3" s="21"/>
      <c r="I3" s="21"/>
      <c r="J3" s="21"/>
      <c r="K3" s="21"/>
      <c r="L3" s="21"/>
      <c r="M3" s="21"/>
    </row>
    <row r="4" customFormat="false" ht="30" hidden="false" customHeight="true" outlineLevel="0" collapsed="false">
      <c r="A4" s="22" t="s">
        <v>2752</v>
      </c>
      <c r="B4" s="21" t="s">
        <v>3380</v>
      </c>
      <c r="C4" s="21"/>
      <c r="D4" s="21"/>
      <c r="E4" s="21"/>
      <c r="F4" s="21"/>
      <c r="G4" s="21"/>
      <c r="H4" s="21"/>
      <c r="I4" s="21"/>
      <c r="J4" s="21"/>
      <c r="K4" s="21"/>
      <c r="L4" s="21"/>
      <c r="M4" s="21"/>
    </row>
    <row r="5" customFormat="false" ht="30" hidden="false" customHeight="true" outlineLevel="0" collapsed="false">
      <c r="A5" s="22" t="s">
        <v>2754</v>
      </c>
      <c r="B5" s="21" t="s">
        <v>3381</v>
      </c>
      <c r="C5" s="21"/>
      <c r="D5" s="21"/>
      <c r="E5" s="21"/>
      <c r="F5" s="21"/>
      <c r="G5" s="21"/>
      <c r="H5" s="21"/>
      <c r="I5" s="21"/>
      <c r="J5" s="21"/>
      <c r="K5" s="21"/>
      <c r="L5" s="21"/>
      <c r="M5" s="21"/>
    </row>
    <row r="6" customFormat="false" ht="30" hidden="false" customHeight="true" outlineLevel="0" collapsed="false">
      <c r="A6" s="22" t="s">
        <v>2756</v>
      </c>
      <c r="B6" s="21" t="s">
        <v>3382</v>
      </c>
      <c r="C6" s="21"/>
      <c r="D6" s="21"/>
      <c r="E6" s="21"/>
      <c r="F6" s="21"/>
      <c r="G6" s="21"/>
      <c r="H6" s="21"/>
      <c r="I6" s="21"/>
      <c r="J6" s="21"/>
      <c r="K6" s="21"/>
      <c r="L6" s="21"/>
      <c r="M6" s="21"/>
    </row>
    <row r="7" customFormat="false" ht="15" hidden="false" customHeight="false" outlineLevel="0" collapsed="false">
      <c r="A7" s="22" t="s">
        <v>2758</v>
      </c>
      <c r="B7" s="19" t="n">
        <v>750000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SUMIFS($I$26:$I$73,$B$26:$B$73,A11)</f>
        <v>54200</v>
      </c>
      <c r="C11" s="24" t="n">
        <f aca="false">IF($B$16=0,0,B11/$B$16)</f>
        <v>0.0917794718785666</v>
      </c>
    </row>
    <row r="12" customFormat="false" ht="15" hidden="false" customHeight="false" outlineLevel="0" collapsed="false">
      <c r="A12" s="12" t="s">
        <v>2765</v>
      </c>
      <c r="B12" s="23" t="n">
        <f aca="false">SUMIFS($I$26:$I$73,$B$26:$B$73,A12)</f>
        <v>444206</v>
      </c>
      <c r="C12" s="24" t="n">
        <f aca="false">IF($B$16=0,0,B12/$B$16)</f>
        <v>0.75219542592787</v>
      </c>
    </row>
    <row r="13" customFormat="false" ht="15" hidden="false" customHeight="false" outlineLevel="0" collapsed="false">
      <c r="A13" s="12" t="s">
        <v>2766</v>
      </c>
      <c r="B13" s="23" t="n">
        <f aca="false">SUMIFS($I$26:$I$73,$B$26:$B$73,A13)</f>
        <v>37870</v>
      </c>
      <c r="C13" s="24" t="n">
        <f aca="false">IF($B$16=0,0,B13/$B$16)</f>
        <v>0.0641270959417217</v>
      </c>
    </row>
    <row r="14" customFormat="false" ht="15" hidden="false" customHeight="false" outlineLevel="0" collapsed="false">
      <c r="A14" s="12" t="s">
        <v>2767</v>
      </c>
      <c r="B14" s="23" t="n">
        <f aca="false">SUMIFS($I$26:$I$73,$B$26:$B$73,A14)</f>
        <v>24300</v>
      </c>
      <c r="C14" s="24" t="n">
        <f aca="false">IF($B$16=0,0,B14/$B$16)</f>
        <v>0.0411483610082873</v>
      </c>
    </row>
    <row r="15" customFormat="false" ht="15" hidden="false" customHeight="false" outlineLevel="0" collapsed="false">
      <c r="A15" s="12" t="s">
        <v>2768</v>
      </c>
      <c r="B15" s="23" t="n">
        <f aca="false">SUMIFS($I$26:$I$73,$B$26:$B$73,A15)</f>
        <v>29970</v>
      </c>
      <c r="C15" s="24" t="n">
        <f aca="false">IF($B$16=0,0,B15/$B$16)</f>
        <v>0.0507496452435543</v>
      </c>
    </row>
    <row r="16" customFormat="false" ht="15" hidden="false" customHeight="false" outlineLevel="0" collapsed="false">
      <c r="A16" s="25" t="s">
        <v>2769</v>
      </c>
      <c r="B16" s="26" t="n">
        <f aca="false">SUM(B11:B15)</f>
        <v>590546</v>
      </c>
    </row>
    <row r="17" customFormat="false" ht="23.85" hidden="false" customHeight="false" outlineLevel="0" collapsed="false">
      <c r="A17" s="4" t="s">
        <v>2770</v>
      </c>
      <c r="B17" s="23" t="n">
        <f aca="false">$B$16*C17</f>
        <v>47243.68</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53149.14</v>
      </c>
      <c r="C18" s="27" t="n">
        <v>0.09</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59054.6</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749993.42</v>
      </c>
    </row>
    <row r="21" customFormat="false" ht="15" hidden="false" customHeight="false" outlineLevel="0" collapsed="false">
      <c r="A21" s="12" t="s">
        <v>2774</v>
      </c>
      <c r="B21" s="23" t="n">
        <f aca="false">B20-B7</f>
        <v>-6.57999999995809</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3383</v>
      </c>
      <c r="B26" s="12" t="s">
        <v>2764</v>
      </c>
      <c r="C26" s="4" t="s">
        <v>3151</v>
      </c>
      <c r="D26" s="12" t="s">
        <v>2793</v>
      </c>
      <c r="E26" s="12" t="s">
        <v>2484</v>
      </c>
      <c r="F26" s="29" t="n">
        <v>1</v>
      </c>
      <c r="G26" s="29" t="n">
        <v>2</v>
      </c>
      <c r="H26" s="19" t="n">
        <v>6500</v>
      </c>
      <c r="I26" s="23" t="n">
        <f aca="false">F26*G26*H26</f>
        <v>13000</v>
      </c>
      <c r="J26" s="12" t="s">
        <v>2794</v>
      </c>
      <c r="K26" s="12" t="s">
        <v>2795</v>
      </c>
      <c r="L26" s="12" t="s">
        <v>2796</v>
      </c>
      <c r="M26" s="4" t="s">
        <v>3384</v>
      </c>
    </row>
    <row r="27" customFormat="false" ht="23.85" hidden="false" customHeight="false" outlineLevel="0" collapsed="false">
      <c r="A27" s="4" t="s">
        <v>3383</v>
      </c>
      <c r="B27" s="12" t="s">
        <v>2764</v>
      </c>
      <c r="C27" s="4" t="s">
        <v>3385</v>
      </c>
      <c r="D27" s="12" t="s">
        <v>2793</v>
      </c>
      <c r="E27" s="12" t="s">
        <v>2484</v>
      </c>
      <c r="F27" s="29" t="n">
        <v>1</v>
      </c>
      <c r="G27" s="29" t="n">
        <v>2</v>
      </c>
      <c r="H27" s="19" t="n">
        <v>5000</v>
      </c>
      <c r="I27" s="23" t="n">
        <f aca="false">F27*G27*H27</f>
        <v>10000</v>
      </c>
      <c r="J27" s="12" t="s">
        <v>2794</v>
      </c>
      <c r="K27" s="12" t="s">
        <v>3083</v>
      </c>
      <c r="L27" s="12" t="s">
        <v>2796</v>
      </c>
      <c r="M27" s="4" t="s">
        <v>3386</v>
      </c>
    </row>
    <row r="28" customFormat="false" ht="35.05" hidden="false" customHeight="false" outlineLevel="0" collapsed="false">
      <c r="A28" s="4" t="s">
        <v>3387</v>
      </c>
      <c r="B28" s="12" t="s">
        <v>2764</v>
      </c>
      <c r="C28" s="4" t="s">
        <v>3388</v>
      </c>
      <c r="D28" s="12" t="s">
        <v>2793</v>
      </c>
      <c r="E28" s="12" t="s">
        <v>2484</v>
      </c>
      <c r="F28" s="29" t="n">
        <v>1</v>
      </c>
      <c r="G28" s="29" t="n">
        <v>2</v>
      </c>
      <c r="H28" s="19" t="n">
        <v>5000</v>
      </c>
      <c r="I28" s="23" t="n">
        <f aca="false">F28*G28*H28</f>
        <v>10000</v>
      </c>
      <c r="J28" s="12" t="s">
        <v>2794</v>
      </c>
      <c r="K28" s="12" t="s">
        <v>2799</v>
      </c>
      <c r="L28" s="12" t="s">
        <v>2796</v>
      </c>
      <c r="M28" s="4" t="s">
        <v>3389</v>
      </c>
    </row>
    <row r="29" customFormat="false" ht="23.85" hidden="false" customHeight="false" outlineLevel="0" collapsed="false">
      <c r="A29" s="4" t="s">
        <v>3383</v>
      </c>
      <c r="B29" s="12" t="s">
        <v>2764</v>
      </c>
      <c r="C29" s="4" t="s">
        <v>2801</v>
      </c>
      <c r="D29" s="12" t="s">
        <v>2793</v>
      </c>
      <c r="E29" s="12" t="s">
        <v>2484</v>
      </c>
      <c r="F29" s="29" t="n">
        <v>1</v>
      </c>
      <c r="G29" s="29" t="n">
        <v>2</v>
      </c>
      <c r="H29" s="19" t="n">
        <v>5500</v>
      </c>
      <c r="I29" s="23" t="n">
        <f aca="false">F29*G29*H29</f>
        <v>11000</v>
      </c>
      <c r="J29" s="12" t="s">
        <v>2794</v>
      </c>
      <c r="K29" s="12" t="s">
        <v>2795</v>
      </c>
      <c r="L29" s="12" t="s">
        <v>2796</v>
      </c>
      <c r="M29" s="4"/>
    </row>
    <row r="30" customFormat="false" ht="23.85" hidden="false" customHeight="false" outlineLevel="0" collapsed="false">
      <c r="A30" s="4" t="s">
        <v>3383</v>
      </c>
      <c r="B30" s="12" t="s">
        <v>2764</v>
      </c>
      <c r="C30" s="4" t="s">
        <v>3390</v>
      </c>
      <c r="D30" s="12" t="s">
        <v>2808</v>
      </c>
      <c r="E30" s="12" t="s">
        <v>2477</v>
      </c>
      <c r="F30" s="29" t="n">
        <v>6</v>
      </c>
      <c r="G30" s="29" t="n">
        <v>1</v>
      </c>
      <c r="H30" s="19" t="n">
        <v>1200</v>
      </c>
      <c r="I30" s="23" t="n">
        <f aca="false">F30*G30*H30</f>
        <v>7200</v>
      </c>
      <c r="J30" s="12" t="s">
        <v>3391</v>
      </c>
      <c r="K30" s="12" t="s">
        <v>2805</v>
      </c>
      <c r="L30" s="12"/>
      <c r="M30" s="4" t="s">
        <v>3392</v>
      </c>
    </row>
    <row r="31" customFormat="false" ht="23.85" hidden="false" customHeight="false" outlineLevel="0" collapsed="false">
      <c r="A31" s="4" t="s">
        <v>3383</v>
      </c>
      <c r="B31" s="12" t="s">
        <v>2764</v>
      </c>
      <c r="C31" s="4" t="s">
        <v>3393</v>
      </c>
      <c r="D31" s="12" t="s">
        <v>2804</v>
      </c>
      <c r="E31" s="12" t="s">
        <v>2597</v>
      </c>
      <c r="F31" s="29" t="n">
        <v>3</v>
      </c>
      <c r="G31" s="29" t="n">
        <v>1</v>
      </c>
      <c r="H31" s="19" t="n">
        <v>1000</v>
      </c>
      <c r="I31" s="23" t="n">
        <f aca="false">F31*G31*H31</f>
        <v>3000</v>
      </c>
      <c r="J31" s="12" t="s">
        <v>2794</v>
      </c>
      <c r="K31" s="12" t="s">
        <v>2805</v>
      </c>
      <c r="L31" s="12"/>
      <c r="M31" s="4" t="s">
        <v>3394</v>
      </c>
    </row>
    <row r="32" customFormat="false" ht="23.85" hidden="false" customHeight="false" outlineLevel="0" collapsed="false">
      <c r="A32" s="4" t="s">
        <v>3383</v>
      </c>
      <c r="B32" s="12" t="s">
        <v>2765</v>
      </c>
      <c r="C32" s="4" t="s">
        <v>3151</v>
      </c>
      <c r="D32" s="12" t="s">
        <v>2793</v>
      </c>
      <c r="E32" s="12" t="s">
        <v>2484</v>
      </c>
      <c r="F32" s="29" t="n">
        <v>1</v>
      </c>
      <c r="G32" s="29" t="n">
        <v>4</v>
      </c>
      <c r="H32" s="19" t="n">
        <v>6500</v>
      </c>
      <c r="I32" s="23" t="n">
        <f aca="false">F32*G32*H32</f>
        <v>26000</v>
      </c>
      <c r="J32" s="12" t="s">
        <v>2794</v>
      </c>
      <c r="K32" s="12" t="s">
        <v>2795</v>
      </c>
      <c r="L32" s="12" t="s">
        <v>2796</v>
      </c>
      <c r="M32" s="4" t="s">
        <v>3395</v>
      </c>
    </row>
    <row r="33" customFormat="false" ht="23.85" hidden="false" customHeight="false" outlineLevel="0" collapsed="false">
      <c r="A33" s="4" t="s">
        <v>3383</v>
      </c>
      <c r="B33" s="12" t="s">
        <v>2765</v>
      </c>
      <c r="C33" s="4" t="s">
        <v>3385</v>
      </c>
      <c r="D33" s="12" t="s">
        <v>2793</v>
      </c>
      <c r="E33" s="12" t="s">
        <v>2484</v>
      </c>
      <c r="F33" s="29" t="n">
        <v>1</v>
      </c>
      <c r="G33" s="29" t="n">
        <v>4</v>
      </c>
      <c r="H33" s="19" t="n">
        <v>5000</v>
      </c>
      <c r="I33" s="23" t="n">
        <f aca="false">F33*G33*H33</f>
        <v>20000</v>
      </c>
      <c r="J33" s="12" t="s">
        <v>2794</v>
      </c>
      <c r="K33" s="12" t="s">
        <v>3083</v>
      </c>
      <c r="L33" s="12" t="s">
        <v>2796</v>
      </c>
      <c r="M33" s="4" t="s">
        <v>3396</v>
      </c>
    </row>
    <row r="34" customFormat="false" ht="23.85" hidden="false" customHeight="false" outlineLevel="0" collapsed="false">
      <c r="A34" s="4" t="s">
        <v>3383</v>
      </c>
      <c r="B34" s="12" t="s">
        <v>2765</v>
      </c>
      <c r="C34" s="4" t="s">
        <v>2801</v>
      </c>
      <c r="D34" s="12" t="s">
        <v>2793</v>
      </c>
      <c r="E34" s="12" t="s">
        <v>2484</v>
      </c>
      <c r="F34" s="29" t="n">
        <v>1</v>
      </c>
      <c r="G34" s="29" t="n">
        <v>4</v>
      </c>
      <c r="H34" s="19" t="n">
        <v>5500</v>
      </c>
      <c r="I34" s="23" t="n">
        <f aca="false">F34*G34*H34</f>
        <v>22000</v>
      </c>
      <c r="J34" s="12" t="s">
        <v>2794</v>
      </c>
      <c r="K34" s="12" t="s">
        <v>2795</v>
      </c>
      <c r="L34" s="12" t="s">
        <v>2796</v>
      </c>
      <c r="M34" s="4"/>
    </row>
    <row r="35" customFormat="false" ht="23.85" hidden="false" customHeight="false" outlineLevel="0" collapsed="false">
      <c r="A35" s="4" t="s">
        <v>3383</v>
      </c>
      <c r="B35" s="12" t="s">
        <v>2765</v>
      </c>
      <c r="C35" s="4" t="s">
        <v>2493</v>
      </c>
      <c r="D35" s="12" t="s">
        <v>2793</v>
      </c>
      <c r="E35" s="12" t="s">
        <v>2484</v>
      </c>
      <c r="F35" s="29" t="n">
        <v>1</v>
      </c>
      <c r="G35" s="29" t="n">
        <v>4</v>
      </c>
      <c r="H35" s="19" t="n">
        <v>3500</v>
      </c>
      <c r="I35" s="23" t="n">
        <f aca="false">F35*G35*H35</f>
        <v>14000</v>
      </c>
      <c r="J35" s="12" t="s">
        <v>3391</v>
      </c>
      <c r="K35" s="12" t="s">
        <v>2818</v>
      </c>
      <c r="L35" s="12" t="s">
        <v>2796</v>
      </c>
      <c r="M35" s="4" t="s">
        <v>3395</v>
      </c>
    </row>
    <row r="36" customFormat="false" ht="23.85" hidden="false" customHeight="false" outlineLevel="0" collapsed="false">
      <c r="A36" s="4" t="s">
        <v>3383</v>
      </c>
      <c r="B36" s="12" t="s">
        <v>2765</v>
      </c>
      <c r="C36" s="4" t="s">
        <v>3179</v>
      </c>
      <c r="D36" s="12" t="s">
        <v>2808</v>
      </c>
      <c r="E36" s="12" t="s">
        <v>2497</v>
      </c>
      <c r="F36" s="29" t="n">
        <v>3</v>
      </c>
      <c r="G36" s="29" t="n">
        <v>15</v>
      </c>
      <c r="H36" s="19" t="n">
        <v>450</v>
      </c>
      <c r="I36" s="23" t="n">
        <f aca="false">F36*G36*H36</f>
        <v>20250</v>
      </c>
      <c r="J36" s="12" t="s">
        <v>3391</v>
      </c>
      <c r="K36" s="12" t="s">
        <v>3180</v>
      </c>
      <c r="L36" s="12" t="s">
        <v>2796</v>
      </c>
      <c r="M36" s="4" t="s">
        <v>3397</v>
      </c>
    </row>
    <row r="37" customFormat="false" ht="35.05" hidden="false" customHeight="false" outlineLevel="0" collapsed="false">
      <c r="A37" s="4" t="s">
        <v>3383</v>
      </c>
      <c r="B37" s="12" t="s">
        <v>2765</v>
      </c>
      <c r="C37" s="4" t="s">
        <v>3398</v>
      </c>
      <c r="D37" s="12" t="s">
        <v>2855</v>
      </c>
      <c r="E37" s="12" t="s">
        <v>2516</v>
      </c>
      <c r="F37" s="29" t="n">
        <v>6</v>
      </c>
      <c r="G37" s="29" t="n">
        <v>1</v>
      </c>
      <c r="H37" s="19" t="n">
        <v>7341</v>
      </c>
      <c r="I37" s="23" t="n">
        <f aca="false">F37*G37*H37</f>
        <v>44046</v>
      </c>
      <c r="J37" s="12" t="s">
        <v>3391</v>
      </c>
      <c r="K37" s="12" t="s">
        <v>2805</v>
      </c>
      <c r="L37" s="12"/>
      <c r="M37" s="4" t="s">
        <v>3399</v>
      </c>
    </row>
    <row r="38" customFormat="false" ht="23.85" hidden="false" customHeight="false" outlineLevel="0" collapsed="false">
      <c r="A38" s="4" t="s">
        <v>3383</v>
      </c>
      <c r="B38" s="12" t="s">
        <v>2765</v>
      </c>
      <c r="C38" s="4" t="s">
        <v>3400</v>
      </c>
      <c r="D38" s="12" t="s">
        <v>2808</v>
      </c>
      <c r="E38" s="12" t="s">
        <v>2497</v>
      </c>
      <c r="F38" s="29" t="n">
        <v>2</v>
      </c>
      <c r="G38" s="29" t="n">
        <v>36</v>
      </c>
      <c r="H38" s="19" t="n">
        <v>300</v>
      </c>
      <c r="I38" s="23" t="n">
        <f aca="false">F38*G38*H38</f>
        <v>21600</v>
      </c>
      <c r="J38" s="12" t="s">
        <v>3391</v>
      </c>
      <c r="K38" s="12" t="s">
        <v>2870</v>
      </c>
      <c r="L38" s="12" t="s">
        <v>2796</v>
      </c>
      <c r="M38" s="4" t="s">
        <v>3401</v>
      </c>
    </row>
    <row r="39" customFormat="false" ht="23.85" hidden="false" customHeight="false" outlineLevel="0" collapsed="false">
      <c r="A39" s="4" t="s">
        <v>3383</v>
      </c>
      <c r="B39" s="12" t="s">
        <v>2765</v>
      </c>
      <c r="C39" s="4" t="s">
        <v>3402</v>
      </c>
      <c r="D39" s="12" t="s">
        <v>2808</v>
      </c>
      <c r="E39" s="12" t="s">
        <v>2528</v>
      </c>
      <c r="F39" s="29" t="n">
        <v>180</v>
      </c>
      <c r="G39" s="29" t="n">
        <v>1</v>
      </c>
      <c r="H39" s="19" t="n">
        <v>55</v>
      </c>
      <c r="I39" s="23" t="n">
        <f aca="false">F39*G39*H39</f>
        <v>9900</v>
      </c>
      <c r="J39" s="12" t="s">
        <v>3391</v>
      </c>
      <c r="K39" s="12" t="s">
        <v>2805</v>
      </c>
      <c r="L39" s="12"/>
      <c r="M39" s="4" t="s">
        <v>3403</v>
      </c>
    </row>
    <row r="40" customFormat="false" ht="23.85" hidden="false" customHeight="false" outlineLevel="0" collapsed="false">
      <c r="A40" s="4" t="s">
        <v>3383</v>
      </c>
      <c r="B40" s="12" t="s">
        <v>2765</v>
      </c>
      <c r="C40" s="4" t="s">
        <v>3404</v>
      </c>
      <c r="D40" s="12" t="s">
        <v>2808</v>
      </c>
      <c r="E40" s="12" t="s">
        <v>2528</v>
      </c>
      <c r="F40" s="29" t="n">
        <v>180</v>
      </c>
      <c r="G40" s="29" t="n">
        <v>1</v>
      </c>
      <c r="H40" s="19" t="n">
        <v>25</v>
      </c>
      <c r="I40" s="23" t="n">
        <f aca="false">F40*G40*H40</f>
        <v>4500</v>
      </c>
      <c r="J40" s="12" t="s">
        <v>3391</v>
      </c>
      <c r="K40" s="12" t="s">
        <v>2805</v>
      </c>
      <c r="L40" s="12"/>
      <c r="M40" s="4" t="s">
        <v>3405</v>
      </c>
    </row>
    <row r="41" customFormat="false" ht="23.85" hidden="false" customHeight="false" outlineLevel="0" collapsed="false">
      <c r="A41" s="4" t="s">
        <v>3383</v>
      </c>
      <c r="B41" s="12" t="s">
        <v>2765</v>
      </c>
      <c r="C41" s="4" t="s">
        <v>3406</v>
      </c>
      <c r="D41" s="12" t="s">
        <v>2808</v>
      </c>
      <c r="E41" s="12" t="s">
        <v>2528</v>
      </c>
      <c r="F41" s="29" t="n">
        <v>180</v>
      </c>
      <c r="G41" s="29" t="n">
        <v>1</v>
      </c>
      <c r="H41" s="19" t="n">
        <v>12</v>
      </c>
      <c r="I41" s="23" t="n">
        <f aca="false">F41*G41*H41</f>
        <v>2160</v>
      </c>
      <c r="J41" s="12" t="s">
        <v>3391</v>
      </c>
      <c r="K41" s="12" t="s">
        <v>2805</v>
      </c>
      <c r="L41" s="12"/>
      <c r="M41" s="4" t="s">
        <v>3407</v>
      </c>
    </row>
    <row r="42" customFormat="false" ht="23.85" hidden="false" customHeight="false" outlineLevel="0" collapsed="false">
      <c r="A42" s="4" t="s">
        <v>3383</v>
      </c>
      <c r="B42" s="12" t="s">
        <v>2765</v>
      </c>
      <c r="C42" s="4" t="s">
        <v>3408</v>
      </c>
      <c r="D42" s="12" t="s">
        <v>2808</v>
      </c>
      <c r="E42" s="12" t="s">
        <v>2497</v>
      </c>
      <c r="F42" s="29" t="n">
        <v>1</v>
      </c>
      <c r="G42" s="29" t="n">
        <v>24</v>
      </c>
      <c r="H42" s="19" t="n">
        <v>900</v>
      </c>
      <c r="I42" s="23" t="n">
        <f aca="false">F42*G42*H42</f>
        <v>21600</v>
      </c>
      <c r="J42" s="12" t="s">
        <v>3391</v>
      </c>
      <c r="K42" s="12" t="s">
        <v>2805</v>
      </c>
      <c r="L42" s="12"/>
      <c r="M42" s="4" t="s">
        <v>3409</v>
      </c>
    </row>
    <row r="43" customFormat="false" ht="23.85" hidden="false" customHeight="false" outlineLevel="0" collapsed="false">
      <c r="A43" s="4" t="s">
        <v>3383</v>
      </c>
      <c r="B43" s="12" t="s">
        <v>2765</v>
      </c>
      <c r="C43" s="4" t="s">
        <v>3410</v>
      </c>
      <c r="D43" s="12" t="s">
        <v>2808</v>
      </c>
      <c r="E43" s="12" t="s">
        <v>3411</v>
      </c>
      <c r="F43" s="29" t="n">
        <v>90</v>
      </c>
      <c r="G43" s="29" t="n">
        <v>1</v>
      </c>
      <c r="H43" s="19" t="n">
        <v>80</v>
      </c>
      <c r="I43" s="23" t="n">
        <f aca="false">F43*G43*H43</f>
        <v>7200</v>
      </c>
      <c r="J43" s="12" t="s">
        <v>3391</v>
      </c>
      <c r="K43" s="12" t="s">
        <v>2805</v>
      </c>
      <c r="L43" s="12"/>
      <c r="M43" s="4" t="s">
        <v>3412</v>
      </c>
    </row>
    <row r="44" customFormat="false" ht="23.85" hidden="false" customHeight="false" outlineLevel="0" collapsed="false">
      <c r="A44" s="4" t="s">
        <v>3383</v>
      </c>
      <c r="B44" s="12" t="s">
        <v>2765</v>
      </c>
      <c r="C44" s="4" t="s">
        <v>3413</v>
      </c>
      <c r="D44" s="12" t="s">
        <v>2882</v>
      </c>
      <c r="E44" s="12" t="s">
        <v>2601</v>
      </c>
      <c r="F44" s="29" t="n">
        <v>6</v>
      </c>
      <c r="G44" s="29" t="n">
        <v>1</v>
      </c>
      <c r="H44" s="19" t="n">
        <v>600</v>
      </c>
      <c r="I44" s="23" t="n">
        <f aca="false">F44*G44*H44</f>
        <v>3600</v>
      </c>
      <c r="J44" s="12" t="s">
        <v>3391</v>
      </c>
      <c r="K44" s="12" t="s">
        <v>2805</v>
      </c>
      <c r="L44" s="12"/>
      <c r="M44" s="4"/>
    </row>
    <row r="45" customFormat="false" ht="23.85" hidden="false" customHeight="false" outlineLevel="0" collapsed="false">
      <c r="A45" s="4" t="s">
        <v>3383</v>
      </c>
      <c r="B45" s="12" t="s">
        <v>2765</v>
      </c>
      <c r="C45" s="4" t="s">
        <v>3414</v>
      </c>
      <c r="D45" s="12" t="s">
        <v>2808</v>
      </c>
      <c r="E45" s="12" t="s">
        <v>2497</v>
      </c>
      <c r="F45" s="29" t="n">
        <v>1</v>
      </c>
      <c r="G45" s="29" t="n">
        <v>15</v>
      </c>
      <c r="H45" s="19" t="n">
        <v>1000</v>
      </c>
      <c r="I45" s="23" t="n">
        <f aca="false">F45*G45*H45</f>
        <v>15000</v>
      </c>
      <c r="J45" s="12" t="s">
        <v>3391</v>
      </c>
      <c r="K45" s="12" t="s">
        <v>2810</v>
      </c>
      <c r="L45" s="12" t="s">
        <v>2796</v>
      </c>
      <c r="M45" s="4" t="s">
        <v>3415</v>
      </c>
    </row>
    <row r="46" customFormat="false" ht="23.85" hidden="false" customHeight="false" outlineLevel="0" collapsed="false">
      <c r="A46" s="4" t="s">
        <v>3383</v>
      </c>
      <c r="B46" s="12" t="s">
        <v>2765</v>
      </c>
      <c r="C46" s="4" t="s">
        <v>3416</v>
      </c>
      <c r="D46" s="12" t="s">
        <v>2882</v>
      </c>
      <c r="E46" s="12" t="s">
        <v>2601</v>
      </c>
      <c r="F46" s="29" t="n">
        <v>3</v>
      </c>
      <c r="G46" s="29" t="n">
        <v>1</v>
      </c>
      <c r="H46" s="19" t="n">
        <v>2500</v>
      </c>
      <c r="I46" s="23" t="n">
        <f aca="false">F46*G46*H46</f>
        <v>7500</v>
      </c>
      <c r="J46" s="12" t="s">
        <v>3391</v>
      </c>
      <c r="K46" s="12" t="s">
        <v>3327</v>
      </c>
      <c r="L46" s="12" t="s">
        <v>2796</v>
      </c>
      <c r="M46" s="4" t="s">
        <v>3417</v>
      </c>
    </row>
    <row r="47" customFormat="false" ht="23.85" hidden="false" customHeight="false" outlineLevel="0" collapsed="false">
      <c r="A47" s="4" t="s">
        <v>3328</v>
      </c>
      <c r="B47" s="12" t="s">
        <v>2765</v>
      </c>
      <c r="C47" s="4" t="s">
        <v>3418</v>
      </c>
      <c r="D47" s="12" t="s">
        <v>2808</v>
      </c>
      <c r="E47" s="12" t="s">
        <v>2683</v>
      </c>
      <c r="F47" s="29" t="n">
        <v>1</v>
      </c>
      <c r="G47" s="29" t="n">
        <v>1</v>
      </c>
      <c r="H47" s="19" t="n">
        <v>5000</v>
      </c>
      <c r="I47" s="23" t="n">
        <f aca="false">F47*G47*H47</f>
        <v>5000</v>
      </c>
      <c r="J47" s="12" t="s">
        <v>3391</v>
      </c>
      <c r="K47" s="12" t="s">
        <v>2845</v>
      </c>
      <c r="L47" s="12" t="s">
        <v>2796</v>
      </c>
      <c r="M47" s="4"/>
    </row>
    <row r="48" customFormat="false" ht="23.85" hidden="false" customHeight="false" outlineLevel="0" collapsed="false">
      <c r="A48" s="4" t="s">
        <v>3387</v>
      </c>
      <c r="B48" s="12" t="s">
        <v>2765</v>
      </c>
      <c r="C48" s="4" t="s">
        <v>3419</v>
      </c>
      <c r="D48" s="12" t="s">
        <v>2793</v>
      </c>
      <c r="E48" s="12" t="s">
        <v>2484</v>
      </c>
      <c r="F48" s="29" t="n">
        <v>1</v>
      </c>
      <c r="G48" s="29" t="n">
        <v>4</v>
      </c>
      <c r="H48" s="19" t="n">
        <v>5000</v>
      </c>
      <c r="I48" s="23" t="n">
        <f aca="false">F48*G48*H48</f>
        <v>20000</v>
      </c>
      <c r="J48" s="12" t="s">
        <v>3391</v>
      </c>
      <c r="K48" s="12" t="s">
        <v>2799</v>
      </c>
      <c r="L48" s="12" t="s">
        <v>2796</v>
      </c>
      <c r="M48" s="4" t="s">
        <v>3395</v>
      </c>
    </row>
    <row r="49" customFormat="false" ht="23.85" hidden="false" customHeight="false" outlineLevel="0" collapsed="false">
      <c r="A49" s="4" t="s">
        <v>3387</v>
      </c>
      <c r="B49" s="12" t="s">
        <v>2765</v>
      </c>
      <c r="C49" s="4" t="s">
        <v>3420</v>
      </c>
      <c r="D49" s="12" t="s">
        <v>2793</v>
      </c>
      <c r="E49" s="12" t="s">
        <v>2484</v>
      </c>
      <c r="F49" s="29" t="n">
        <v>3</v>
      </c>
      <c r="G49" s="29" t="n">
        <v>4</v>
      </c>
      <c r="H49" s="19" t="n">
        <v>4500</v>
      </c>
      <c r="I49" s="23" t="n">
        <f aca="false">F49*G49*H49</f>
        <v>54000</v>
      </c>
      <c r="J49" s="12" t="s">
        <v>3391</v>
      </c>
      <c r="K49" s="12" t="s">
        <v>2805</v>
      </c>
      <c r="L49" s="12"/>
      <c r="M49" s="4" t="s">
        <v>3421</v>
      </c>
    </row>
    <row r="50" customFormat="false" ht="23.85" hidden="false" customHeight="false" outlineLevel="0" collapsed="false">
      <c r="A50" s="4" t="s">
        <v>3387</v>
      </c>
      <c r="B50" s="12" t="s">
        <v>2765</v>
      </c>
      <c r="C50" s="4" t="s">
        <v>3422</v>
      </c>
      <c r="D50" s="12" t="s">
        <v>2808</v>
      </c>
      <c r="E50" s="12" t="s">
        <v>2831</v>
      </c>
      <c r="F50" s="29" t="n">
        <v>75</v>
      </c>
      <c r="G50" s="29" t="n">
        <v>1</v>
      </c>
      <c r="H50" s="19" t="n">
        <v>150</v>
      </c>
      <c r="I50" s="23" t="n">
        <f aca="false">F50*G50*H50</f>
        <v>11250</v>
      </c>
      <c r="J50" s="12" t="s">
        <v>3391</v>
      </c>
      <c r="K50" s="12" t="s">
        <v>2805</v>
      </c>
      <c r="L50" s="12"/>
      <c r="M50" s="4" t="s">
        <v>3423</v>
      </c>
    </row>
    <row r="51" customFormat="false" ht="23.85" hidden="false" customHeight="false" outlineLevel="0" collapsed="false">
      <c r="A51" s="4" t="s">
        <v>3387</v>
      </c>
      <c r="B51" s="12" t="s">
        <v>2765</v>
      </c>
      <c r="C51" s="4" t="s">
        <v>2840</v>
      </c>
      <c r="D51" s="12" t="s">
        <v>2808</v>
      </c>
      <c r="E51" s="12" t="s">
        <v>2477</v>
      </c>
      <c r="F51" s="29" t="n">
        <v>1200</v>
      </c>
      <c r="G51" s="29" t="n">
        <v>1</v>
      </c>
      <c r="H51" s="19" t="n">
        <v>12</v>
      </c>
      <c r="I51" s="23" t="n">
        <f aca="false">F51*G51*H51</f>
        <v>14400</v>
      </c>
      <c r="J51" s="12" t="s">
        <v>3391</v>
      </c>
      <c r="K51" s="12" t="s">
        <v>2805</v>
      </c>
      <c r="L51" s="12"/>
      <c r="M51" s="4" t="s">
        <v>3424</v>
      </c>
    </row>
    <row r="52" customFormat="false" ht="23.85" hidden="false" customHeight="false" outlineLevel="0" collapsed="false">
      <c r="A52" s="4" t="s">
        <v>3387</v>
      </c>
      <c r="B52" s="12" t="s">
        <v>2765</v>
      </c>
      <c r="C52" s="4" t="s">
        <v>3425</v>
      </c>
      <c r="D52" s="12" t="s">
        <v>2808</v>
      </c>
      <c r="E52" s="12" t="s">
        <v>3426</v>
      </c>
      <c r="F52" s="29" t="n">
        <v>2400</v>
      </c>
      <c r="G52" s="29" t="n">
        <v>1</v>
      </c>
      <c r="H52" s="19" t="n">
        <v>5</v>
      </c>
      <c r="I52" s="23" t="n">
        <f aca="false">F52*G52*H52</f>
        <v>12000</v>
      </c>
      <c r="J52" s="12" t="s">
        <v>3391</v>
      </c>
      <c r="K52" s="12" t="s">
        <v>2805</v>
      </c>
      <c r="L52" s="12"/>
      <c r="M52" s="4" t="s">
        <v>3427</v>
      </c>
    </row>
    <row r="53" customFormat="false" ht="23.85" hidden="false" customHeight="false" outlineLevel="0" collapsed="false">
      <c r="A53" s="4" t="s">
        <v>3387</v>
      </c>
      <c r="B53" s="12" t="s">
        <v>2765</v>
      </c>
      <c r="C53" s="4" t="s">
        <v>3428</v>
      </c>
      <c r="D53" s="12" t="s">
        <v>2808</v>
      </c>
      <c r="E53" s="12" t="s">
        <v>2497</v>
      </c>
      <c r="F53" s="29" t="n">
        <v>1</v>
      </c>
      <c r="G53" s="29" t="n">
        <v>3</v>
      </c>
      <c r="H53" s="19" t="n">
        <v>3000</v>
      </c>
      <c r="I53" s="23" t="n">
        <f aca="false">F53*G53*H53</f>
        <v>9000</v>
      </c>
      <c r="J53" s="12" t="s">
        <v>3391</v>
      </c>
      <c r="K53" s="12" t="s">
        <v>2828</v>
      </c>
      <c r="L53" s="12" t="s">
        <v>2796</v>
      </c>
      <c r="M53" s="4" t="s">
        <v>3429</v>
      </c>
    </row>
    <row r="54" customFormat="false" ht="23.85" hidden="false" customHeight="false" outlineLevel="0" collapsed="false">
      <c r="A54" s="4" t="s">
        <v>3387</v>
      </c>
      <c r="B54" s="12" t="s">
        <v>2765</v>
      </c>
      <c r="C54" s="4" t="s">
        <v>3430</v>
      </c>
      <c r="D54" s="12" t="s">
        <v>2808</v>
      </c>
      <c r="E54" s="12" t="s">
        <v>2477</v>
      </c>
      <c r="F54" s="29" t="n">
        <v>75</v>
      </c>
      <c r="G54" s="29" t="n">
        <v>1</v>
      </c>
      <c r="H54" s="19" t="n">
        <v>8</v>
      </c>
      <c r="I54" s="23" t="n">
        <f aca="false">F54*G54*H54</f>
        <v>600</v>
      </c>
      <c r="J54" s="12" t="s">
        <v>3391</v>
      </c>
      <c r="K54" s="12" t="s">
        <v>2805</v>
      </c>
      <c r="L54" s="12"/>
      <c r="M54" s="4"/>
    </row>
    <row r="55" customFormat="false" ht="23.85" hidden="false" customHeight="false" outlineLevel="0" collapsed="false">
      <c r="A55" s="4" t="s">
        <v>3431</v>
      </c>
      <c r="B55" s="12" t="s">
        <v>2765</v>
      </c>
      <c r="C55" s="4" t="s">
        <v>3432</v>
      </c>
      <c r="D55" s="12" t="s">
        <v>2855</v>
      </c>
      <c r="E55" s="12" t="s">
        <v>2516</v>
      </c>
      <c r="F55" s="29" t="n">
        <v>1</v>
      </c>
      <c r="G55" s="29" t="n">
        <v>1</v>
      </c>
      <c r="H55" s="19" t="n">
        <v>5000</v>
      </c>
      <c r="I55" s="23" t="n">
        <f aca="false">F55*G55*H55</f>
        <v>5000</v>
      </c>
      <c r="J55" s="12" t="s">
        <v>2794</v>
      </c>
      <c r="K55" s="12" t="s">
        <v>2858</v>
      </c>
      <c r="L55" s="12" t="s">
        <v>2796</v>
      </c>
      <c r="M55" s="4"/>
    </row>
    <row r="56" customFormat="false" ht="23.85" hidden="false" customHeight="false" outlineLevel="0" collapsed="false">
      <c r="A56" s="4" t="s">
        <v>3431</v>
      </c>
      <c r="B56" s="12" t="s">
        <v>2765</v>
      </c>
      <c r="C56" s="4" t="s">
        <v>3318</v>
      </c>
      <c r="D56" s="12" t="s">
        <v>2808</v>
      </c>
      <c r="E56" s="12" t="s">
        <v>2497</v>
      </c>
      <c r="F56" s="29" t="n">
        <v>1</v>
      </c>
      <c r="G56" s="29" t="n">
        <v>1</v>
      </c>
      <c r="H56" s="19" t="n">
        <v>2500</v>
      </c>
      <c r="I56" s="23" t="n">
        <f aca="false">F56*G56*H56</f>
        <v>2500</v>
      </c>
      <c r="J56" s="12" t="s">
        <v>2794</v>
      </c>
      <c r="K56" s="12" t="s">
        <v>2863</v>
      </c>
      <c r="L56" s="12" t="s">
        <v>2796</v>
      </c>
      <c r="M56" s="4"/>
    </row>
    <row r="57" customFormat="false" ht="23.85" hidden="false" customHeight="false" outlineLevel="0" collapsed="false">
      <c r="A57" s="4" t="s">
        <v>3431</v>
      </c>
      <c r="B57" s="12" t="s">
        <v>2765</v>
      </c>
      <c r="C57" s="4" t="s">
        <v>3433</v>
      </c>
      <c r="D57" s="12" t="s">
        <v>2808</v>
      </c>
      <c r="E57" s="12" t="s">
        <v>2497</v>
      </c>
      <c r="F57" s="29" t="n">
        <v>3</v>
      </c>
      <c r="G57" s="29" t="n">
        <v>1</v>
      </c>
      <c r="H57" s="19" t="n">
        <v>1100</v>
      </c>
      <c r="I57" s="23" t="n">
        <f aca="false">F57*G57*H57</f>
        <v>3300</v>
      </c>
      <c r="J57" s="12" t="s">
        <v>2794</v>
      </c>
      <c r="K57" s="12" t="s">
        <v>3434</v>
      </c>
      <c r="L57" s="12" t="s">
        <v>2796</v>
      </c>
      <c r="M57" s="4"/>
    </row>
    <row r="58" customFormat="false" ht="23.85" hidden="false" customHeight="false" outlineLevel="0" collapsed="false">
      <c r="A58" s="4" t="s">
        <v>3431</v>
      </c>
      <c r="B58" s="12" t="s">
        <v>2765</v>
      </c>
      <c r="C58" s="4" t="s">
        <v>3321</v>
      </c>
      <c r="D58" s="12" t="s">
        <v>2808</v>
      </c>
      <c r="E58" s="12" t="s">
        <v>2497</v>
      </c>
      <c r="F58" s="29" t="n">
        <v>1</v>
      </c>
      <c r="G58" s="29" t="n">
        <v>1</v>
      </c>
      <c r="H58" s="19" t="n">
        <v>700</v>
      </c>
      <c r="I58" s="23" t="n">
        <f aca="false">F58*G58*H58</f>
        <v>700</v>
      </c>
      <c r="J58" s="12" t="s">
        <v>2794</v>
      </c>
      <c r="K58" s="12" t="s">
        <v>2866</v>
      </c>
      <c r="L58" s="12" t="s">
        <v>2796</v>
      </c>
      <c r="M58" s="4"/>
    </row>
    <row r="59" customFormat="false" ht="23.85" hidden="false" customHeight="false" outlineLevel="0" collapsed="false">
      <c r="A59" s="4" t="s">
        <v>3431</v>
      </c>
      <c r="B59" s="12" t="s">
        <v>2765</v>
      </c>
      <c r="C59" s="4" t="s">
        <v>3435</v>
      </c>
      <c r="D59" s="12" t="s">
        <v>2808</v>
      </c>
      <c r="E59" s="12" t="s">
        <v>2497</v>
      </c>
      <c r="F59" s="29" t="n">
        <v>1</v>
      </c>
      <c r="G59" s="29" t="n">
        <v>3</v>
      </c>
      <c r="H59" s="19" t="n">
        <v>3000</v>
      </c>
      <c r="I59" s="23" t="n">
        <f aca="false">F59*G59*H59</f>
        <v>9000</v>
      </c>
      <c r="J59" s="12" t="s">
        <v>3391</v>
      </c>
      <c r="K59" s="12" t="s">
        <v>2828</v>
      </c>
      <c r="L59" s="12" t="s">
        <v>2796</v>
      </c>
      <c r="M59" s="4"/>
    </row>
    <row r="60" customFormat="false" ht="23.85" hidden="false" customHeight="false" outlineLevel="0" collapsed="false">
      <c r="A60" s="4" t="s">
        <v>3431</v>
      </c>
      <c r="B60" s="12" t="s">
        <v>2765</v>
      </c>
      <c r="C60" s="4" t="s">
        <v>3436</v>
      </c>
      <c r="D60" s="12" t="s">
        <v>2808</v>
      </c>
      <c r="E60" s="12" t="s">
        <v>2477</v>
      </c>
      <c r="F60" s="29" t="n">
        <v>250</v>
      </c>
      <c r="G60" s="29" t="n">
        <v>1</v>
      </c>
      <c r="H60" s="19" t="n">
        <v>12</v>
      </c>
      <c r="I60" s="23" t="n">
        <f aca="false">F60*G60*H60</f>
        <v>3000</v>
      </c>
      <c r="J60" s="12" t="s">
        <v>2794</v>
      </c>
      <c r="K60" s="12" t="s">
        <v>2805</v>
      </c>
      <c r="L60" s="12"/>
      <c r="M60" s="4" t="s">
        <v>3437</v>
      </c>
    </row>
    <row r="61" customFormat="false" ht="23.85" hidden="false" customHeight="false" outlineLevel="0" collapsed="false">
      <c r="A61" s="4" t="s">
        <v>3431</v>
      </c>
      <c r="B61" s="12" t="s">
        <v>2765</v>
      </c>
      <c r="C61" s="4" t="s">
        <v>2613</v>
      </c>
      <c r="D61" s="12" t="s">
        <v>2808</v>
      </c>
      <c r="E61" s="12" t="s">
        <v>2497</v>
      </c>
      <c r="F61" s="29" t="n">
        <v>1</v>
      </c>
      <c r="G61" s="29" t="n">
        <v>12</v>
      </c>
      <c r="H61" s="19" t="n">
        <v>900</v>
      </c>
      <c r="I61" s="23" t="n">
        <f aca="false">F61*G61*H61</f>
        <v>10800</v>
      </c>
      <c r="J61" s="12" t="s">
        <v>3391</v>
      </c>
      <c r="K61" s="12" t="s">
        <v>2848</v>
      </c>
      <c r="L61" s="12" t="s">
        <v>2796</v>
      </c>
      <c r="M61" s="4" t="s">
        <v>3438</v>
      </c>
    </row>
    <row r="62" customFormat="false" ht="23.85" hidden="false" customHeight="false" outlineLevel="0" collapsed="false">
      <c r="A62" s="4" t="s">
        <v>3431</v>
      </c>
      <c r="B62" s="12" t="s">
        <v>2765</v>
      </c>
      <c r="C62" s="4" t="s">
        <v>3333</v>
      </c>
      <c r="D62" s="12" t="s">
        <v>2808</v>
      </c>
      <c r="E62" s="12" t="s">
        <v>2497</v>
      </c>
      <c r="F62" s="29" t="n">
        <v>1</v>
      </c>
      <c r="G62" s="29" t="n">
        <v>6</v>
      </c>
      <c r="H62" s="19" t="n">
        <v>1800</v>
      </c>
      <c r="I62" s="23" t="n">
        <f aca="false">F62*G62*H62</f>
        <v>10800</v>
      </c>
      <c r="J62" s="12" t="s">
        <v>3391</v>
      </c>
      <c r="K62" s="12" t="s">
        <v>2851</v>
      </c>
      <c r="L62" s="12" t="s">
        <v>2796</v>
      </c>
      <c r="M62" s="4"/>
    </row>
    <row r="63" customFormat="false" ht="23.85" hidden="false" customHeight="false" outlineLevel="0" collapsed="false">
      <c r="A63" s="4" t="s">
        <v>3383</v>
      </c>
      <c r="B63" s="12" t="s">
        <v>2766</v>
      </c>
      <c r="C63" s="4" t="s">
        <v>3439</v>
      </c>
      <c r="D63" s="12" t="s">
        <v>2793</v>
      </c>
      <c r="E63" s="12" t="s">
        <v>2484</v>
      </c>
      <c r="F63" s="29" t="n">
        <v>1</v>
      </c>
      <c r="G63" s="29" t="n">
        <v>2</v>
      </c>
      <c r="H63" s="19" t="n">
        <v>6500</v>
      </c>
      <c r="I63" s="23" t="n">
        <f aca="false">F63*G63*H63</f>
        <v>13000</v>
      </c>
      <c r="J63" s="12" t="s">
        <v>2794</v>
      </c>
      <c r="K63" s="12" t="s">
        <v>2795</v>
      </c>
      <c r="L63" s="12" t="s">
        <v>2796</v>
      </c>
      <c r="M63" s="4" t="s">
        <v>3440</v>
      </c>
    </row>
    <row r="64" customFormat="false" ht="23.85" hidden="false" customHeight="false" outlineLevel="0" collapsed="false">
      <c r="A64" s="4" t="s">
        <v>3383</v>
      </c>
      <c r="B64" s="12" t="s">
        <v>2766</v>
      </c>
      <c r="C64" s="4" t="s">
        <v>3441</v>
      </c>
      <c r="D64" s="12" t="s">
        <v>2793</v>
      </c>
      <c r="E64" s="12" t="s">
        <v>2484</v>
      </c>
      <c r="F64" s="29" t="n">
        <v>1</v>
      </c>
      <c r="G64" s="29" t="n">
        <v>2</v>
      </c>
      <c r="H64" s="19" t="n">
        <v>5500</v>
      </c>
      <c r="I64" s="23" t="n">
        <f aca="false">F64*G64*H64</f>
        <v>11000</v>
      </c>
      <c r="J64" s="12" t="s">
        <v>2794</v>
      </c>
      <c r="K64" s="12" t="s">
        <v>2795</v>
      </c>
      <c r="L64" s="12" t="s">
        <v>2796</v>
      </c>
      <c r="M64" s="4"/>
    </row>
    <row r="65" customFormat="false" ht="23.85" hidden="false" customHeight="false" outlineLevel="0" collapsed="false">
      <c r="A65" s="4" t="s">
        <v>3431</v>
      </c>
      <c r="B65" s="12" t="s">
        <v>2766</v>
      </c>
      <c r="C65" s="4" t="s">
        <v>3442</v>
      </c>
      <c r="D65" s="12" t="s">
        <v>2804</v>
      </c>
      <c r="E65" s="12" t="s">
        <v>2597</v>
      </c>
      <c r="F65" s="29" t="n">
        <v>1</v>
      </c>
      <c r="G65" s="29" t="n">
        <v>1</v>
      </c>
      <c r="H65" s="19" t="n">
        <v>10870</v>
      </c>
      <c r="I65" s="23" t="n">
        <f aca="false">F65*G65*H65</f>
        <v>10870</v>
      </c>
      <c r="J65" s="12" t="s">
        <v>2794</v>
      </c>
      <c r="K65" s="12" t="s">
        <v>2891</v>
      </c>
      <c r="L65" s="12" t="s">
        <v>3221</v>
      </c>
      <c r="M65" s="4" t="s">
        <v>3443</v>
      </c>
    </row>
    <row r="66" customFormat="false" ht="23.85" hidden="false" customHeight="false" outlineLevel="0" collapsed="false">
      <c r="A66" s="4" t="s">
        <v>3383</v>
      </c>
      <c r="B66" s="12" t="s">
        <v>2766</v>
      </c>
      <c r="C66" s="4" t="s">
        <v>3444</v>
      </c>
      <c r="D66" s="12" t="s">
        <v>2804</v>
      </c>
      <c r="E66" s="12" t="s">
        <v>2597</v>
      </c>
      <c r="F66" s="29" t="n">
        <v>1</v>
      </c>
      <c r="G66" s="29" t="n">
        <v>1</v>
      </c>
      <c r="H66" s="19" t="n">
        <v>3000</v>
      </c>
      <c r="I66" s="23" t="n">
        <f aca="false">F66*G66*H66</f>
        <v>3000</v>
      </c>
      <c r="J66" s="12" t="s">
        <v>2794</v>
      </c>
      <c r="K66" s="12" t="s">
        <v>2805</v>
      </c>
      <c r="L66" s="12"/>
      <c r="M66" s="4" t="s">
        <v>3445</v>
      </c>
    </row>
    <row r="67" customFormat="false" ht="57.45" hidden="false" customHeight="false" outlineLevel="0" collapsed="false">
      <c r="A67" s="4" t="s">
        <v>3328</v>
      </c>
      <c r="B67" s="12" t="s">
        <v>2768</v>
      </c>
      <c r="C67" s="4" t="s">
        <v>2911</v>
      </c>
      <c r="D67" s="12" t="s">
        <v>2882</v>
      </c>
      <c r="E67" s="12" t="s">
        <v>2601</v>
      </c>
      <c r="F67" s="29" t="n">
        <v>1</v>
      </c>
      <c r="G67" s="29" t="n">
        <v>1</v>
      </c>
      <c r="H67" s="19" t="n">
        <v>29970</v>
      </c>
      <c r="I67" s="23" t="n">
        <f aca="false">F67*G67*H67</f>
        <v>29970</v>
      </c>
      <c r="J67" s="12" t="s">
        <v>2794</v>
      </c>
      <c r="K67" s="12" t="s">
        <v>2805</v>
      </c>
      <c r="L67" s="12"/>
      <c r="M67" s="4" t="s">
        <v>3446</v>
      </c>
    </row>
    <row r="68" customFormat="false" ht="15" hidden="false" customHeight="false" outlineLevel="0" collapsed="false">
      <c r="A68" s="4" t="s">
        <v>3328</v>
      </c>
      <c r="B68" s="12" t="s">
        <v>2767</v>
      </c>
      <c r="C68" s="4" t="s">
        <v>2893</v>
      </c>
      <c r="D68" s="12" t="s">
        <v>2793</v>
      </c>
      <c r="E68" s="12" t="s">
        <v>2484</v>
      </c>
      <c r="F68" s="29" t="n">
        <v>1</v>
      </c>
      <c r="G68" s="29" t="n">
        <v>9</v>
      </c>
      <c r="H68" s="19" t="n">
        <v>1500</v>
      </c>
      <c r="I68" s="23" t="n">
        <f aca="false">F68*G68*H68</f>
        <v>13500</v>
      </c>
      <c r="J68" s="12" t="s">
        <v>2794</v>
      </c>
      <c r="K68" s="12" t="s">
        <v>2894</v>
      </c>
      <c r="L68" s="12" t="s">
        <v>2796</v>
      </c>
      <c r="M68" s="4"/>
    </row>
    <row r="69" customFormat="false" ht="23.85" hidden="false" customHeight="false" outlineLevel="0" collapsed="false">
      <c r="A69" s="4" t="s">
        <v>3328</v>
      </c>
      <c r="B69" s="12" t="s">
        <v>2767</v>
      </c>
      <c r="C69" s="4" t="s">
        <v>3447</v>
      </c>
      <c r="D69" s="12" t="s">
        <v>2793</v>
      </c>
      <c r="E69" s="12" t="s">
        <v>2484</v>
      </c>
      <c r="F69" s="29" t="n">
        <v>1</v>
      </c>
      <c r="G69" s="29" t="n">
        <v>6</v>
      </c>
      <c r="H69" s="19" t="n">
        <v>1800</v>
      </c>
      <c r="I69" s="23" t="n">
        <f aca="false">F69*G69*H69</f>
        <v>10800</v>
      </c>
      <c r="J69" s="12" t="s">
        <v>2794</v>
      </c>
      <c r="K69" s="12" t="s">
        <v>2891</v>
      </c>
      <c r="L69" s="12" t="s">
        <v>2796</v>
      </c>
      <c r="M69" s="4"/>
    </row>
    <row r="70" customFormat="false" ht="23.85" hidden="false" customHeight="false" outlineLevel="0" collapsed="false">
      <c r="A70" s="4" t="s">
        <v>3383</v>
      </c>
      <c r="B70" s="12" t="s">
        <v>2765</v>
      </c>
      <c r="C70" s="4" t="s">
        <v>3448</v>
      </c>
      <c r="D70" s="12" t="s">
        <v>2808</v>
      </c>
      <c r="E70" s="12" t="s">
        <v>2497</v>
      </c>
      <c r="F70" s="29" t="n">
        <v>1</v>
      </c>
      <c r="G70" s="29" t="n">
        <v>12</v>
      </c>
      <c r="H70" s="19" t="n">
        <v>1300</v>
      </c>
      <c r="I70" s="23" t="n">
        <f aca="false">F70*G70*H70</f>
        <v>15600</v>
      </c>
      <c r="J70" s="12" t="s">
        <v>3391</v>
      </c>
      <c r="K70" s="12" t="s">
        <v>2805</v>
      </c>
      <c r="L70" s="12"/>
      <c r="M70" s="4" t="s">
        <v>3449</v>
      </c>
    </row>
    <row r="71" customFormat="false" ht="23.85" hidden="false" customHeight="false" outlineLevel="0" collapsed="false">
      <c r="A71" s="4" t="s">
        <v>3383</v>
      </c>
      <c r="B71" s="12" t="s">
        <v>2765</v>
      </c>
      <c r="C71" s="4" t="s">
        <v>3450</v>
      </c>
      <c r="D71" s="12" t="s">
        <v>2804</v>
      </c>
      <c r="E71" s="12" t="s">
        <v>2597</v>
      </c>
      <c r="F71" s="29" t="n">
        <v>6</v>
      </c>
      <c r="G71" s="29" t="n">
        <v>1</v>
      </c>
      <c r="H71" s="19" t="n">
        <v>2000</v>
      </c>
      <c r="I71" s="23" t="n">
        <f aca="false">F71*G71*H71</f>
        <v>12000</v>
      </c>
      <c r="J71" s="12" t="s">
        <v>3391</v>
      </c>
      <c r="K71" s="12" t="s">
        <v>2902</v>
      </c>
      <c r="L71" s="12" t="s">
        <v>2950</v>
      </c>
      <c r="M71" s="4" t="s">
        <v>3451</v>
      </c>
    </row>
    <row r="72" customFormat="false" ht="23.85" hidden="false" customHeight="false" outlineLevel="0" collapsed="false">
      <c r="A72" s="4" t="s">
        <v>3383</v>
      </c>
      <c r="B72" s="12" t="s">
        <v>2765</v>
      </c>
      <c r="C72" s="4" t="s">
        <v>3452</v>
      </c>
      <c r="D72" s="12" t="s">
        <v>2808</v>
      </c>
      <c r="E72" s="12" t="s">
        <v>2477</v>
      </c>
      <c r="F72" s="29" t="n">
        <v>6</v>
      </c>
      <c r="G72" s="29" t="n">
        <v>1</v>
      </c>
      <c r="H72" s="19" t="n">
        <v>400</v>
      </c>
      <c r="I72" s="23" t="n">
        <f aca="false">F72*G72*H72</f>
        <v>2400</v>
      </c>
      <c r="J72" s="12" t="s">
        <v>3391</v>
      </c>
      <c r="K72" s="12" t="s">
        <v>2805</v>
      </c>
      <c r="L72" s="12"/>
      <c r="M72" s="4" t="s">
        <v>3234</v>
      </c>
    </row>
    <row r="73" customFormat="false" ht="23.85" hidden="false" customHeight="false" outlineLevel="0" collapsed="false">
      <c r="A73" s="4" t="s">
        <v>3383</v>
      </c>
      <c r="B73" s="12" t="s">
        <v>2765</v>
      </c>
      <c r="C73" s="4" t="s">
        <v>3453</v>
      </c>
      <c r="D73" s="12" t="s">
        <v>2804</v>
      </c>
      <c r="E73" s="12" t="s">
        <v>2597</v>
      </c>
      <c r="F73" s="29" t="n">
        <v>1</v>
      </c>
      <c r="G73" s="29" t="n">
        <v>1</v>
      </c>
      <c r="H73" s="19" t="n">
        <v>3500</v>
      </c>
      <c r="I73" s="23" t="n">
        <f aca="false">F73*G73*H73</f>
        <v>3500</v>
      </c>
      <c r="J73" s="12" t="s">
        <v>2794</v>
      </c>
      <c r="K73" s="12" t="s">
        <v>2805</v>
      </c>
      <c r="L73" s="12"/>
      <c r="M73" s="4" t="s">
        <v>3234</v>
      </c>
    </row>
    <row r="74" customFormat="false" ht="15" hidden="false" customHeight="false" outlineLevel="0" collapsed="false">
      <c r="H74" s="10" t="s">
        <v>134</v>
      </c>
      <c r="I74" s="11" t="n">
        <f aca="false">SUM(I26:I73)</f>
        <v>590546</v>
      </c>
    </row>
    <row r="76" customFormat="false" ht="15" hidden="false" customHeight="false" outlineLevel="0" collapsed="false">
      <c r="A76" s="22" t="s">
        <v>2913</v>
      </c>
    </row>
    <row r="77" customFormat="false" ht="23.85" hidden="false" customHeight="false" outlineLevel="0" collapsed="false">
      <c r="A77" s="3" t="s">
        <v>2914</v>
      </c>
      <c r="B77" s="3" t="s">
        <v>2915</v>
      </c>
      <c r="C77" s="3" t="s">
        <v>2780</v>
      </c>
      <c r="D77" s="3" t="s">
        <v>2781</v>
      </c>
      <c r="E77" s="3" t="s">
        <v>2782</v>
      </c>
      <c r="F77" s="3" t="s">
        <v>2783</v>
      </c>
      <c r="G77" s="3" t="s">
        <v>2784</v>
      </c>
      <c r="H77" s="3" t="s">
        <v>2785</v>
      </c>
      <c r="I77" s="3" t="s">
        <v>2786</v>
      </c>
      <c r="J77" s="3" t="s">
        <v>1393</v>
      </c>
      <c r="K77" s="3" t="s">
        <v>2916</v>
      </c>
      <c r="L77" s="3" t="s">
        <v>2789</v>
      </c>
      <c r="M77" s="3" t="s">
        <v>368</v>
      </c>
    </row>
    <row r="78" customFormat="false" ht="23.85" hidden="false" customHeight="false" outlineLevel="0" collapsed="false">
      <c r="A78" s="4" t="s">
        <v>3328</v>
      </c>
      <c r="B78" s="12" t="s">
        <v>2918</v>
      </c>
      <c r="C78" s="4" t="s">
        <v>3358</v>
      </c>
      <c r="D78" s="12" t="s">
        <v>2804</v>
      </c>
      <c r="E78" s="12" t="s">
        <v>2597</v>
      </c>
      <c r="F78" s="30" t="n">
        <v>1</v>
      </c>
      <c r="G78" s="30" t="n">
        <v>1</v>
      </c>
      <c r="H78" s="19" t="n">
        <v>15000</v>
      </c>
      <c r="I78" s="23" t="n">
        <f aca="false">F78*G78*H78</f>
        <v>15000</v>
      </c>
      <c r="J78" s="12" t="s">
        <v>2794</v>
      </c>
      <c r="K78" s="12" t="s">
        <v>2920</v>
      </c>
      <c r="L78" s="12" t="s">
        <v>2796</v>
      </c>
      <c r="M78" s="4" t="s">
        <v>3454</v>
      </c>
    </row>
    <row r="79" customFormat="false" ht="15" hidden="false" customHeight="false" outlineLevel="0" collapsed="false">
      <c r="A79" s="4" t="s">
        <v>3328</v>
      </c>
      <c r="B79" s="12" t="s">
        <v>2918</v>
      </c>
      <c r="C79" s="4" t="s">
        <v>2922</v>
      </c>
      <c r="D79" s="12" t="s">
        <v>2804</v>
      </c>
      <c r="E79" s="12" t="s">
        <v>2597</v>
      </c>
      <c r="F79" s="30" t="n">
        <v>1</v>
      </c>
      <c r="G79" s="30" t="n">
        <v>1</v>
      </c>
      <c r="H79" s="19" t="n">
        <v>10000</v>
      </c>
      <c r="I79" s="23" t="n">
        <f aca="false">F79*G79*H79</f>
        <v>10000</v>
      </c>
      <c r="J79" s="12" t="s">
        <v>2794</v>
      </c>
      <c r="K79" s="12" t="s">
        <v>2805</v>
      </c>
      <c r="L79" s="12"/>
      <c r="M79" s="4"/>
    </row>
    <row r="80" customFormat="false" ht="15" hidden="false" customHeight="false" outlineLevel="0" collapsed="false">
      <c r="A80" s="4" t="s">
        <v>3328</v>
      </c>
      <c r="B80" s="12" t="s">
        <v>2918</v>
      </c>
      <c r="C80" s="4" t="s">
        <v>2924</v>
      </c>
      <c r="D80" s="12" t="s">
        <v>2793</v>
      </c>
      <c r="E80" s="12" t="s">
        <v>2484</v>
      </c>
      <c r="F80" s="30" t="n">
        <v>1</v>
      </c>
      <c r="G80" s="30" t="n">
        <v>5</v>
      </c>
      <c r="H80" s="19" t="n">
        <v>3500</v>
      </c>
      <c r="I80" s="23" t="n">
        <f aca="false">F80*G80*H80</f>
        <v>17500</v>
      </c>
      <c r="J80" s="12" t="s">
        <v>2794</v>
      </c>
      <c r="K80" s="12" t="s">
        <v>2805</v>
      </c>
      <c r="L80" s="12"/>
      <c r="M80" s="4"/>
    </row>
    <row r="81" customFormat="false" ht="15" hidden="false" customHeight="false" outlineLevel="0" collapsed="false">
      <c r="A81" s="4" t="s">
        <v>3328</v>
      </c>
      <c r="B81" s="12" t="s">
        <v>2918</v>
      </c>
      <c r="C81" s="4" t="s">
        <v>2926</v>
      </c>
      <c r="D81" s="12" t="s">
        <v>2793</v>
      </c>
      <c r="E81" s="12" t="s">
        <v>2484</v>
      </c>
      <c r="F81" s="30" t="n">
        <v>1</v>
      </c>
      <c r="G81" s="30" t="n">
        <v>10</v>
      </c>
      <c r="H81" s="19" t="n">
        <v>80</v>
      </c>
      <c r="I81" s="23" t="n">
        <f aca="false">F81*G81*H81</f>
        <v>800</v>
      </c>
      <c r="J81" s="12" t="s">
        <v>2794</v>
      </c>
      <c r="K81" s="12" t="s">
        <v>2805</v>
      </c>
      <c r="L81" s="12"/>
      <c r="M81" s="4"/>
    </row>
    <row r="82" customFormat="false" ht="15" hidden="false" customHeight="false" outlineLevel="0" collapsed="false">
      <c r="A82" s="4" t="s">
        <v>3328</v>
      </c>
      <c r="B82" s="12" t="s">
        <v>2918</v>
      </c>
      <c r="C82" s="4" t="s">
        <v>2928</v>
      </c>
      <c r="D82" s="12" t="s">
        <v>2882</v>
      </c>
      <c r="E82" s="12" t="s">
        <v>2601</v>
      </c>
      <c r="F82" s="30" t="n">
        <v>1</v>
      </c>
      <c r="G82" s="30" t="n">
        <v>1</v>
      </c>
      <c r="H82" s="19" t="n">
        <v>1500</v>
      </c>
      <c r="I82" s="23" t="n">
        <f aca="false">F82*G82*H82</f>
        <v>1500</v>
      </c>
      <c r="J82" s="12" t="s">
        <v>2794</v>
      </c>
      <c r="K82" s="12" t="s">
        <v>2805</v>
      </c>
      <c r="L82" s="12"/>
      <c r="M82" s="4"/>
    </row>
    <row r="83" customFormat="false" ht="15" hidden="false" customHeight="false" outlineLevel="0" collapsed="false">
      <c r="A83" s="4" t="s">
        <v>3328</v>
      </c>
      <c r="B83" s="12" t="s">
        <v>2930</v>
      </c>
      <c r="C83" s="4" t="s">
        <v>3237</v>
      </c>
      <c r="D83" s="12" t="s">
        <v>2793</v>
      </c>
      <c r="E83" s="12" t="s">
        <v>2484</v>
      </c>
      <c r="F83" s="30" t="n">
        <v>1</v>
      </c>
      <c r="G83" s="30" t="n">
        <v>6</v>
      </c>
      <c r="H83" s="19" t="n">
        <v>3500</v>
      </c>
      <c r="I83" s="23" t="n">
        <f aca="false">F83*G83*H83</f>
        <v>21000</v>
      </c>
      <c r="J83" s="12" t="s">
        <v>3391</v>
      </c>
      <c r="K83" s="12" t="s">
        <v>2805</v>
      </c>
      <c r="L83" s="12"/>
      <c r="M83" s="4" t="s">
        <v>3455</v>
      </c>
    </row>
    <row r="84" customFormat="false" ht="23.85" hidden="false" customHeight="false" outlineLevel="0" collapsed="false">
      <c r="A84" s="4" t="s">
        <v>3387</v>
      </c>
      <c r="B84" s="12" t="s">
        <v>2930</v>
      </c>
      <c r="C84" s="4" t="s">
        <v>3456</v>
      </c>
      <c r="D84" s="12" t="s">
        <v>2808</v>
      </c>
      <c r="E84" s="12" t="s">
        <v>2497</v>
      </c>
      <c r="F84" s="30" t="n">
        <v>12</v>
      </c>
      <c r="G84" s="30" t="n">
        <v>1</v>
      </c>
      <c r="H84" s="19" t="n">
        <v>250</v>
      </c>
      <c r="I84" s="23" t="n">
        <f aca="false">F84*G84*H84</f>
        <v>3000</v>
      </c>
      <c r="J84" s="12" t="s">
        <v>3391</v>
      </c>
      <c r="K84" s="12" t="s">
        <v>2934</v>
      </c>
      <c r="L84" s="12" t="s">
        <v>2796</v>
      </c>
      <c r="M84" s="4" t="s">
        <v>3457</v>
      </c>
    </row>
    <row r="85" customFormat="false" ht="15" hidden="false" customHeight="false" outlineLevel="0" collapsed="false">
      <c r="A85" s="4" t="s">
        <v>3328</v>
      </c>
      <c r="B85" s="12" t="s">
        <v>2930</v>
      </c>
      <c r="C85" s="4" t="s">
        <v>3458</v>
      </c>
      <c r="D85" s="12" t="s">
        <v>2804</v>
      </c>
      <c r="E85" s="12" t="s">
        <v>2597</v>
      </c>
      <c r="F85" s="30" t="n">
        <v>1</v>
      </c>
      <c r="G85" s="30" t="n">
        <v>1</v>
      </c>
      <c r="H85" s="19" t="n">
        <v>6000</v>
      </c>
      <c r="I85" s="23" t="n">
        <f aca="false">F85*G85*H85</f>
        <v>6000</v>
      </c>
      <c r="J85" s="12" t="s">
        <v>2794</v>
      </c>
      <c r="K85" s="12" t="s">
        <v>2937</v>
      </c>
      <c r="L85" s="12" t="s">
        <v>2796</v>
      </c>
      <c r="M85" s="4"/>
    </row>
    <row r="86" customFormat="false" ht="15" hidden="false" customHeight="false" outlineLevel="0" collapsed="false">
      <c r="A86" s="4" t="s">
        <v>3328</v>
      </c>
      <c r="B86" s="12" t="s">
        <v>2930</v>
      </c>
      <c r="C86" s="4" t="s">
        <v>2651</v>
      </c>
      <c r="D86" s="12" t="s">
        <v>2793</v>
      </c>
      <c r="E86" s="12" t="s">
        <v>2484</v>
      </c>
      <c r="F86" s="30" t="n">
        <v>1</v>
      </c>
      <c r="G86" s="30" t="n">
        <v>1</v>
      </c>
      <c r="H86" s="19" t="n">
        <v>4500</v>
      </c>
      <c r="I86" s="23" t="n">
        <f aca="false">F86*G86*H86</f>
        <v>4500</v>
      </c>
      <c r="J86" s="12" t="s">
        <v>2794</v>
      </c>
      <c r="K86" s="12" t="s">
        <v>2939</v>
      </c>
      <c r="L86" s="12" t="s">
        <v>2796</v>
      </c>
      <c r="M86" s="4" t="s">
        <v>3459</v>
      </c>
    </row>
    <row r="87" customFormat="false" ht="15" hidden="false" customHeight="false" outlineLevel="0" collapsed="false">
      <c r="A87" s="4" t="s">
        <v>3328</v>
      </c>
      <c r="B87" s="12" t="s">
        <v>2930</v>
      </c>
      <c r="C87" s="4" t="s">
        <v>3365</v>
      </c>
      <c r="D87" s="12" t="s">
        <v>2793</v>
      </c>
      <c r="E87" s="12" t="s">
        <v>2484</v>
      </c>
      <c r="F87" s="30" t="n">
        <v>1</v>
      </c>
      <c r="G87" s="30" t="n">
        <v>4</v>
      </c>
      <c r="H87" s="19" t="n">
        <v>3000</v>
      </c>
      <c r="I87" s="23" t="n">
        <f aca="false">F87*G87*H87</f>
        <v>12000</v>
      </c>
      <c r="J87" s="12" t="s">
        <v>2794</v>
      </c>
      <c r="K87" s="12" t="s">
        <v>2909</v>
      </c>
      <c r="L87" s="12" t="s">
        <v>2796</v>
      </c>
      <c r="M87" s="4"/>
    </row>
    <row r="88" customFormat="false" ht="15" hidden="false" customHeight="false" outlineLevel="0" collapsed="false">
      <c r="A88" s="4" t="s">
        <v>3328</v>
      </c>
      <c r="B88" s="12" t="s">
        <v>2930</v>
      </c>
      <c r="C88" s="4" t="s">
        <v>3460</v>
      </c>
      <c r="D88" s="12" t="s">
        <v>2808</v>
      </c>
      <c r="E88" s="12" t="s">
        <v>2477</v>
      </c>
      <c r="F88" s="30" t="n">
        <v>600</v>
      </c>
      <c r="G88" s="30" t="n">
        <v>1</v>
      </c>
      <c r="H88" s="19" t="n">
        <v>2.5</v>
      </c>
      <c r="I88" s="23" t="n">
        <f aca="false">F88*G88*H88</f>
        <v>1500</v>
      </c>
      <c r="J88" s="12" t="s">
        <v>3391</v>
      </c>
      <c r="K88" s="12" t="s">
        <v>2805</v>
      </c>
      <c r="L88" s="12"/>
      <c r="M88" s="4"/>
    </row>
    <row r="90" customFormat="false" ht="15" hidden="false" customHeight="false" outlineLevel="0" collapsed="false">
      <c r="A90" s="10" t="s">
        <v>2952</v>
      </c>
      <c r="B90" s="23" t="n">
        <f aca="false">SUMIFS($I$78:$I$88,$B$78:$B$88,"Custos de administração")</f>
        <v>44800</v>
      </c>
      <c r="C90" s="13" t="n">
        <f aca="false">B17</f>
        <v>47243.68</v>
      </c>
      <c r="D90" s="23" t="n">
        <f aca="false">C90-B90</f>
        <v>2443.68</v>
      </c>
      <c r="E90" s="12" t="str">
        <f aca="false">IF(D90&gt;=0,"OK","EXCEDE")</f>
        <v>OK</v>
      </c>
    </row>
    <row r="91" customFormat="false" ht="15" hidden="false" customHeight="false" outlineLevel="0" collapsed="false">
      <c r="A91" s="10" t="s">
        <v>2953</v>
      </c>
      <c r="B91" s="23" t="n">
        <f aca="false">SUMIFS($I$78:$I$88,$B$78:$B$88,"Custos de acessibilidade, comunicação e divulgação")</f>
        <v>48000</v>
      </c>
      <c r="C91" s="13" t="n">
        <f aca="false">B18</f>
        <v>53149.14</v>
      </c>
      <c r="D91" s="23" t="n">
        <f aca="false">C91-B91</f>
        <v>5149.14</v>
      </c>
      <c r="E91" s="12" t="str">
        <f aca="false">IF(D91&gt;=0,"OK","EXCEDE")</f>
        <v>OK</v>
      </c>
    </row>
    <row r="92" customFormat="false" ht="15" hidden="false" customHeight="false" outlineLevel="0" collapsed="false">
      <c r="A92" s="14" t="s">
        <v>2954</v>
      </c>
    </row>
    <row r="94" customFormat="false" ht="15" hidden="false" customHeight="false" outlineLevel="0" collapsed="false">
      <c r="A94" s="22" t="s">
        <v>2955</v>
      </c>
    </row>
    <row r="95" customFormat="false" ht="30" hidden="false" customHeight="true" outlineLevel="0" collapsed="false">
      <c r="A95" s="21" t="s">
        <v>3461</v>
      </c>
      <c r="B95" s="21"/>
      <c r="C95" s="21"/>
      <c r="D95" s="21"/>
      <c r="E95" s="21"/>
      <c r="F95" s="21"/>
      <c r="G95" s="21"/>
      <c r="H95" s="21"/>
      <c r="I95" s="21"/>
      <c r="J95" s="21"/>
      <c r="K95" s="21"/>
      <c r="L95" s="21"/>
      <c r="M95" s="21"/>
    </row>
    <row r="96" customFormat="false" ht="30" hidden="false" customHeight="true" outlineLevel="0" collapsed="false">
      <c r="A96" s="21" t="s">
        <v>3462</v>
      </c>
      <c r="B96" s="21"/>
      <c r="C96" s="21"/>
      <c r="D96" s="21"/>
      <c r="E96" s="21"/>
      <c r="F96" s="21"/>
      <c r="G96" s="21"/>
      <c r="H96" s="21"/>
      <c r="I96" s="21"/>
      <c r="J96" s="21"/>
      <c r="K96" s="21"/>
      <c r="L96" s="21"/>
      <c r="M96" s="21"/>
    </row>
    <row r="97" customFormat="false" ht="30" hidden="false" customHeight="true" outlineLevel="0" collapsed="false">
      <c r="A97" s="21" t="s">
        <v>3463</v>
      </c>
      <c r="B97" s="21"/>
      <c r="C97" s="21"/>
      <c r="D97" s="21"/>
      <c r="E97" s="21"/>
      <c r="F97" s="21"/>
      <c r="G97" s="21"/>
      <c r="H97" s="21"/>
      <c r="I97" s="21"/>
      <c r="J97" s="21"/>
      <c r="K97" s="21"/>
      <c r="L97" s="21"/>
      <c r="M97" s="21"/>
    </row>
    <row r="98" customFormat="false" ht="30" hidden="false" customHeight="true" outlineLevel="0" collapsed="false">
      <c r="A98" s="21" t="s">
        <v>3464</v>
      </c>
      <c r="B98" s="21"/>
      <c r="C98" s="21"/>
      <c r="D98" s="21"/>
      <c r="E98" s="21"/>
      <c r="F98" s="21"/>
      <c r="G98" s="21"/>
      <c r="H98" s="21"/>
      <c r="I98" s="21"/>
      <c r="J98" s="21"/>
      <c r="K98" s="21"/>
      <c r="L98" s="21"/>
      <c r="M98" s="21"/>
    </row>
    <row r="99" customFormat="false" ht="30" hidden="false" customHeight="true" outlineLevel="0" collapsed="false">
      <c r="A99" s="21" t="s">
        <v>3465</v>
      </c>
      <c r="B99" s="21"/>
      <c r="C99" s="21"/>
      <c r="D99" s="21"/>
      <c r="E99" s="21"/>
      <c r="F99" s="21"/>
      <c r="G99" s="21"/>
      <c r="H99" s="21"/>
      <c r="I99" s="21"/>
      <c r="J99" s="21"/>
      <c r="K99" s="21"/>
      <c r="L99" s="21"/>
      <c r="M99" s="21"/>
    </row>
    <row r="100" customFormat="false" ht="30" hidden="false" customHeight="true" outlineLevel="0" collapsed="false">
      <c r="A100" s="21" t="s">
        <v>3466</v>
      </c>
      <c r="B100" s="21"/>
      <c r="C100" s="21"/>
      <c r="D100" s="21"/>
      <c r="E100" s="21"/>
      <c r="F100" s="21"/>
      <c r="G100" s="21"/>
      <c r="H100" s="21"/>
      <c r="I100" s="21"/>
      <c r="J100" s="21"/>
      <c r="K100" s="21"/>
      <c r="L100" s="21"/>
      <c r="M100" s="21"/>
    </row>
    <row r="101" customFormat="false" ht="30" hidden="false" customHeight="true" outlineLevel="0" collapsed="false">
      <c r="A101" s="21" t="s">
        <v>3467</v>
      </c>
      <c r="B101" s="21"/>
      <c r="C101" s="21"/>
      <c r="D101" s="21"/>
      <c r="E101" s="21"/>
      <c r="F101" s="21"/>
      <c r="G101" s="21"/>
      <c r="H101" s="21"/>
      <c r="I101" s="21"/>
      <c r="J101" s="21"/>
      <c r="K101" s="21"/>
      <c r="L101" s="21"/>
      <c r="M101" s="21"/>
    </row>
    <row r="102" customFormat="false" ht="15" hidden="false" customHeight="true" outlineLevel="0" collapsed="false">
      <c r="A102" s="21" t="s">
        <v>3468</v>
      </c>
      <c r="B102" s="21"/>
      <c r="C102" s="21"/>
      <c r="D102" s="21"/>
      <c r="E102" s="21"/>
      <c r="F102" s="21"/>
      <c r="G102" s="21"/>
      <c r="H102" s="21"/>
      <c r="I102" s="21"/>
      <c r="J102" s="21"/>
      <c r="K102" s="21"/>
      <c r="L102" s="21"/>
      <c r="M102" s="21"/>
    </row>
    <row r="104" customFormat="false" ht="15" hidden="false" customHeight="false" outlineLevel="0" collapsed="false">
      <c r="A104" s="22" t="s">
        <v>2964</v>
      </c>
      <c r="B104" s="19" t="n">
        <v>150000</v>
      </c>
    </row>
    <row r="105" customFormat="false" ht="75" hidden="false" customHeight="true" outlineLevel="0" collapsed="false">
      <c r="A105" s="21" t="s">
        <v>3469</v>
      </c>
      <c r="B105" s="21"/>
      <c r="C105" s="21"/>
      <c r="D105" s="21"/>
      <c r="E105" s="21"/>
      <c r="F105" s="21"/>
      <c r="G105" s="21"/>
      <c r="H105" s="21"/>
      <c r="I105" s="21"/>
      <c r="J105" s="21"/>
      <c r="K105" s="21"/>
      <c r="L105" s="21"/>
      <c r="M105" s="21"/>
    </row>
  </sheetData>
  <mergeCells count="14">
    <mergeCell ref="B2:M2"/>
    <mergeCell ref="B3:M3"/>
    <mergeCell ref="B4:M4"/>
    <mergeCell ref="B5:M5"/>
    <mergeCell ref="B6:M6"/>
    <mergeCell ref="A95:M95"/>
    <mergeCell ref="A96:M96"/>
    <mergeCell ref="A97:M97"/>
    <mergeCell ref="A98:M98"/>
    <mergeCell ref="A99:M99"/>
    <mergeCell ref="A100:M100"/>
    <mergeCell ref="A101:M101"/>
    <mergeCell ref="A102:M102"/>
    <mergeCell ref="A105:M105"/>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3">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8:L88">
    <cfRule type="expression" priority="11" aboveAverage="0" equalAverage="0" bottom="0" percent="0" rank="0" text="" dxfId="2">
      <formula>LEFT(L78,5)="ACIMA"</formula>
    </cfRule>
  </conditionalFormatting>
  <conditionalFormatting sqref="E90:E91">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3470</v>
      </c>
    </row>
    <row r="2" customFormat="false" ht="30" hidden="false" customHeight="true" outlineLevel="0" collapsed="false">
      <c r="A2" s="22" t="s">
        <v>2748</v>
      </c>
      <c r="B2" s="21" t="s">
        <v>3471</v>
      </c>
      <c r="C2" s="21"/>
      <c r="D2" s="21"/>
      <c r="E2" s="21"/>
      <c r="F2" s="21"/>
      <c r="G2" s="21"/>
      <c r="H2" s="21"/>
      <c r="I2" s="21"/>
      <c r="J2" s="21"/>
      <c r="K2" s="21"/>
      <c r="L2" s="21"/>
      <c r="M2" s="21"/>
    </row>
    <row r="3" customFormat="false" ht="30" hidden="false" customHeight="true" outlineLevel="0" collapsed="false">
      <c r="A3" s="22" t="s">
        <v>2750</v>
      </c>
      <c r="B3" s="21" t="s">
        <v>3472</v>
      </c>
      <c r="C3" s="21"/>
      <c r="D3" s="21"/>
      <c r="E3" s="21"/>
      <c r="F3" s="21"/>
      <c r="G3" s="21"/>
      <c r="H3" s="21"/>
      <c r="I3" s="21"/>
      <c r="J3" s="21"/>
      <c r="K3" s="21"/>
      <c r="L3" s="21"/>
      <c r="M3" s="21"/>
    </row>
    <row r="4" customFormat="false" ht="30" hidden="false" customHeight="true" outlineLevel="0" collapsed="false">
      <c r="A4" s="22" t="s">
        <v>2752</v>
      </c>
      <c r="B4" s="21" t="s">
        <v>3473</v>
      </c>
      <c r="C4" s="21"/>
      <c r="D4" s="21"/>
      <c r="E4" s="21"/>
      <c r="F4" s="21"/>
      <c r="G4" s="21"/>
      <c r="H4" s="21"/>
      <c r="I4" s="21"/>
      <c r="J4" s="21"/>
      <c r="K4" s="21"/>
      <c r="L4" s="21"/>
      <c r="M4" s="21"/>
    </row>
    <row r="5" customFormat="false" ht="30" hidden="false" customHeight="true" outlineLevel="0" collapsed="false">
      <c r="A5" s="22" t="s">
        <v>2754</v>
      </c>
      <c r="B5" s="21" t="s">
        <v>3474</v>
      </c>
      <c r="C5" s="21"/>
      <c r="D5" s="21"/>
      <c r="E5" s="21"/>
      <c r="F5" s="21"/>
      <c r="G5" s="21"/>
      <c r="H5" s="21"/>
      <c r="I5" s="21"/>
      <c r="J5" s="21"/>
      <c r="K5" s="21"/>
      <c r="L5" s="21"/>
      <c r="M5" s="21"/>
    </row>
    <row r="6" customFormat="false" ht="30" hidden="false" customHeight="true" outlineLevel="0" collapsed="false">
      <c r="A6" s="22" t="s">
        <v>2756</v>
      </c>
      <c r="B6" s="21" t="s">
        <v>3475</v>
      </c>
      <c r="C6" s="21"/>
      <c r="D6" s="21"/>
      <c r="E6" s="21"/>
      <c r="F6" s="21"/>
      <c r="G6" s="21"/>
      <c r="H6" s="21"/>
      <c r="I6" s="21"/>
      <c r="J6" s="21"/>
      <c r="K6" s="21"/>
      <c r="L6" s="21"/>
      <c r="M6" s="21"/>
    </row>
    <row r="7" customFormat="false" ht="15" hidden="false" customHeight="false" outlineLevel="0" collapsed="false">
      <c r="A7" s="22" t="s">
        <v>2758</v>
      </c>
      <c r="B7" s="19" t="n">
        <v>500000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SUMIFS($I$26:$I$62,$B$26:$B$62,A11)</f>
        <v>34600</v>
      </c>
      <c r="C11" s="24" t="n">
        <f aca="false">IF($B$16=0,0,B11/$B$16)</f>
        <v>0.0878917661164541</v>
      </c>
    </row>
    <row r="12" customFormat="false" ht="15" hidden="false" customHeight="false" outlineLevel="0" collapsed="false">
      <c r="A12" s="12" t="s">
        <v>2765</v>
      </c>
      <c r="B12" s="23" t="n">
        <f aca="false">SUMIFS($I$26:$I$62,$B$26:$B$62,A12)</f>
        <v>318140</v>
      </c>
      <c r="C12" s="24" t="n">
        <f aca="false">IF($B$16=0,0,B12/$B$16)</f>
        <v>0.808147007869615</v>
      </c>
    </row>
    <row r="13" customFormat="false" ht="15" hidden="false" customHeight="false" outlineLevel="0" collapsed="false">
      <c r="A13" s="12" t="s">
        <v>2766</v>
      </c>
      <c r="B13" s="23" t="n">
        <f aca="false">SUMIFS($I$26:$I$62,$B$26:$B$62,A13)</f>
        <v>12766</v>
      </c>
      <c r="C13" s="24" t="n">
        <f aca="false">IF($B$16=0,0,B13/$B$16)</f>
        <v>0.0324285053827356</v>
      </c>
    </row>
    <row r="14" customFormat="false" ht="15" hidden="false" customHeight="false" outlineLevel="0" collapsed="false">
      <c r="A14" s="12" t="s">
        <v>2767</v>
      </c>
      <c r="B14" s="23" t="n">
        <f aca="false">SUMIFS($I$26:$I$62,$B$26:$B$62,A14)</f>
        <v>10000</v>
      </c>
      <c r="C14" s="24" t="n">
        <f aca="false">IF($B$16=0,0,B14/$B$16)</f>
        <v>0.0254022445423278</v>
      </c>
    </row>
    <row r="15" customFormat="false" ht="15" hidden="false" customHeight="false" outlineLevel="0" collapsed="false">
      <c r="A15" s="12" t="s">
        <v>2768</v>
      </c>
      <c r="B15" s="23" t="n">
        <f aca="false">SUMIFS($I$26:$I$62,$B$26:$B$62,A15)</f>
        <v>18160</v>
      </c>
      <c r="C15" s="24" t="n">
        <f aca="false">IF($B$16=0,0,B15/$B$16)</f>
        <v>0.0461304760888672</v>
      </c>
    </row>
    <row r="16" customFormat="false" ht="15" hidden="false" customHeight="false" outlineLevel="0" collapsed="false">
      <c r="A16" s="25" t="s">
        <v>2769</v>
      </c>
      <c r="B16" s="26" t="n">
        <f aca="false">SUM(B11:B15)</f>
        <v>393666</v>
      </c>
    </row>
    <row r="17" customFormat="false" ht="23.85" hidden="false" customHeight="false" outlineLevel="0" collapsed="false">
      <c r="A17" s="4" t="s">
        <v>2770</v>
      </c>
      <c r="B17" s="23" t="n">
        <f aca="false">$B$16*C17</f>
        <v>27556.62</v>
      </c>
      <c r="C17" s="27" t="n">
        <v>0.07</v>
      </c>
      <c r="D17" s="28" t="n">
        <f aca="false">'Parâmetros IN 29'!$B$4</f>
        <v>0.15</v>
      </c>
      <c r="E17" s="12" t="str">
        <f aca="false">IF(AND(C17&lt;=D17),"OK","EXCEDE")</f>
        <v>OK</v>
      </c>
    </row>
    <row r="18" customFormat="false" ht="35.05" hidden="false" customHeight="false" outlineLevel="0" collapsed="false">
      <c r="A18" s="4" t="s">
        <v>2771</v>
      </c>
      <c r="B18" s="23" t="n">
        <f aca="false">$B$16*C18</f>
        <v>39366.6</v>
      </c>
      <c r="C18" s="27" t="n">
        <v>0.1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39366.6</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499955.82</v>
      </c>
    </row>
    <row r="21" customFormat="false" ht="15" hidden="false" customHeight="false" outlineLevel="0" collapsed="false">
      <c r="A21" s="12" t="s">
        <v>2774</v>
      </c>
      <c r="B21" s="23" t="n">
        <f aca="false">B20-B7</f>
        <v>-44.1800000000512</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35.05" hidden="false" customHeight="false" outlineLevel="0" collapsed="false">
      <c r="A26" s="4" t="s">
        <v>3476</v>
      </c>
      <c r="B26" s="12" t="s">
        <v>2764</v>
      </c>
      <c r="C26" s="4" t="s">
        <v>3477</v>
      </c>
      <c r="D26" s="12" t="s">
        <v>2793</v>
      </c>
      <c r="E26" s="12" t="s">
        <v>2484</v>
      </c>
      <c r="F26" s="29" t="n">
        <v>1</v>
      </c>
      <c r="G26" s="29" t="n">
        <v>2</v>
      </c>
      <c r="H26" s="19" t="n">
        <v>5000</v>
      </c>
      <c r="I26" s="23" t="n">
        <f aca="false">F26*G26*H26</f>
        <v>10000</v>
      </c>
      <c r="J26" s="12" t="s">
        <v>3478</v>
      </c>
      <c r="K26" s="12" t="s">
        <v>2795</v>
      </c>
      <c r="L26" s="12" t="s">
        <v>2796</v>
      </c>
      <c r="M26" s="4" t="s">
        <v>3479</v>
      </c>
    </row>
    <row r="27" customFormat="false" ht="35.05" hidden="false" customHeight="false" outlineLevel="0" collapsed="false">
      <c r="A27" s="4" t="s">
        <v>3476</v>
      </c>
      <c r="B27" s="12" t="s">
        <v>2764</v>
      </c>
      <c r="C27" s="4" t="s">
        <v>3480</v>
      </c>
      <c r="D27" s="12" t="s">
        <v>2804</v>
      </c>
      <c r="E27" s="12" t="s">
        <v>2597</v>
      </c>
      <c r="F27" s="29" t="n">
        <v>1</v>
      </c>
      <c r="G27" s="29" t="n">
        <v>1</v>
      </c>
      <c r="H27" s="19" t="n">
        <v>5000</v>
      </c>
      <c r="I27" s="23" t="n">
        <f aca="false">F27*G27*H27</f>
        <v>5000</v>
      </c>
      <c r="J27" s="12" t="s">
        <v>3478</v>
      </c>
      <c r="K27" s="12" t="s">
        <v>3083</v>
      </c>
      <c r="L27" s="12" t="s">
        <v>2796</v>
      </c>
      <c r="M27" s="4" t="s">
        <v>3481</v>
      </c>
    </row>
    <row r="28" customFormat="false" ht="35.05" hidden="false" customHeight="false" outlineLevel="0" collapsed="false">
      <c r="A28" s="4" t="s">
        <v>3476</v>
      </c>
      <c r="B28" s="12" t="s">
        <v>2764</v>
      </c>
      <c r="C28" s="4" t="s">
        <v>2801</v>
      </c>
      <c r="D28" s="12" t="s">
        <v>2793</v>
      </c>
      <c r="E28" s="12" t="s">
        <v>2484</v>
      </c>
      <c r="F28" s="29" t="n">
        <v>1</v>
      </c>
      <c r="G28" s="29" t="n">
        <v>1</v>
      </c>
      <c r="H28" s="19" t="n">
        <v>5000</v>
      </c>
      <c r="I28" s="23" t="n">
        <f aca="false">F28*G28*H28</f>
        <v>5000</v>
      </c>
      <c r="J28" s="12" t="s">
        <v>3478</v>
      </c>
      <c r="K28" s="12" t="s">
        <v>2795</v>
      </c>
      <c r="L28" s="12" t="s">
        <v>2796</v>
      </c>
      <c r="M28" s="4"/>
    </row>
    <row r="29" customFormat="false" ht="35.05" hidden="false" customHeight="false" outlineLevel="0" collapsed="false">
      <c r="A29" s="4" t="s">
        <v>3476</v>
      </c>
      <c r="B29" s="12" t="s">
        <v>2764</v>
      </c>
      <c r="C29" s="4" t="s">
        <v>3482</v>
      </c>
      <c r="D29" s="12" t="s">
        <v>2808</v>
      </c>
      <c r="E29" s="12" t="s">
        <v>2497</v>
      </c>
      <c r="F29" s="29" t="n">
        <v>1</v>
      </c>
      <c r="G29" s="29" t="n">
        <v>4</v>
      </c>
      <c r="H29" s="19" t="n">
        <v>1700</v>
      </c>
      <c r="I29" s="23" t="n">
        <f aca="false">F29*G29*H29</f>
        <v>6800</v>
      </c>
      <c r="J29" s="12" t="s">
        <v>3483</v>
      </c>
      <c r="K29" s="12" t="s">
        <v>2810</v>
      </c>
      <c r="L29" s="12" t="s">
        <v>3221</v>
      </c>
      <c r="M29" s="4" t="s">
        <v>3484</v>
      </c>
    </row>
    <row r="30" customFormat="false" ht="35.05" hidden="false" customHeight="false" outlineLevel="0" collapsed="false">
      <c r="A30" s="4" t="s">
        <v>3476</v>
      </c>
      <c r="B30" s="12" t="s">
        <v>2764</v>
      </c>
      <c r="C30" s="4" t="s">
        <v>3485</v>
      </c>
      <c r="D30" s="12" t="s">
        <v>2855</v>
      </c>
      <c r="E30" s="12" t="s">
        <v>2516</v>
      </c>
      <c r="F30" s="29" t="n">
        <v>8</v>
      </c>
      <c r="G30" s="29" t="n">
        <v>2</v>
      </c>
      <c r="H30" s="19" t="n">
        <v>300</v>
      </c>
      <c r="I30" s="23" t="n">
        <f aca="false">F30*G30*H30</f>
        <v>4800</v>
      </c>
      <c r="J30" s="12" t="s">
        <v>3478</v>
      </c>
      <c r="K30" s="12" t="s">
        <v>2848</v>
      </c>
      <c r="L30" s="12" t="s">
        <v>2950</v>
      </c>
      <c r="M30" s="4" t="s">
        <v>3486</v>
      </c>
    </row>
    <row r="31" customFormat="false" ht="35.05" hidden="false" customHeight="false" outlineLevel="0" collapsed="false">
      <c r="A31" s="4" t="s">
        <v>3476</v>
      </c>
      <c r="B31" s="12" t="s">
        <v>2764</v>
      </c>
      <c r="C31" s="4" t="s">
        <v>3487</v>
      </c>
      <c r="D31" s="12" t="s">
        <v>2882</v>
      </c>
      <c r="E31" s="12" t="s">
        <v>2601</v>
      </c>
      <c r="F31" s="29" t="n">
        <v>1</v>
      </c>
      <c r="G31" s="29" t="n">
        <v>1</v>
      </c>
      <c r="H31" s="19" t="n">
        <v>3000</v>
      </c>
      <c r="I31" s="23" t="n">
        <f aca="false">F31*G31*H31</f>
        <v>3000</v>
      </c>
      <c r="J31" s="12" t="s">
        <v>3478</v>
      </c>
      <c r="K31" s="12" t="s">
        <v>2805</v>
      </c>
      <c r="L31" s="12"/>
      <c r="M31" s="4" t="s">
        <v>3488</v>
      </c>
    </row>
    <row r="32" customFormat="false" ht="35.05" hidden="false" customHeight="false" outlineLevel="0" collapsed="false">
      <c r="A32" s="4" t="s">
        <v>3476</v>
      </c>
      <c r="B32" s="12" t="s">
        <v>2765</v>
      </c>
      <c r="C32" s="4" t="s">
        <v>3477</v>
      </c>
      <c r="D32" s="12" t="s">
        <v>2793</v>
      </c>
      <c r="E32" s="12" t="s">
        <v>2484</v>
      </c>
      <c r="F32" s="29" t="n">
        <v>1</v>
      </c>
      <c r="G32" s="29" t="n">
        <v>3</v>
      </c>
      <c r="H32" s="19" t="n">
        <v>5000</v>
      </c>
      <c r="I32" s="23" t="n">
        <f aca="false">F32*G32*H32</f>
        <v>15000</v>
      </c>
      <c r="J32" s="12" t="s">
        <v>3483</v>
      </c>
      <c r="K32" s="12" t="s">
        <v>2795</v>
      </c>
      <c r="L32" s="12" t="s">
        <v>2796</v>
      </c>
      <c r="M32" s="4" t="s">
        <v>3489</v>
      </c>
    </row>
    <row r="33" customFormat="false" ht="35.05" hidden="false" customHeight="false" outlineLevel="0" collapsed="false">
      <c r="A33" s="4" t="s">
        <v>3476</v>
      </c>
      <c r="B33" s="12" t="s">
        <v>2765</v>
      </c>
      <c r="C33" s="4" t="s">
        <v>2801</v>
      </c>
      <c r="D33" s="12" t="s">
        <v>2793</v>
      </c>
      <c r="E33" s="12" t="s">
        <v>2484</v>
      </c>
      <c r="F33" s="29" t="n">
        <v>1</v>
      </c>
      <c r="G33" s="29" t="n">
        <v>3</v>
      </c>
      <c r="H33" s="19" t="n">
        <v>5000</v>
      </c>
      <c r="I33" s="23" t="n">
        <f aca="false">F33*G33*H33</f>
        <v>15000</v>
      </c>
      <c r="J33" s="12" t="s">
        <v>3483</v>
      </c>
      <c r="K33" s="12" t="s">
        <v>2795</v>
      </c>
      <c r="L33" s="12" t="s">
        <v>2796</v>
      </c>
      <c r="M33" s="4"/>
    </row>
    <row r="34" customFormat="false" ht="35.05" hidden="false" customHeight="false" outlineLevel="0" collapsed="false">
      <c r="A34" s="4" t="s">
        <v>3476</v>
      </c>
      <c r="B34" s="12" t="s">
        <v>2765</v>
      </c>
      <c r="C34" s="4" t="s">
        <v>3179</v>
      </c>
      <c r="D34" s="12" t="s">
        <v>2808</v>
      </c>
      <c r="E34" s="12" t="s">
        <v>2497</v>
      </c>
      <c r="F34" s="29" t="n">
        <v>8</v>
      </c>
      <c r="G34" s="29" t="n">
        <v>3</v>
      </c>
      <c r="H34" s="19" t="n">
        <v>450</v>
      </c>
      <c r="I34" s="23" t="n">
        <f aca="false">F34*G34*H34</f>
        <v>10800</v>
      </c>
      <c r="J34" s="12" t="s">
        <v>3483</v>
      </c>
      <c r="K34" s="12" t="s">
        <v>3180</v>
      </c>
      <c r="L34" s="12" t="s">
        <v>2796</v>
      </c>
      <c r="M34" s="4" t="s">
        <v>3490</v>
      </c>
    </row>
    <row r="35" customFormat="false" ht="35.05" hidden="false" customHeight="false" outlineLevel="0" collapsed="false">
      <c r="A35" s="4" t="s">
        <v>3476</v>
      </c>
      <c r="B35" s="12" t="s">
        <v>2765</v>
      </c>
      <c r="C35" s="4" t="s">
        <v>3491</v>
      </c>
      <c r="D35" s="12" t="s">
        <v>2855</v>
      </c>
      <c r="E35" s="12" t="s">
        <v>2516</v>
      </c>
      <c r="F35" s="29" t="n">
        <v>8</v>
      </c>
      <c r="G35" s="29" t="n">
        <v>8</v>
      </c>
      <c r="H35" s="19" t="n">
        <v>755</v>
      </c>
      <c r="I35" s="23" t="n">
        <f aca="false">F35*G35*H35</f>
        <v>48320</v>
      </c>
      <c r="J35" s="12" t="s">
        <v>3483</v>
      </c>
      <c r="K35" s="12" t="s">
        <v>2848</v>
      </c>
      <c r="L35" s="12" t="s">
        <v>2796</v>
      </c>
      <c r="M35" s="4" t="s">
        <v>3492</v>
      </c>
    </row>
    <row r="36" customFormat="false" ht="35.05" hidden="false" customHeight="false" outlineLevel="0" collapsed="false">
      <c r="A36" s="4" t="s">
        <v>3476</v>
      </c>
      <c r="B36" s="12" t="s">
        <v>2765</v>
      </c>
      <c r="C36" s="4" t="s">
        <v>3493</v>
      </c>
      <c r="D36" s="12" t="s">
        <v>2855</v>
      </c>
      <c r="E36" s="12" t="s">
        <v>2516</v>
      </c>
      <c r="F36" s="29" t="n">
        <v>1</v>
      </c>
      <c r="G36" s="29" t="n">
        <v>8</v>
      </c>
      <c r="H36" s="19" t="n">
        <v>2500</v>
      </c>
      <c r="I36" s="23" t="n">
        <f aca="false">F36*G36*H36</f>
        <v>20000</v>
      </c>
      <c r="J36" s="12" t="s">
        <v>3483</v>
      </c>
      <c r="K36" s="12" t="s">
        <v>3494</v>
      </c>
      <c r="L36" s="12" t="s">
        <v>2950</v>
      </c>
      <c r="M36" s="4" t="s">
        <v>3495</v>
      </c>
    </row>
    <row r="37" customFormat="false" ht="35.05" hidden="false" customHeight="false" outlineLevel="0" collapsed="false">
      <c r="A37" s="4" t="s">
        <v>3476</v>
      </c>
      <c r="B37" s="12" t="s">
        <v>2765</v>
      </c>
      <c r="C37" s="4" t="s">
        <v>3496</v>
      </c>
      <c r="D37" s="12" t="s">
        <v>2855</v>
      </c>
      <c r="E37" s="12" t="s">
        <v>2516</v>
      </c>
      <c r="F37" s="29" t="n">
        <v>8</v>
      </c>
      <c r="G37" s="29" t="n">
        <v>1</v>
      </c>
      <c r="H37" s="19" t="n">
        <v>3000</v>
      </c>
      <c r="I37" s="23" t="n">
        <f aca="false">F37*G37*H37</f>
        <v>24000</v>
      </c>
      <c r="J37" s="12" t="s">
        <v>3483</v>
      </c>
      <c r="K37" s="12" t="s">
        <v>2805</v>
      </c>
      <c r="L37" s="12"/>
      <c r="M37" s="4" t="s">
        <v>3497</v>
      </c>
    </row>
    <row r="38" customFormat="false" ht="35.05" hidden="false" customHeight="false" outlineLevel="0" collapsed="false">
      <c r="A38" s="4" t="s">
        <v>3476</v>
      </c>
      <c r="B38" s="12" t="s">
        <v>2765</v>
      </c>
      <c r="C38" s="4" t="s">
        <v>3498</v>
      </c>
      <c r="D38" s="12" t="s">
        <v>2855</v>
      </c>
      <c r="E38" s="12" t="s">
        <v>2516</v>
      </c>
      <c r="F38" s="29" t="n">
        <v>1</v>
      </c>
      <c r="G38" s="29" t="n">
        <v>8</v>
      </c>
      <c r="H38" s="19" t="n">
        <v>500</v>
      </c>
      <c r="I38" s="23" t="n">
        <f aca="false">F38*G38*H38</f>
        <v>4000</v>
      </c>
      <c r="J38" s="12" t="s">
        <v>3483</v>
      </c>
      <c r="K38" s="12" t="s">
        <v>3114</v>
      </c>
      <c r="L38" s="12" t="s">
        <v>2950</v>
      </c>
      <c r="M38" s="4"/>
    </row>
    <row r="39" customFormat="false" ht="35.05" hidden="false" customHeight="false" outlineLevel="0" collapsed="false">
      <c r="A39" s="4" t="s">
        <v>3476</v>
      </c>
      <c r="B39" s="12" t="s">
        <v>2765</v>
      </c>
      <c r="C39" s="4" t="s">
        <v>3499</v>
      </c>
      <c r="D39" s="12" t="s">
        <v>2808</v>
      </c>
      <c r="E39" s="12" t="s">
        <v>2497</v>
      </c>
      <c r="F39" s="29" t="n">
        <v>1</v>
      </c>
      <c r="G39" s="29" t="n">
        <v>8</v>
      </c>
      <c r="H39" s="19" t="n">
        <v>3500</v>
      </c>
      <c r="I39" s="23" t="n">
        <f aca="false">F39*G39*H39</f>
        <v>28000</v>
      </c>
      <c r="J39" s="12" t="s">
        <v>3483</v>
      </c>
      <c r="K39" s="12" t="s">
        <v>3500</v>
      </c>
      <c r="L39" s="12" t="s">
        <v>2950</v>
      </c>
      <c r="M39" s="4" t="s">
        <v>3501</v>
      </c>
    </row>
    <row r="40" customFormat="false" ht="35.05" hidden="false" customHeight="false" outlineLevel="0" collapsed="false">
      <c r="A40" s="4" t="s">
        <v>3476</v>
      </c>
      <c r="B40" s="12" t="s">
        <v>2765</v>
      </c>
      <c r="C40" s="4" t="s">
        <v>3502</v>
      </c>
      <c r="D40" s="12" t="s">
        <v>2808</v>
      </c>
      <c r="E40" s="12" t="s">
        <v>2497</v>
      </c>
      <c r="F40" s="29" t="n">
        <v>1</v>
      </c>
      <c r="G40" s="29" t="n">
        <v>8</v>
      </c>
      <c r="H40" s="19" t="n">
        <v>2200</v>
      </c>
      <c r="I40" s="23" t="n">
        <f aca="false">F40*G40*H40</f>
        <v>17600</v>
      </c>
      <c r="J40" s="12" t="s">
        <v>3483</v>
      </c>
      <c r="K40" s="12" t="s">
        <v>2863</v>
      </c>
      <c r="L40" s="12" t="s">
        <v>2796</v>
      </c>
      <c r="M40" s="4" t="s">
        <v>3503</v>
      </c>
    </row>
    <row r="41" customFormat="false" ht="35.05" hidden="false" customHeight="false" outlineLevel="0" collapsed="false">
      <c r="A41" s="4" t="s">
        <v>3476</v>
      </c>
      <c r="B41" s="12" t="s">
        <v>2765</v>
      </c>
      <c r="C41" s="4" t="s">
        <v>3320</v>
      </c>
      <c r="D41" s="12" t="s">
        <v>2808</v>
      </c>
      <c r="E41" s="12" t="s">
        <v>2497</v>
      </c>
      <c r="F41" s="29" t="n">
        <v>1</v>
      </c>
      <c r="G41" s="29" t="n">
        <v>8</v>
      </c>
      <c r="H41" s="19" t="n">
        <v>1500</v>
      </c>
      <c r="I41" s="23" t="n">
        <f aca="false">F41*G41*H41</f>
        <v>12000</v>
      </c>
      <c r="J41" s="12" t="s">
        <v>3483</v>
      </c>
      <c r="K41" s="12" t="s">
        <v>2834</v>
      </c>
      <c r="L41" s="12" t="s">
        <v>2796</v>
      </c>
      <c r="M41" s="4" t="s">
        <v>3504</v>
      </c>
    </row>
    <row r="42" customFormat="false" ht="35.05" hidden="false" customHeight="false" outlineLevel="0" collapsed="false">
      <c r="A42" s="4" t="s">
        <v>3476</v>
      </c>
      <c r="B42" s="12" t="s">
        <v>2765</v>
      </c>
      <c r="C42" s="4" t="s">
        <v>3505</v>
      </c>
      <c r="D42" s="12" t="s">
        <v>2808</v>
      </c>
      <c r="E42" s="12" t="s">
        <v>3506</v>
      </c>
      <c r="F42" s="29" t="n">
        <v>24</v>
      </c>
      <c r="G42" s="29" t="n">
        <v>1</v>
      </c>
      <c r="H42" s="19" t="n">
        <v>200</v>
      </c>
      <c r="I42" s="23" t="n">
        <f aca="false">F42*G42*H42</f>
        <v>4800</v>
      </c>
      <c r="J42" s="12" t="s">
        <v>3483</v>
      </c>
      <c r="K42" s="12" t="s">
        <v>3507</v>
      </c>
      <c r="L42" s="12" t="s">
        <v>2796</v>
      </c>
      <c r="M42" s="4" t="s">
        <v>3508</v>
      </c>
    </row>
    <row r="43" customFormat="false" ht="35.05" hidden="false" customHeight="false" outlineLevel="0" collapsed="false">
      <c r="A43" s="4" t="s">
        <v>3476</v>
      </c>
      <c r="B43" s="12" t="s">
        <v>2765</v>
      </c>
      <c r="C43" s="4" t="s">
        <v>3325</v>
      </c>
      <c r="D43" s="12" t="s">
        <v>2808</v>
      </c>
      <c r="E43" s="12" t="s">
        <v>2497</v>
      </c>
      <c r="F43" s="29" t="n">
        <v>16</v>
      </c>
      <c r="G43" s="29" t="n">
        <v>1</v>
      </c>
      <c r="H43" s="19" t="n">
        <v>300</v>
      </c>
      <c r="I43" s="23" t="n">
        <f aca="false">F43*G43*H43</f>
        <v>4800</v>
      </c>
      <c r="J43" s="12" t="s">
        <v>3483</v>
      </c>
      <c r="K43" s="12" t="s">
        <v>2875</v>
      </c>
      <c r="L43" s="12" t="s">
        <v>2796</v>
      </c>
      <c r="M43" s="4" t="s">
        <v>3509</v>
      </c>
    </row>
    <row r="44" customFormat="false" ht="35.05" hidden="false" customHeight="false" outlineLevel="0" collapsed="false">
      <c r="A44" s="4" t="s">
        <v>3476</v>
      </c>
      <c r="B44" s="12" t="s">
        <v>2765</v>
      </c>
      <c r="C44" s="4" t="s">
        <v>3322</v>
      </c>
      <c r="D44" s="12" t="s">
        <v>2808</v>
      </c>
      <c r="E44" s="12" t="s">
        <v>2497</v>
      </c>
      <c r="F44" s="29" t="n">
        <v>16</v>
      </c>
      <c r="G44" s="29" t="n">
        <v>1</v>
      </c>
      <c r="H44" s="19" t="n">
        <v>300</v>
      </c>
      <c r="I44" s="23" t="n">
        <f aca="false">F44*G44*H44</f>
        <v>4800</v>
      </c>
      <c r="J44" s="12" t="s">
        <v>3483</v>
      </c>
      <c r="K44" s="12" t="s">
        <v>2870</v>
      </c>
      <c r="L44" s="12" t="s">
        <v>2796</v>
      </c>
      <c r="M44" s="4" t="s">
        <v>3509</v>
      </c>
    </row>
    <row r="45" customFormat="false" ht="35.05" hidden="false" customHeight="false" outlineLevel="0" collapsed="false">
      <c r="A45" s="4" t="s">
        <v>3476</v>
      </c>
      <c r="B45" s="12" t="s">
        <v>2765</v>
      </c>
      <c r="C45" s="4" t="s">
        <v>3510</v>
      </c>
      <c r="D45" s="12" t="s">
        <v>2882</v>
      </c>
      <c r="E45" s="12" t="s">
        <v>2601</v>
      </c>
      <c r="F45" s="29" t="n">
        <v>8</v>
      </c>
      <c r="G45" s="29" t="n">
        <v>1</v>
      </c>
      <c r="H45" s="19" t="n">
        <v>800</v>
      </c>
      <c r="I45" s="23" t="n">
        <f aca="false">F45*G45*H45</f>
        <v>6400</v>
      </c>
      <c r="J45" s="12" t="s">
        <v>3483</v>
      </c>
      <c r="K45" s="12" t="s">
        <v>3327</v>
      </c>
      <c r="L45" s="12" t="s">
        <v>2796</v>
      </c>
      <c r="M45" s="4" t="s">
        <v>3417</v>
      </c>
    </row>
    <row r="46" customFormat="false" ht="35.05" hidden="false" customHeight="false" outlineLevel="0" collapsed="false">
      <c r="A46" s="4" t="s">
        <v>3476</v>
      </c>
      <c r="B46" s="12" t="s">
        <v>2765</v>
      </c>
      <c r="C46" s="4" t="s">
        <v>3511</v>
      </c>
      <c r="D46" s="12" t="s">
        <v>2882</v>
      </c>
      <c r="E46" s="12" t="s">
        <v>2601</v>
      </c>
      <c r="F46" s="29" t="n">
        <v>8</v>
      </c>
      <c r="G46" s="29" t="n">
        <v>1</v>
      </c>
      <c r="H46" s="19" t="n">
        <v>800</v>
      </c>
      <c r="I46" s="23" t="n">
        <f aca="false">F46*G46*H46</f>
        <v>6400</v>
      </c>
      <c r="J46" s="12" t="s">
        <v>3483</v>
      </c>
      <c r="K46" s="12" t="s">
        <v>2805</v>
      </c>
      <c r="L46" s="12"/>
      <c r="M46" s="4" t="s">
        <v>3512</v>
      </c>
    </row>
    <row r="47" customFormat="false" ht="15" hidden="false" customHeight="false" outlineLevel="0" collapsed="false">
      <c r="A47" s="4" t="s">
        <v>3328</v>
      </c>
      <c r="B47" s="12" t="s">
        <v>2765</v>
      </c>
      <c r="C47" s="4" t="s">
        <v>3513</v>
      </c>
      <c r="D47" s="12" t="s">
        <v>2808</v>
      </c>
      <c r="E47" s="12" t="s">
        <v>2683</v>
      </c>
      <c r="F47" s="29" t="n">
        <v>1</v>
      </c>
      <c r="G47" s="29" t="n">
        <v>1</v>
      </c>
      <c r="H47" s="19" t="n">
        <v>2500</v>
      </c>
      <c r="I47" s="23" t="n">
        <f aca="false">F47*G47*H47</f>
        <v>2500</v>
      </c>
      <c r="J47" s="12" t="s">
        <v>3483</v>
      </c>
      <c r="K47" s="12" t="s">
        <v>2845</v>
      </c>
      <c r="L47" s="12" t="s">
        <v>2796</v>
      </c>
      <c r="M47" s="4"/>
    </row>
    <row r="48" customFormat="false" ht="35.05" hidden="false" customHeight="false" outlineLevel="0" collapsed="false">
      <c r="A48" s="4" t="s">
        <v>3476</v>
      </c>
      <c r="B48" s="12" t="s">
        <v>2765</v>
      </c>
      <c r="C48" s="4" t="s">
        <v>3514</v>
      </c>
      <c r="D48" s="12" t="s">
        <v>2808</v>
      </c>
      <c r="E48" s="12" t="s">
        <v>2497</v>
      </c>
      <c r="F48" s="29" t="n">
        <v>1</v>
      </c>
      <c r="G48" s="29" t="n">
        <v>8</v>
      </c>
      <c r="H48" s="19" t="n">
        <v>2800</v>
      </c>
      <c r="I48" s="23" t="n">
        <f aca="false">F48*G48*H48</f>
        <v>22400</v>
      </c>
      <c r="J48" s="12" t="s">
        <v>3483</v>
      </c>
      <c r="K48" s="12" t="s">
        <v>2828</v>
      </c>
      <c r="L48" s="12" t="s">
        <v>2796</v>
      </c>
      <c r="M48" s="4" t="s">
        <v>3515</v>
      </c>
    </row>
    <row r="49" customFormat="false" ht="35.05" hidden="false" customHeight="false" outlineLevel="0" collapsed="false">
      <c r="A49" s="4" t="s">
        <v>3476</v>
      </c>
      <c r="B49" s="12" t="s">
        <v>2765</v>
      </c>
      <c r="C49" s="4" t="s">
        <v>3516</v>
      </c>
      <c r="D49" s="12" t="s">
        <v>2808</v>
      </c>
      <c r="E49" s="12" t="s">
        <v>2497</v>
      </c>
      <c r="F49" s="29" t="n">
        <v>1</v>
      </c>
      <c r="G49" s="29" t="n">
        <v>8</v>
      </c>
      <c r="H49" s="19" t="n">
        <v>1000</v>
      </c>
      <c r="I49" s="23" t="n">
        <f aca="false">F49*G49*H49</f>
        <v>8000</v>
      </c>
      <c r="J49" s="12" t="s">
        <v>3483</v>
      </c>
      <c r="K49" s="12" t="s">
        <v>2810</v>
      </c>
      <c r="L49" s="12" t="s">
        <v>2796</v>
      </c>
      <c r="M49" s="4"/>
    </row>
    <row r="50" customFormat="false" ht="35.05" hidden="false" customHeight="false" outlineLevel="0" collapsed="false">
      <c r="A50" s="4" t="s">
        <v>3476</v>
      </c>
      <c r="B50" s="12" t="s">
        <v>2765</v>
      </c>
      <c r="C50" s="4" t="s">
        <v>3517</v>
      </c>
      <c r="D50" s="12" t="s">
        <v>2808</v>
      </c>
      <c r="E50" s="12" t="s">
        <v>3165</v>
      </c>
      <c r="F50" s="29" t="n">
        <v>14</v>
      </c>
      <c r="G50" s="29" t="n">
        <v>4</v>
      </c>
      <c r="H50" s="19" t="n">
        <v>200</v>
      </c>
      <c r="I50" s="23" t="n">
        <f aca="false">F50*G50*H50</f>
        <v>11200</v>
      </c>
      <c r="J50" s="12" t="s">
        <v>3483</v>
      </c>
      <c r="K50" s="12" t="s">
        <v>3166</v>
      </c>
      <c r="L50" s="12" t="s">
        <v>2796</v>
      </c>
      <c r="M50" s="4" t="s">
        <v>3518</v>
      </c>
    </row>
    <row r="51" customFormat="false" ht="35.05" hidden="false" customHeight="false" outlineLevel="0" collapsed="false">
      <c r="A51" s="4" t="s">
        <v>3476</v>
      </c>
      <c r="B51" s="12" t="s">
        <v>2765</v>
      </c>
      <c r="C51" s="4" t="s">
        <v>3519</v>
      </c>
      <c r="D51" s="12" t="s">
        <v>2808</v>
      </c>
      <c r="E51" s="12" t="s">
        <v>3165</v>
      </c>
      <c r="F51" s="29" t="n">
        <v>18</v>
      </c>
      <c r="G51" s="29" t="n">
        <v>8</v>
      </c>
      <c r="H51" s="19" t="n">
        <v>80</v>
      </c>
      <c r="I51" s="23" t="n">
        <f aca="false">F51*G51*H51</f>
        <v>11520</v>
      </c>
      <c r="J51" s="12" t="s">
        <v>3483</v>
      </c>
      <c r="K51" s="12" t="s">
        <v>3169</v>
      </c>
      <c r="L51" s="12" t="s">
        <v>2796</v>
      </c>
      <c r="M51" s="4" t="s">
        <v>3520</v>
      </c>
    </row>
    <row r="52" customFormat="false" ht="23.85" hidden="false" customHeight="false" outlineLevel="0" collapsed="false">
      <c r="A52" s="4" t="s">
        <v>3521</v>
      </c>
      <c r="B52" s="12" t="s">
        <v>2765</v>
      </c>
      <c r="C52" s="4" t="s">
        <v>3522</v>
      </c>
      <c r="D52" s="12" t="s">
        <v>2808</v>
      </c>
      <c r="E52" s="12" t="s">
        <v>2497</v>
      </c>
      <c r="F52" s="29" t="n">
        <v>1</v>
      </c>
      <c r="G52" s="29" t="n">
        <v>8</v>
      </c>
      <c r="H52" s="19" t="n">
        <v>1000</v>
      </c>
      <c r="I52" s="23" t="n">
        <f aca="false">F52*G52*H52</f>
        <v>8000</v>
      </c>
      <c r="J52" s="12" t="s">
        <v>3483</v>
      </c>
      <c r="K52" s="12" t="s">
        <v>2805</v>
      </c>
      <c r="L52" s="12"/>
      <c r="M52" s="4" t="s">
        <v>3523</v>
      </c>
    </row>
    <row r="53" customFormat="false" ht="23.85" hidden="false" customHeight="false" outlineLevel="0" collapsed="false">
      <c r="A53" s="4" t="s">
        <v>3521</v>
      </c>
      <c r="B53" s="12" t="s">
        <v>2765</v>
      </c>
      <c r="C53" s="4" t="s">
        <v>3524</v>
      </c>
      <c r="D53" s="12" t="s">
        <v>2808</v>
      </c>
      <c r="E53" s="12" t="s">
        <v>2477</v>
      </c>
      <c r="F53" s="29" t="n">
        <v>800</v>
      </c>
      <c r="G53" s="29" t="n">
        <v>1</v>
      </c>
      <c r="H53" s="19" t="n">
        <v>3</v>
      </c>
      <c r="I53" s="23" t="n">
        <f aca="false">F53*G53*H53</f>
        <v>2400</v>
      </c>
      <c r="J53" s="12" t="s">
        <v>3483</v>
      </c>
      <c r="K53" s="12" t="s">
        <v>2805</v>
      </c>
      <c r="L53" s="12"/>
      <c r="M53" s="4" t="s">
        <v>3247</v>
      </c>
    </row>
    <row r="54" customFormat="false" ht="23.85" hidden="false" customHeight="false" outlineLevel="0" collapsed="false">
      <c r="A54" s="4" t="s">
        <v>3525</v>
      </c>
      <c r="B54" s="12" t="s">
        <v>2765</v>
      </c>
      <c r="C54" s="4" t="s">
        <v>2613</v>
      </c>
      <c r="D54" s="12" t="s">
        <v>2808</v>
      </c>
      <c r="E54" s="12" t="s">
        <v>2497</v>
      </c>
      <c r="F54" s="29" t="n">
        <v>1</v>
      </c>
      <c r="G54" s="29" t="n">
        <v>8</v>
      </c>
      <c r="H54" s="19" t="n">
        <v>800</v>
      </c>
      <c r="I54" s="23" t="n">
        <f aca="false">F54*G54*H54</f>
        <v>6400</v>
      </c>
      <c r="J54" s="12" t="s">
        <v>3483</v>
      </c>
      <c r="K54" s="12" t="s">
        <v>2848</v>
      </c>
      <c r="L54" s="12" t="s">
        <v>2796</v>
      </c>
      <c r="M54" s="4"/>
    </row>
    <row r="55" customFormat="false" ht="23.85" hidden="false" customHeight="false" outlineLevel="0" collapsed="false">
      <c r="A55" s="4" t="s">
        <v>3525</v>
      </c>
      <c r="B55" s="12" t="s">
        <v>2765</v>
      </c>
      <c r="C55" s="4" t="s">
        <v>3333</v>
      </c>
      <c r="D55" s="12" t="s">
        <v>2808</v>
      </c>
      <c r="E55" s="12" t="s">
        <v>2497</v>
      </c>
      <c r="F55" s="29" t="n">
        <v>1</v>
      </c>
      <c r="G55" s="29" t="n">
        <v>8</v>
      </c>
      <c r="H55" s="19" t="n">
        <v>1300</v>
      </c>
      <c r="I55" s="23" t="n">
        <f aca="false">F55*G55*H55</f>
        <v>10400</v>
      </c>
      <c r="J55" s="12" t="s">
        <v>3483</v>
      </c>
      <c r="K55" s="12" t="s">
        <v>2851</v>
      </c>
      <c r="L55" s="12" t="s">
        <v>2796</v>
      </c>
      <c r="M55" s="4" t="s">
        <v>3526</v>
      </c>
    </row>
    <row r="56" customFormat="false" ht="35.05" hidden="false" customHeight="false" outlineLevel="0" collapsed="false">
      <c r="A56" s="4" t="s">
        <v>3476</v>
      </c>
      <c r="B56" s="12" t="s">
        <v>2766</v>
      </c>
      <c r="C56" s="4" t="s">
        <v>3527</v>
      </c>
      <c r="D56" s="12" t="s">
        <v>2793</v>
      </c>
      <c r="E56" s="12" t="s">
        <v>2484</v>
      </c>
      <c r="F56" s="29" t="n">
        <v>1</v>
      </c>
      <c r="G56" s="29" t="n">
        <v>1</v>
      </c>
      <c r="H56" s="19" t="n">
        <v>5000</v>
      </c>
      <c r="I56" s="23" t="n">
        <f aca="false">F56*G56*H56</f>
        <v>5000</v>
      </c>
      <c r="J56" s="12" t="s">
        <v>3478</v>
      </c>
      <c r="K56" s="12" t="s">
        <v>2795</v>
      </c>
      <c r="L56" s="12" t="s">
        <v>2796</v>
      </c>
      <c r="M56" s="4" t="s">
        <v>3528</v>
      </c>
    </row>
    <row r="57" customFormat="false" ht="23.85" hidden="false" customHeight="false" outlineLevel="0" collapsed="false">
      <c r="A57" s="4" t="s">
        <v>3525</v>
      </c>
      <c r="B57" s="12" t="s">
        <v>2766</v>
      </c>
      <c r="C57" s="4" t="s">
        <v>3529</v>
      </c>
      <c r="D57" s="12" t="s">
        <v>2804</v>
      </c>
      <c r="E57" s="12" t="s">
        <v>2597</v>
      </c>
      <c r="F57" s="29" t="n">
        <v>1</v>
      </c>
      <c r="G57" s="29" t="n">
        <v>1</v>
      </c>
      <c r="H57" s="19" t="n">
        <v>7766</v>
      </c>
      <c r="I57" s="23" t="n">
        <f aca="false">F57*G57*H57</f>
        <v>7766</v>
      </c>
      <c r="J57" s="12" t="s">
        <v>3478</v>
      </c>
      <c r="K57" s="12" t="s">
        <v>2891</v>
      </c>
      <c r="L57" s="12" t="s">
        <v>3221</v>
      </c>
      <c r="M57" s="4" t="s">
        <v>3530</v>
      </c>
    </row>
    <row r="58" customFormat="false" ht="68.65" hidden="false" customHeight="false" outlineLevel="0" collapsed="false">
      <c r="A58" s="4" t="s">
        <v>3328</v>
      </c>
      <c r="B58" s="12" t="s">
        <v>2768</v>
      </c>
      <c r="C58" s="4" t="s">
        <v>2911</v>
      </c>
      <c r="D58" s="12" t="s">
        <v>2882</v>
      </c>
      <c r="E58" s="12" t="s">
        <v>2601</v>
      </c>
      <c r="F58" s="29" t="n">
        <v>1</v>
      </c>
      <c r="G58" s="29" t="n">
        <v>1</v>
      </c>
      <c r="H58" s="19" t="n">
        <v>18160</v>
      </c>
      <c r="I58" s="23" t="n">
        <f aca="false">F58*G58*H58</f>
        <v>18160</v>
      </c>
      <c r="J58" s="12" t="s">
        <v>3478</v>
      </c>
      <c r="K58" s="12" t="s">
        <v>2805</v>
      </c>
      <c r="L58" s="12"/>
      <c r="M58" s="4" t="s">
        <v>3531</v>
      </c>
    </row>
    <row r="59" customFormat="false" ht="15" hidden="false" customHeight="false" outlineLevel="0" collapsed="false">
      <c r="A59" s="4" t="s">
        <v>3328</v>
      </c>
      <c r="B59" s="12" t="s">
        <v>2767</v>
      </c>
      <c r="C59" s="4" t="s">
        <v>2893</v>
      </c>
      <c r="D59" s="12" t="s">
        <v>2793</v>
      </c>
      <c r="E59" s="12" t="s">
        <v>2484</v>
      </c>
      <c r="F59" s="29" t="n">
        <v>1</v>
      </c>
      <c r="G59" s="29" t="n">
        <v>7</v>
      </c>
      <c r="H59" s="19" t="n">
        <v>1000</v>
      </c>
      <c r="I59" s="23" t="n">
        <f aca="false">F59*G59*H59</f>
        <v>7000</v>
      </c>
      <c r="J59" s="12" t="s">
        <v>3478</v>
      </c>
      <c r="K59" s="12" t="s">
        <v>2894</v>
      </c>
      <c r="L59" s="12" t="s">
        <v>2796</v>
      </c>
      <c r="M59" s="4"/>
    </row>
    <row r="60" customFormat="false" ht="23.85" hidden="false" customHeight="false" outlineLevel="0" collapsed="false">
      <c r="A60" s="4" t="s">
        <v>3328</v>
      </c>
      <c r="B60" s="12" t="s">
        <v>2767</v>
      </c>
      <c r="C60" s="4" t="s">
        <v>3532</v>
      </c>
      <c r="D60" s="12" t="s">
        <v>2804</v>
      </c>
      <c r="E60" s="12" t="s">
        <v>2597</v>
      </c>
      <c r="F60" s="29" t="n">
        <v>1</v>
      </c>
      <c r="G60" s="29" t="n">
        <v>1</v>
      </c>
      <c r="H60" s="19" t="n">
        <v>3000</v>
      </c>
      <c r="I60" s="23" t="n">
        <f aca="false">F60*G60*H60</f>
        <v>3000</v>
      </c>
      <c r="J60" s="12" t="s">
        <v>3478</v>
      </c>
      <c r="K60" s="12" t="s">
        <v>2891</v>
      </c>
      <c r="L60" s="12" t="s">
        <v>2796</v>
      </c>
      <c r="M60" s="4"/>
    </row>
    <row r="61" customFormat="false" ht="35.05" hidden="false" customHeight="false" outlineLevel="0" collapsed="false">
      <c r="A61" s="4" t="s">
        <v>3476</v>
      </c>
      <c r="B61" s="12" t="s">
        <v>2765</v>
      </c>
      <c r="C61" s="4" t="s">
        <v>3533</v>
      </c>
      <c r="D61" s="12" t="s">
        <v>2808</v>
      </c>
      <c r="E61" s="12" t="s">
        <v>2497</v>
      </c>
      <c r="F61" s="29" t="n">
        <v>1</v>
      </c>
      <c r="G61" s="29" t="n">
        <v>8</v>
      </c>
      <c r="H61" s="19" t="n">
        <v>1300</v>
      </c>
      <c r="I61" s="23" t="n">
        <f aca="false">F61*G61*H61</f>
        <v>10400</v>
      </c>
      <c r="J61" s="12" t="s">
        <v>3483</v>
      </c>
      <c r="K61" s="12" t="s">
        <v>2805</v>
      </c>
      <c r="L61" s="12"/>
      <c r="M61" s="4" t="s">
        <v>3234</v>
      </c>
    </row>
    <row r="62" customFormat="false" ht="35.05" hidden="false" customHeight="false" outlineLevel="0" collapsed="false">
      <c r="A62" s="4" t="s">
        <v>3476</v>
      </c>
      <c r="B62" s="12" t="s">
        <v>2765</v>
      </c>
      <c r="C62" s="4" t="s">
        <v>3534</v>
      </c>
      <c r="D62" s="12" t="s">
        <v>2804</v>
      </c>
      <c r="E62" s="12" t="s">
        <v>2597</v>
      </c>
      <c r="F62" s="29" t="n">
        <v>1</v>
      </c>
      <c r="G62" s="29" t="n">
        <v>1</v>
      </c>
      <c r="H62" s="19" t="n">
        <v>3000</v>
      </c>
      <c r="I62" s="23" t="n">
        <f aca="false">F62*G62*H62</f>
        <v>3000</v>
      </c>
      <c r="J62" s="12" t="s">
        <v>3478</v>
      </c>
      <c r="K62" s="12" t="s">
        <v>2902</v>
      </c>
      <c r="L62" s="12" t="s">
        <v>2796</v>
      </c>
      <c r="M62" s="4" t="s">
        <v>3234</v>
      </c>
    </row>
    <row r="63" customFormat="false" ht="15" hidden="false" customHeight="false" outlineLevel="0" collapsed="false">
      <c r="H63" s="10" t="s">
        <v>134</v>
      </c>
      <c r="I63" s="11" t="n">
        <f aca="false">SUM(I26:I62)</f>
        <v>393666</v>
      </c>
    </row>
    <row r="65" customFormat="false" ht="15" hidden="false" customHeight="false" outlineLevel="0" collapsed="false">
      <c r="A65" s="22" t="s">
        <v>2913</v>
      </c>
    </row>
    <row r="66" customFormat="false" ht="23.85" hidden="false" customHeight="false" outlineLevel="0" collapsed="false">
      <c r="A66" s="3" t="s">
        <v>2914</v>
      </c>
      <c r="B66" s="3" t="s">
        <v>2915</v>
      </c>
      <c r="C66" s="3" t="s">
        <v>2780</v>
      </c>
      <c r="D66" s="3" t="s">
        <v>2781</v>
      </c>
      <c r="E66" s="3" t="s">
        <v>2782</v>
      </c>
      <c r="F66" s="3" t="s">
        <v>2783</v>
      </c>
      <c r="G66" s="3" t="s">
        <v>2784</v>
      </c>
      <c r="H66" s="3" t="s">
        <v>2785</v>
      </c>
      <c r="I66" s="3" t="s">
        <v>2786</v>
      </c>
      <c r="J66" s="3" t="s">
        <v>1393</v>
      </c>
      <c r="K66" s="3" t="s">
        <v>2916</v>
      </c>
      <c r="L66" s="3" t="s">
        <v>2789</v>
      </c>
      <c r="M66" s="3" t="s">
        <v>368</v>
      </c>
    </row>
    <row r="67" customFormat="false" ht="23.85" hidden="false" customHeight="false" outlineLevel="0" collapsed="false">
      <c r="A67" s="4" t="s">
        <v>3328</v>
      </c>
      <c r="B67" s="12" t="s">
        <v>2918</v>
      </c>
      <c r="C67" s="4" t="s">
        <v>3358</v>
      </c>
      <c r="D67" s="12" t="s">
        <v>2804</v>
      </c>
      <c r="E67" s="12" t="s">
        <v>2597</v>
      </c>
      <c r="F67" s="30" t="n">
        <v>1</v>
      </c>
      <c r="G67" s="30" t="n">
        <v>1</v>
      </c>
      <c r="H67" s="19" t="n">
        <v>10000</v>
      </c>
      <c r="I67" s="23" t="n">
        <f aca="false">F67*G67*H67</f>
        <v>10000</v>
      </c>
      <c r="J67" s="12" t="s">
        <v>3478</v>
      </c>
      <c r="K67" s="12" t="s">
        <v>2920</v>
      </c>
      <c r="L67" s="12" t="s">
        <v>2796</v>
      </c>
      <c r="M67" s="4" t="s">
        <v>3454</v>
      </c>
    </row>
    <row r="68" customFormat="false" ht="15" hidden="false" customHeight="false" outlineLevel="0" collapsed="false">
      <c r="A68" s="4" t="s">
        <v>3328</v>
      </c>
      <c r="B68" s="12" t="s">
        <v>2918</v>
      </c>
      <c r="C68" s="4" t="s">
        <v>2922</v>
      </c>
      <c r="D68" s="12" t="s">
        <v>2804</v>
      </c>
      <c r="E68" s="12" t="s">
        <v>2597</v>
      </c>
      <c r="F68" s="30" t="n">
        <v>1</v>
      </c>
      <c r="G68" s="30" t="n">
        <v>1</v>
      </c>
      <c r="H68" s="19" t="n">
        <v>6000</v>
      </c>
      <c r="I68" s="23" t="n">
        <f aca="false">F68*G68*H68</f>
        <v>6000</v>
      </c>
      <c r="J68" s="12" t="s">
        <v>3478</v>
      </c>
      <c r="K68" s="12" t="s">
        <v>2805</v>
      </c>
      <c r="L68" s="12"/>
      <c r="M68" s="4"/>
    </row>
    <row r="69" customFormat="false" ht="15" hidden="false" customHeight="false" outlineLevel="0" collapsed="false">
      <c r="A69" s="4" t="s">
        <v>3328</v>
      </c>
      <c r="B69" s="12" t="s">
        <v>2918</v>
      </c>
      <c r="C69" s="4" t="s">
        <v>2924</v>
      </c>
      <c r="D69" s="12" t="s">
        <v>2793</v>
      </c>
      <c r="E69" s="12" t="s">
        <v>2484</v>
      </c>
      <c r="F69" s="30" t="n">
        <v>1</v>
      </c>
      <c r="G69" s="30" t="n">
        <v>3</v>
      </c>
      <c r="H69" s="19" t="n">
        <v>3000</v>
      </c>
      <c r="I69" s="23" t="n">
        <f aca="false">F69*G69*H69</f>
        <v>9000</v>
      </c>
      <c r="J69" s="12" t="s">
        <v>3478</v>
      </c>
      <c r="K69" s="12" t="s">
        <v>2805</v>
      </c>
      <c r="L69" s="12"/>
      <c r="M69" s="4"/>
    </row>
    <row r="70" customFormat="false" ht="15" hidden="false" customHeight="false" outlineLevel="0" collapsed="false">
      <c r="A70" s="4" t="s">
        <v>3328</v>
      </c>
      <c r="B70" s="12" t="s">
        <v>2918</v>
      </c>
      <c r="C70" s="4" t="s">
        <v>2926</v>
      </c>
      <c r="D70" s="12" t="s">
        <v>2793</v>
      </c>
      <c r="E70" s="12" t="s">
        <v>2484</v>
      </c>
      <c r="F70" s="30" t="n">
        <v>1</v>
      </c>
      <c r="G70" s="30" t="n">
        <v>8</v>
      </c>
      <c r="H70" s="19" t="n">
        <v>80</v>
      </c>
      <c r="I70" s="23" t="n">
        <f aca="false">F70*G70*H70</f>
        <v>640</v>
      </c>
      <c r="J70" s="12" t="s">
        <v>3478</v>
      </c>
      <c r="K70" s="12" t="s">
        <v>2805</v>
      </c>
      <c r="L70" s="12"/>
      <c r="M70" s="4"/>
    </row>
    <row r="71" customFormat="false" ht="15" hidden="false" customHeight="false" outlineLevel="0" collapsed="false">
      <c r="A71" s="4" t="s">
        <v>3328</v>
      </c>
      <c r="B71" s="12" t="s">
        <v>2918</v>
      </c>
      <c r="C71" s="4" t="s">
        <v>2928</v>
      </c>
      <c r="D71" s="12" t="s">
        <v>2882</v>
      </c>
      <c r="E71" s="12" t="s">
        <v>2601</v>
      </c>
      <c r="F71" s="30" t="n">
        <v>1</v>
      </c>
      <c r="G71" s="30" t="n">
        <v>1</v>
      </c>
      <c r="H71" s="19" t="n">
        <v>1000</v>
      </c>
      <c r="I71" s="23" t="n">
        <f aca="false">F71*G71*H71</f>
        <v>1000</v>
      </c>
      <c r="J71" s="12" t="s">
        <v>3478</v>
      </c>
      <c r="K71" s="12" t="s">
        <v>2805</v>
      </c>
      <c r="L71" s="12"/>
      <c r="M71" s="4"/>
    </row>
    <row r="72" customFormat="false" ht="15" hidden="false" customHeight="false" outlineLevel="0" collapsed="false">
      <c r="A72" s="4" t="s">
        <v>3328</v>
      </c>
      <c r="B72" s="12" t="s">
        <v>2930</v>
      </c>
      <c r="C72" s="4" t="s">
        <v>3237</v>
      </c>
      <c r="D72" s="12" t="s">
        <v>2793</v>
      </c>
      <c r="E72" s="12" t="s">
        <v>2484</v>
      </c>
      <c r="F72" s="30" t="n">
        <v>1</v>
      </c>
      <c r="G72" s="30" t="n">
        <v>3</v>
      </c>
      <c r="H72" s="19" t="n">
        <v>3500</v>
      </c>
      <c r="I72" s="23" t="n">
        <f aca="false">F72*G72*H72</f>
        <v>10500</v>
      </c>
      <c r="J72" s="12" t="s">
        <v>3483</v>
      </c>
      <c r="K72" s="12" t="s">
        <v>2805</v>
      </c>
      <c r="L72" s="12"/>
      <c r="M72" s="4" t="s">
        <v>3535</v>
      </c>
    </row>
    <row r="73" customFormat="false" ht="35.05" hidden="false" customHeight="false" outlineLevel="0" collapsed="false">
      <c r="A73" s="4" t="s">
        <v>3476</v>
      </c>
      <c r="B73" s="12" t="s">
        <v>2930</v>
      </c>
      <c r="C73" s="4" t="s">
        <v>3536</v>
      </c>
      <c r="D73" s="12" t="s">
        <v>2808</v>
      </c>
      <c r="E73" s="12" t="s">
        <v>2497</v>
      </c>
      <c r="F73" s="30" t="n">
        <v>1</v>
      </c>
      <c r="G73" s="30" t="n">
        <v>8</v>
      </c>
      <c r="H73" s="19" t="n">
        <v>600</v>
      </c>
      <c r="I73" s="23" t="n">
        <f aca="false">F73*G73*H73</f>
        <v>4800</v>
      </c>
      <c r="J73" s="12" t="s">
        <v>3483</v>
      </c>
      <c r="K73" s="12" t="s">
        <v>2805</v>
      </c>
      <c r="L73" s="12"/>
      <c r="M73" s="4"/>
    </row>
    <row r="74" customFormat="false" ht="35.05" hidden="false" customHeight="false" outlineLevel="0" collapsed="false">
      <c r="A74" s="4" t="s">
        <v>3476</v>
      </c>
      <c r="B74" s="12" t="s">
        <v>2930</v>
      </c>
      <c r="C74" s="4" t="s">
        <v>3537</v>
      </c>
      <c r="D74" s="12" t="s">
        <v>2808</v>
      </c>
      <c r="E74" s="12" t="s">
        <v>2497</v>
      </c>
      <c r="F74" s="30" t="n">
        <v>16</v>
      </c>
      <c r="G74" s="30" t="n">
        <v>1</v>
      </c>
      <c r="H74" s="19" t="n">
        <v>250</v>
      </c>
      <c r="I74" s="23" t="n">
        <f aca="false">F74*G74*H74</f>
        <v>4000</v>
      </c>
      <c r="J74" s="12" t="s">
        <v>3483</v>
      </c>
      <c r="K74" s="12" t="s">
        <v>2934</v>
      </c>
      <c r="L74" s="12" t="s">
        <v>2796</v>
      </c>
      <c r="M74" s="4" t="s">
        <v>3509</v>
      </c>
    </row>
    <row r="75" customFormat="false" ht="15" hidden="false" customHeight="false" outlineLevel="0" collapsed="false">
      <c r="A75" s="4" t="s">
        <v>3328</v>
      </c>
      <c r="B75" s="12" t="s">
        <v>2930</v>
      </c>
      <c r="C75" s="4" t="s">
        <v>3538</v>
      </c>
      <c r="D75" s="12" t="s">
        <v>2804</v>
      </c>
      <c r="E75" s="12" t="s">
        <v>2597</v>
      </c>
      <c r="F75" s="30" t="n">
        <v>1</v>
      </c>
      <c r="G75" s="30" t="n">
        <v>1</v>
      </c>
      <c r="H75" s="19" t="n">
        <v>5000</v>
      </c>
      <c r="I75" s="23" t="n">
        <f aca="false">F75*G75*H75</f>
        <v>5000</v>
      </c>
      <c r="J75" s="12" t="s">
        <v>3478</v>
      </c>
      <c r="K75" s="12" t="s">
        <v>2937</v>
      </c>
      <c r="L75" s="12" t="s">
        <v>2796</v>
      </c>
      <c r="M75" s="4"/>
    </row>
    <row r="76" customFormat="false" ht="15" hidden="false" customHeight="false" outlineLevel="0" collapsed="false">
      <c r="A76" s="4" t="s">
        <v>3328</v>
      </c>
      <c r="B76" s="12" t="s">
        <v>2930</v>
      </c>
      <c r="C76" s="4" t="s">
        <v>3365</v>
      </c>
      <c r="D76" s="12" t="s">
        <v>2793</v>
      </c>
      <c r="E76" s="12" t="s">
        <v>2484</v>
      </c>
      <c r="F76" s="30" t="n">
        <v>1</v>
      </c>
      <c r="G76" s="30" t="n">
        <v>3</v>
      </c>
      <c r="H76" s="19" t="n">
        <v>3000</v>
      </c>
      <c r="I76" s="23" t="n">
        <f aca="false">F76*G76*H76</f>
        <v>9000</v>
      </c>
      <c r="J76" s="12" t="s">
        <v>3478</v>
      </c>
      <c r="K76" s="12" t="s">
        <v>2909</v>
      </c>
      <c r="L76" s="12" t="s">
        <v>2796</v>
      </c>
      <c r="M76" s="4"/>
    </row>
    <row r="77" customFormat="false" ht="15" hidden="false" customHeight="false" outlineLevel="0" collapsed="false">
      <c r="A77" s="4" t="s">
        <v>3328</v>
      </c>
      <c r="B77" s="12" t="s">
        <v>2930</v>
      </c>
      <c r="C77" s="4" t="s">
        <v>3539</v>
      </c>
      <c r="D77" s="12" t="s">
        <v>2882</v>
      </c>
      <c r="E77" s="12" t="s">
        <v>2601</v>
      </c>
      <c r="F77" s="30" t="n">
        <v>8</v>
      </c>
      <c r="G77" s="30" t="n">
        <v>1</v>
      </c>
      <c r="H77" s="19" t="n">
        <v>400</v>
      </c>
      <c r="I77" s="23" t="n">
        <f aca="false">F77*G77*H77</f>
        <v>3200</v>
      </c>
      <c r="J77" s="12" t="s">
        <v>3483</v>
      </c>
      <c r="K77" s="12" t="s">
        <v>2942</v>
      </c>
      <c r="L77" s="12" t="s">
        <v>2950</v>
      </c>
      <c r="M77" s="4" t="s">
        <v>3540</v>
      </c>
    </row>
    <row r="78" customFormat="false" ht="15" hidden="false" customHeight="false" outlineLevel="0" collapsed="false">
      <c r="A78" s="4" t="s">
        <v>3328</v>
      </c>
      <c r="B78" s="12" t="s">
        <v>2930</v>
      </c>
      <c r="C78" s="4" t="s">
        <v>2944</v>
      </c>
      <c r="D78" s="12" t="s">
        <v>2808</v>
      </c>
      <c r="E78" s="12" t="s">
        <v>2477</v>
      </c>
      <c r="F78" s="30" t="n">
        <v>800</v>
      </c>
      <c r="G78" s="30" t="n">
        <v>1</v>
      </c>
      <c r="H78" s="19" t="n">
        <v>2.5</v>
      </c>
      <c r="I78" s="23" t="n">
        <f aca="false">F78*G78*H78</f>
        <v>2000</v>
      </c>
      <c r="J78" s="12" t="s">
        <v>3483</v>
      </c>
      <c r="K78" s="12" t="s">
        <v>2805</v>
      </c>
      <c r="L78" s="12"/>
      <c r="M78" s="4" t="s">
        <v>3247</v>
      </c>
    </row>
    <row r="80" customFormat="false" ht="15" hidden="false" customHeight="false" outlineLevel="0" collapsed="false">
      <c r="A80" s="10" t="s">
        <v>2952</v>
      </c>
      <c r="B80" s="23" t="n">
        <f aca="false">SUMIFS($I$67:$I$78,$B$67:$B$78,"Custos de administração")</f>
        <v>26640</v>
      </c>
      <c r="C80" s="13" t="n">
        <f aca="false">B17</f>
        <v>27556.62</v>
      </c>
      <c r="D80" s="23" t="n">
        <f aca="false">C80-B80</f>
        <v>916.620000000003</v>
      </c>
      <c r="E80" s="12" t="str">
        <f aca="false">IF(D80&gt;=0,"OK","EXCEDE")</f>
        <v>OK</v>
      </c>
    </row>
    <row r="81" customFormat="false" ht="15" hidden="false" customHeight="false" outlineLevel="0" collapsed="false">
      <c r="A81" s="10" t="s">
        <v>2953</v>
      </c>
      <c r="B81" s="23" t="n">
        <f aca="false">SUMIFS($I$67:$I$78,$B$67:$B$78,"Custos de acessibilidade, comunicação e divulgação")</f>
        <v>38500</v>
      </c>
      <c r="C81" s="13" t="n">
        <f aca="false">B18</f>
        <v>39366.6</v>
      </c>
      <c r="D81" s="23" t="n">
        <f aca="false">C81-B81</f>
        <v>866.600000000006</v>
      </c>
      <c r="E81" s="12" t="str">
        <f aca="false">IF(D81&gt;=0,"OK","EXCEDE")</f>
        <v>OK</v>
      </c>
    </row>
    <row r="82" customFormat="false" ht="15" hidden="false" customHeight="false" outlineLevel="0" collapsed="false">
      <c r="A82" s="14" t="s">
        <v>2954</v>
      </c>
    </row>
    <row r="84" customFormat="false" ht="15" hidden="false" customHeight="false" outlineLevel="0" collapsed="false">
      <c r="A84" s="22" t="s">
        <v>2955</v>
      </c>
    </row>
    <row r="85" customFormat="false" ht="30" hidden="false" customHeight="true" outlineLevel="0" collapsed="false">
      <c r="A85" s="21" t="s">
        <v>3541</v>
      </c>
      <c r="B85" s="21"/>
      <c r="C85" s="21"/>
      <c r="D85" s="21"/>
      <c r="E85" s="21"/>
      <c r="F85" s="21"/>
      <c r="G85" s="21"/>
      <c r="H85" s="21"/>
      <c r="I85" s="21"/>
      <c r="J85" s="21"/>
      <c r="K85" s="21"/>
      <c r="L85" s="21"/>
      <c r="M85" s="21"/>
    </row>
    <row r="86" customFormat="false" ht="30" hidden="false" customHeight="true" outlineLevel="0" collapsed="false">
      <c r="A86" s="21" t="s">
        <v>3542</v>
      </c>
      <c r="B86" s="21"/>
      <c r="C86" s="21"/>
      <c r="D86" s="21"/>
      <c r="E86" s="21"/>
      <c r="F86" s="21"/>
      <c r="G86" s="21"/>
      <c r="H86" s="21"/>
      <c r="I86" s="21"/>
      <c r="J86" s="21"/>
      <c r="K86" s="21"/>
      <c r="L86" s="21"/>
      <c r="M86" s="21"/>
    </row>
    <row r="87" customFormat="false" ht="30" hidden="false" customHeight="true" outlineLevel="0" collapsed="false">
      <c r="A87" s="21" t="s">
        <v>3543</v>
      </c>
      <c r="B87" s="21"/>
      <c r="C87" s="21"/>
      <c r="D87" s="21"/>
      <c r="E87" s="21"/>
      <c r="F87" s="21"/>
      <c r="G87" s="21"/>
      <c r="H87" s="21"/>
      <c r="I87" s="21"/>
      <c r="J87" s="21"/>
      <c r="K87" s="21"/>
      <c r="L87" s="21"/>
      <c r="M87" s="21"/>
    </row>
    <row r="88" customFormat="false" ht="30" hidden="false" customHeight="true" outlineLevel="0" collapsed="false">
      <c r="A88" s="21" t="s">
        <v>3544</v>
      </c>
      <c r="B88" s="21"/>
      <c r="C88" s="21"/>
      <c r="D88" s="21"/>
      <c r="E88" s="21"/>
      <c r="F88" s="21"/>
      <c r="G88" s="21"/>
      <c r="H88" s="21"/>
      <c r="I88" s="21"/>
      <c r="J88" s="21"/>
      <c r="K88" s="21"/>
      <c r="L88" s="21"/>
      <c r="M88" s="21"/>
    </row>
    <row r="89" customFormat="false" ht="30" hidden="false" customHeight="true" outlineLevel="0" collapsed="false">
      <c r="A89" s="21" t="s">
        <v>3545</v>
      </c>
      <c r="B89" s="21"/>
      <c r="C89" s="21"/>
      <c r="D89" s="21"/>
      <c r="E89" s="21"/>
      <c r="F89" s="21"/>
      <c r="G89" s="21"/>
      <c r="H89" s="21"/>
      <c r="I89" s="21"/>
      <c r="J89" s="21"/>
      <c r="K89" s="21"/>
      <c r="L89" s="21"/>
      <c r="M89" s="21"/>
    </row>
    <row r="90" customFormat="false" ht="30" hidden="false" customHeight="true" outlineLevel="0" collapsed="false">
      <c r="A90" s="21" t="s">
        <v>3546</v>
      </c>
      <c r="B90" s="21"/>
      <c r="C90" s="21"/>
      <c r="D90" s="21"/>
      <c r="E90" s="21"/>
      <c r="F90" s="21"/>
      <c r="G90" s="21"/>
      <c r="H90" s="21"/>
      <c r="I90" s="21"/>
      <c r="J90" s="21"/>
      <c r="K90" s="21"/>
      <c r="L90" s="21"/>
      <c r="M90" s="21"/>
    </row>
    <row r="91" customFormat="false" ht="30" hidden="false" customHeight="true" outlineLevel="0" collapsed="false">
      <c r="A91" s="21" t="s">
        <v>3547</v>
      </c>
      <c r="B91" s="21"/>
      <c r="C91" s="21"/>
      <c r="D91" s="21"/>
      <c r="E91" s="21"/>
      <c r="F91" s="21"/>
      <c r="G91" s="21"/>
      <c r="H91" s="21"/>
      <c r="I91" s="21"/>
      <c r="J91" s="21"/>
      <c r="K91" s="21"/>
      <c r="L91" s="21"/>
      <c r="M91" s="21"/>
    </row>
    <row r="92" customFormat="false" ht="30" hidden="false" customHeight="true" outlineLevel="0" collapsed="false">
      <c r="A92" s="21" t="s">
        <v>3548</v>
      </c>
      <c r="B92" s="21"/>
      <c r="C92" s="21"/>
      <c r="D92" s="21"/>
      <c r="E92" s="21"/>
      <c r="F92" s="21"/>
      <c r="G92" s="21"/>
      <c r="H92" s="21"/>
      <c r="I92" s="21"/>
      <c r="J92" s="21"/>
      <c r="K92" s="21"/>
      <c r="L92" s="21"/>
      <c r="M92" s="21"/>
    </row>
    <row r="93" customFormat="false" ht="15" hidden="false" customHeight="true" outlineLevel="0" collapsed="false">
      <c r="A93" s="21" t="s">
        <v>3549</v>
      </c>
      <c r="B93" s="21"/>
      <c r="C93" s="21"/>
      <c r="D93" s="21"/>
      <c r="E93" s="21"/>
      <c r="F93" s="21"/>
      <c r="G93" s="21"/>
      <c r="H93" s="21"/>
      <c r="I93" s="21"/>
      <c r="J93" s="21"/>
      <c r="K93" s="21"/>
      <c r="L93" s="21"/>
      <c r="M93" s="21"/>
    </row>
    <row r="95" customFormat="false" ht="15" hidden="false" customHeight="false" outlineLevel="0" collapsed="false">
      <c r="A95" s="22" t="s">
        <v>2964</v>
      </c>
      <c r="B95" s="19" t="n">
        <v>100000</v>
      </c>
    </row>
    <row r="96" customFormat="false" ht="75" hidden="false" customHeight="true" outlineLevel="0" collapsed="false">
      <c r="A96" s="21" t="s">
        <v>3550</v>
      </c>
      <c r="B96" s="21"/>
      <c r="C96" s="21"/>
      <c r="D96" s="21"/>
      <c r="E96" s="21"/>
      <c r="F96" s="21"/>
      <c r="G96" s="21"/>
      <c r="H96" s="21"/>
      <c r="I96" s="21"/>
      <c r="J96" s="21"/>
      <c r="K96" s="21"/>
      <c r="L96" s="21"/>
      <c r="M96" s="21"/>
    </row>
  </sheetData>
  <mergeCells count="15">
    <mergeCell ref="B2:M2"/>
    <mergeCell ref="B3:M3"/>
    <mergeCell ref="B4:M4"/>
    <mergeCell ref="B5:M5"/>
    <mergeCell ref="B6:M6"/>
    <mergeCell ref="A85:M85"/>
    <mergeCell ref="A86:M86"/>
    <mergeCell ref="A87:M87"/>
    <mergeCell ref="A88:M88"/>
    <mergeCell ref="A89:M89"/>
    <mergeCell ref="A90:M90"/>
    <mergeCell ref="A91:M91"/>
    <mergeCell ref="A92:M92"/>
    <mergeCell ref="A93:M93"/>
    <mergeCell ref="A96:M96"/>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2">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7:L78">
    <cfRule type="expression" priority="11" aboveAverage="0" equalAverage="0" bottom="0" percent="0" rank="0" text="" dxfId="2">
      <formula>LEFT(L67,5)="ACIMA"</formula>
    </cfRule>
  </conditionalFormatting>
  <conditionalFormatting sqref="E80:E81">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ISNUMBER(SEARCH("EXCEDE",E80))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3551</v>
      </c>
    </row>
    <row r="2" customFormat="false" ht="30" hidden="false" customHeight="true" outlineLevel="0" collapsed="false">
      <c r="A2" s="22" t="s">
        <v>2748</v>
      </c>
      <c r="B2" s="21" t="s">
        <v>3552</v>
      </c>
      <c r="C2" s="21"/>
      <c r="D2" s="21"/>
      <c r="E2" s="21"/>
      <c r="F2" s="21"/>
      <c r="G2" s="21"/>
      <c r="H2" s="21"/>
      <c r="I2" s="21"/>
      <c r="J2" s="21"/>
      <c r="K2" s="21"/>
      <c r="L2" s="21"/>
      <c r="M2" s="21"/>
    </row>
    <row r="3" customFormat="false" ht="30" hidden="false" customHeight="true" outlineLevel="0" collapsed="false">
      <c r="A3" s="22" t="s">
        <v>2750</v>
      </c>
      <c r="B3" s="21" t="s">
        <v>3553</v>
      </c>
      <c r="C3" s="21"/>
      <c r="D3" s="21"/>
      <c r="E3" s="21"/>
      <c r="F3" s="21"/>
      <c r="G3" s="21"/>
      <c r="H3" s="21"/>
      <c r="I3" s="21"/>
      <c r="J3" s="21"/>
      <c r="K3" s="21"/>
      <c r="L3" s="21"/>
      <c r="M3" s="21"/>
    </row>
    <row r="4" customFormat="false" ht="30" hidden="false" customHeight="true" outlineLevel="0" collapsed="false">
      <c r="A4" s="22" t="s">
        <v>2752</v>
      </c>
      <c r="B4" s="21" t="s">
        <v>3554</v>
      </c>
      <c r="C4" s="21"/>
      <c r="D4" s="21"/>
      <c r="E4" s="21"/>
      <c r="F4" s="21"/>
      <c r="G4" s="21"/>
      <c r="H4" s="21"/>
      <c r="I4" s="21"/>
      <c r="J4" s="21"/>
      <c r="K4" s="21"/>
      <c r="L4" s="21"/>
      <c r="M4" s="21"/>
    </row>
    <row r="5" customFormat="false" ht="30" hidden="false" customHeight="true" outlineLevel="0" collapsed="false">
      <c r="A5" s="22" t="s">
        <v>2754</v>
      </c>
      <c r="B5" s="21" t="s">
        <v>3555</v>
      </c>
      <c r="C5" s="21"/>
      <c r="D5" s="21"/>
      <c r="E5" s="21"/>
      <c r="F5" s="21"/>
      <c r="G5" s="21"/>
      <c r="H5" s="21"/>
      <c r="I5" s="21"/>
      <c r="J5" s="21"/>
      <c r="K5" s="21"/>
      <c r="L5" s="21"/>
      <c r="M5" s="21"/>
    </row>
    <row r="6" customFormat="false" ht="30" hidden="false" customHeight="true" outlineLevel="0" collapsed="false">
      <c r="A6" s="22" t="s">
        <v>2756</v>
      </c>
      <c r="B6" s="21" t="s">
        <v>3556</v>
      </c>
      <c r="C6" s="21"/>
      <c r="D6" s="21"/>
      <c r="E6" s="21"/>
      <c r="F6" s="21"/>
      <c r="G6" s="21"/>
      <c r="H6" s="21"/>
      <c r="I6" s="21"/>
      <c r="J6" s="21"/>
      <c r="K6" s="21"/>
      <c r="L6" s="21"/>
      <c r="M6" s="21"/>
    </row>
    <row r="7" customFormat="false" ht="15" hidden="false" customHeight="false" outlineLevel="0" collapsed="false">
      <c r="A7" s="22" t="s">
        <v>2758</v>
      </c>
      <c r="B7" s="19" t="n">
        <v>600000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SUMIFS($I$26:$I$73,$B$26:$B$73,A11)</f>
        <v>39500</v>
      </c>
      <c r="C11" s="24" t="n">
        <f aca="false">IF($B$16=0,0,B11/$B$16)</f>
        <v>0.0849270594811924</v>
      </c>
    </row>
    <row r="12" customFormat="false" ht="15" hidden="false" customHeight="false" outlineLevel="0" collapsed="false">
      <c r="A12" s="12" t="s">
        <v>2765</v>
      </c>
      <c r="B12" s="23" t="n">
        <f aca="false">SUMIFS($I$26:$I$73,$B$26:$B$73,A12)</f>
        <v>327508</v>
      </c>
      <c r="C12" s="24" t="n">
        <f aca="false">IF($B$16=0,0,B12/$B$16)</f>
        <v>0.70415927586244</v>
      </c>
    </row>
    <row r="13" customFormat="false" ht="15" hidden="false" customHeight="false" outlineLevel="0" collapsed="false">
      <c r="A13" s="12" t="s">
        <v>2766</v>
      </c>
      <c r="B13" s="23" t="n">
        <f aca="false">SUMIFS($I$26:$I$73,$B$26:$B$73,A13)</f>
        <v>65537</v>
      </c>
      <c r="C13" s="24" t="n">
        <f aca="false">IF($B$16=0,0,B13/$B$16)</f>
        <v>0.1409079670182</v>
      </c>
    </row>
    <row r="14" customFormat="false" ht="15" hidden="false" customHeight="false" outlineLevel="0" collapsed="false">
      <c r="A14" s="12" t="s">
        <v>2767</v>
      </c>
      <c r="B14" s="23" t="n">
        <f aca="false">SUMIFS($I$26:$I$73,$B$26:$B$73,A14)</f>
        <v>15000</v>
      </c>
      <c r="C14" s="24" t="n">
        <f aca="false">IF($B$16=0,0,B14/$B$16)</f>
        <v>0.0322507820814655</v>
      </c>
    </row>
    <row r="15" customFormat="false" ht="15" hidden="false" customHeight="false" outlineLevel="0" collapsed="false">
      <c r="A15" s="12" t="s">
        <v>2768</v>
      </c>
      <c r="B15" s="23" t="n">
        <f aca="false">SUMIFS($I$26:$I$73,$B$26:$B$73,A15)</f>
        <v>17560</v>
      </c>
      <c r="C15" s="24" t="n">
        <f aca="false">IF($B$16=0,0,B15/$B$16)</f>
        <v>0.0377549155567023</v>
      </c>
    </row>
    <row r="16" customFormat="false" ht="15" hidden="false" customHeight="false" outlineLevel="0" collapsed="false">
      <c r="A16" s="25" t="s">
        <v>2769</v>
      </c>
      <c r="B16" s="26" t="n">
        <f aca="false">SUM(B11:B15)</f>
        <v>465105</v>
      </c>
    </row>
    <row r="17" customFormat="false" ht="23.85" hidden="false" customHeight="false" outlineLevel="0" collapsed="false">
      <c r="A17" s="4" t="s">
        <v>2770</v>
      </c>
      <c r="B17" s="23" t="n">
        <f aca="false">$B$16*C17</f>
        <v>37208.4</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51161.55</v>
      </c>
      <c r="C18" s="27" t="n">
        <v>0.11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46510.5</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599985.45</v>
      </c>
    </row>
    <row r="21" customFormat="false" ht="15" hidden="false" customHeight="false" outlineLevel="0" collapsed="false">
      <c r="A21" s="12" t="s">
        <v>2774</v>
      </c>
      <c r="B21" s="23" t="n">
        <f aca="false">B20-B7</f>
        <v>-14.5499999999302</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46.25" hidden="false" customHeight="false" outlineLevel="0" collapsed="false">
      <c r="A26" s="4" t="s">
        <v>3557</v>
      </c>
      <c r="B26" s="12" t="s">
        <v>2764</v>
      </c>
      <c r="C26" s="4" t="s">
        <v>3151</v>
      </c>
      <c r="D26" s="12" t="s">
        <v>2793</v>
      </c>
      <c r="E26" s="12" t="s">
        <v>2484</v>
      </c>
      <c r="F26" s="29" t="n">
        <v>1</v>
      </c>
      <c r="G26" s="29" t="n">
        <v>2</v>
      </c>
      <c r="H26" s="19" t="n">
        <v>5500</v>
      </c>
      <c r="I26" s="23" t="n">
        <f aca="false">F26*G26*H26</f>
        <v>11000</v>
      </c>
      <c r="J26" s="12" t="s">
        <v>2794</v>
      </c>
      <c r="K26" s="12" t="s">
        <v>2795</v>
      </c>
      <c r="L26" s="12" t="s">
        <v>2796</v>
      </c>
      <c r="M26" s="4" t="s">
        <v>3558</v>
      </c>
    </row>
    <row r="27" customFormat="false" ht="46.25" hidden="false" customHeight="false" outlineLevel="0" collapsed="false">
      <c r="A27" s="4" t="s">
        <v>3557</v>
      </c>
      <c r="B27" s="12" t="s">
        <v>2764</v>
      </c>
      <c r="C27" s="4" t="s">
        <v>3559</v>
      </c>
      <c r="D27" s="12" t="s">
        <v>2793</v>
      </c>
      <c r="E27" s="12" t="s">
        <v>2484</v>
      </c>
      <c r="F27" s="29" t="n">
        <v>1</v>
      </c>
      <c r="G27" s="29" t="n">
        <v>2</v>
      </c>
      <c r="H27" s="19" t="n">
        <v>5000</v>
      </c>
      <c r="I27" s="23" t="n">
        <f aca="false">F27*G27*H27</f>
        <v>10000</v>
      </c>
      <c r="J27" s="12" t="s">
        <v>2794</v>
      </c>
      <c r="K27" s="12" t="s">
        <v>3083</v>
      </c>
      <c r="L27" s="12" t="s">
        <v>2796</v>
      </c>
      <c r="M27" s="4" t="s">
        <v>3560</v>
      </c>
    </row>
    <row r="28" customFormat="false" ht="46.25" hidden="false" customHeight="false" outlineLevel="0" collapsed="false">
      <c r="A28" s="4" t="s">
        <v>3557</v>
      </c>
      <c r="B28" s="12" t="s">
        <v>2764</v>
      </c>
      <c r="C28" s="4" t="s">
        <v>3561</v>
      </c>
      <c r="D28" s="12" t="s">
        <v>2793</v>
      </c>
      <c r="E28" s="12" t="s">
        <v>2484</v>
      </c>
      <c r="F28" s="29" t="n">
        <v>1</v>
      </c>
      <c r="G28" s="29" t="n">
        <v>2</v>
      </c>
      <c r="H28" s="19" t="n">
        <v>5000</v>
      </c>
      <c r="I28" s="23" t="n">
        <f aca="false">F28*G28*H28</f>
        <v>10000</v>
      </c>
      <c r="J28" s="12" t="s">
        <v>3562</v>
      </c>
      <c r="K28" s="12" t="s">
        <v>2805</v>
      </c>
      <c r="L28" s="12"/>
      <c r="M28" s="4" t="s">
        <v>3563</v>
      </c>
    </row>
    <row r="29" customFormat="false" ht="46.25" hidden="false" customHeight="false" outlineLevel="0" collapsed="false">
      <c r="A29" s="4" t="s">
        <v>3557</v>
      </c>
      <c r="B29" s="12" t="s">
        <v>2764</v>
      </c>
      <c r="C29" s="4" t="s">
        <v>2801</v>
      </c>
      <c r="D29" s="12" t="s">
        <v>2793</v>
      </c>
      <c r="E29" s="12" t="s">
        <v>2484</v>
      </c>
      <c r="F29" s="29" t="n">
        <v>1</v>
      </c>
      <c r="G29" s="29" t="n">
        <v>1</v>
      </c>
      <c r="H29" s="19" t="n">
        <v>4500</v>
      </c>
      <c r="I29" s="23" t="n">
        <f aca="false">F29*G29*H29</f>
        <v>4500</v>
      </c>
      <c r="J29" s="12" t="s">
        <v>2794</v>
      </c>
      <c r="K29" s="12" t="s">
        <v>2795</v>
      </c>
      <c r="L29" s="12" t="s">
        <v>2796</v>
      </c>
      <c r="M29" s="4"/>
    </row>
    <row r="30" customFormat="false" ht="46.25" hidden="false" customHeight="false" outlineLevel="0" collapsed="false">
      <c r="A30" s="4" t="s">
        <v>3557</v>
      </c>
      <c r="B30" s="12" t="s">
        <v>2764</v>
      </c>
      <c r="C30" s="4" t="s">
        <v>3564</v>
      </c>
      <c r="D30" s="12" t="s">
        <v>2808</v>
      </c>
      <c r="E30" s="12" t="s">
        <v>2497</v>
      </c>
      <c r="F30" s="29" t="n">
        <v>1</v>
      </c>
      <c r="G30" s="29" t="n">
        <v>4</v>
      </c>
      <c r="H30" s="19" t="n">
        <v>1000</v>
      </c>
      <c r="I30" s="23" t="n">
        <f aca="false">F30*G30*H30</f>
        <v>4000</v>
      </c>
      <c r="J30" s="12" t="s">
        <v>3562</v>
      </c>
      <c r="K30" s="12" t="s">
        <v>2810</v>
      </c>
      <c r="L30" s="12" t="s">
        <v>2796</v>
      </c>
      <c r="M30" s="4"/>
    </row>
    <row r="31" customFormat="false" ht="46.25" hidden="false" customHeight="false" outlineLevel="0" collapsed="false">
      <c r="A31" s="4" t="s">
        <v>3557</v>
      </c>
      <c r="B31" s="12" t="s">
        <v>2765</v>
      </c>
      <c r="C31" s="4" t="s">
        <v>3151</v>
      </c>
      <c r="D31" s="12" t="s">
        <v>2793</v>
      </c>
      <c r="E31" s="12" t="s">
        <v>2484</v>
      </c>
      <c r="F31" s="29" t="n">
        <v>1</v>
      </c>
      <c r="G31" s="29" t="n">
        <v>4</v>
      </c>
      <c r="H31" s="19" t="n">
        <v>5500</v>
      </c>
      <c r="I31" s="23" t="n">
        <f aca="false">F31*G31*H31</f>
        <v>22000</v>
      </c>
      <c r="J31" s="12" t="s">
        <v>3562</v>
      </c>
      <c r="K31" s="12" t="s">
        <v>2795</v>
      </c>
      <c r="L31" s="12" t="s">
        <v>2796</v>
      </c>
      <c r="M31" s="4" t="s">
        <v>3565</v>
      </c>
    </row>
    <row r="32" customFormat="false" ht="46.25" hidden="false" customHeight="false" outlineLevel="0" collapsed="false">
      <c r="A32" s="4" t="s">
        <v>3557</v>
      </c>
      <c r="B32" s="12" t="s">
        <v>2765</v>
      </c>
      <c r="C32" s="4" t="s">
        <v>3566</v>
      </c>
      <c r="D32" s="12" t="s">
        <v>2793</v>
      </c>
      <c r="E32" s="12" t="s">
        <v>2484</v>
      </c>
      <c r="F32" s="29" t="n">
        <v>1</v>
      </c>
      <c r="G32" s="29" t="n">
        <v>3</v>
      </c>
      <c r="H32" s="19" t="n">
        <v>5000</v>
      </c>
      <c r="I32" s="23" t="n">
        <f aca="false">F32*G32*H32</f>
        <v>15000</v>
      </c>
      <c r="J32" s="12" t="s">
        <v>3562</v>
      </c>
      <c r="K32" s="12" t="s">
        <v>3083</v>
      </c>
      <c r="L32" s="12" t="s">
        <v>2796</v>
      </c>
      <c r="M32" s="4"/>
    </row>
    <row r="33" customFormat="false" ht="46.25" hidden="false" customHeight="false" outlineLevel="0" collapsed="false">
      <c r="A33" s="4" t="s">
        <v>3557</v>
      </c>
      <c r="B33" s="12" t="s">
        <v>2765</v>
      </c>
      <c r="C33" s="4" t="s">
        <v>2801</v>
      </c>
      <c r="D33" s="12" t="s">
        <v>2793</v>
      </c>
      <c r="E33" s="12" t="s">
        <v>2484</v>
      </c>
      <c r="F33" s="29" t="n">
        <v>1</v>
      </c>
      <c r="G33" s="29" t="n">
        <v>4</v>
      </c>
      <c r="H33" s="19" t="n">
        <v>4500</v>
      </c>
      <c r="I33" s="23" t="n">
        <f aca="false">F33*G33*H33</f>
        <v>18000</v>
      </c>
      <c r="J33" s="12" t="s">
        <v>3562</v>
      </c>
      <c r="K33" s="12" t="s">
        <v>2795</v>
      </c>
      <c r="L33" s="12" t="s">
        <v>2796</v>
      </c>
      <c r="M33" s="4"/>
    </row>
    <row r="34" customFormat="false" ht="46.25" hidden="false" customHeight="false" outlineLevel="0" collapsed="false">
      <c r="A34" s="4" t="s">
        <v>3557</v>
      </c>
      <c r="B34" s="12" t="s">
        <v>2765</v>
      </c>
      <c r="C34" s="4" t="s">
        <v>2493</v>
      </c>
      <c r="D34" s="12" t="s">
        <v>2793</v>
      </c>
      <c r="E34" s="12" t="s">
        <v>2484</v>
      </c>
      <c r="F34" s="29" t="n">
        <v>1</v>
      </c>
      <c r="G34" s="29" t="n">
        <v>2</v>
      </c>
      <c r="H34" s="19" t="n">
        <v>3500</v>
      </c>
      <c r="I34" s="23" t="n">
        <f aca="false">F34*G34*H34</f>
        <v>7000</v>
      </c>
      <c r="J34" s="12" t="s">
        <v>3562</v>
      </c>
      <c r="K34" s="12" t="s">
        <v>2818</v>
      </c>
      <c r="L34" s="12" t="s">
        <v>2796</v>
      </c>
      <c r="M34" s="4"/>
    </row>
    <row r="35" customFormat="false" ht="46.25" hidden="false" customHeight="false" outlineLevel="0" collapsed="false">
      <c r="A35" s="4" t="s">
        <v>3557</v>
      </c>
      <c r="B35" s="12" t="s">
        <v>2765</v>
      </c>
      <c r="C35" s="4" t="s">
        <v>3179</v>
      </c>
      <c r="D35" s="12" t="s">
        <v>2808</v>
      </c>
      <c r="E35" s="12" t="s">
        <v>2497</v>
      </c>
      <c r="F35" s="29" t="n">
        <v>4</v>
      </c>
      <c r="G35" s="29" t="n">
        <v>8</v>
      </c>
      <c r="H35" s="19" t="n">
        <v>450</v>
      </c>
      <c r="I35" s="23" t="n">
        <f aca="false">F35*G35*H35</f>
        <v>14400</v>
      </c>
      <c r="J35" s="12" t="s">
        <v>3562</v>
      </c>
      <c r="K35" s="12" t="s">
        <v>3180</v>
      </c>
      <c r="L35" s="12" t="s">
        <v>2796</v>
      </c>
      <c r="M35" s="4" t="s">
        <v>3567</v>
      </c>
    </row>
    <row r="36" customFormat="false" ht="46.25" hidden="false" customHeight="false" outlineLevel="0" collapsed="false">
      <c r="A36" s="4" t="s">
        <v>3557</v>
      </c>
      <c r="B36" s="12" t="s">
        <v>2765</v>
      </c>
      <c r="C36" s="4" t="s">
        <v>3568</v>
      </c>
      <c r="D36" s="12" t="s">
        <v>2855</v>
      </c>
      <c r="E36" s="12" t="s">
        <v>2516</v>
      </c>
      <c r="F36" s="29" t="n">
        <v>28</v>
      </c>
      <c r="G36" s="29" t="n">
        <v>1</v>
      </c>
      <c r="H36" s="19" t="n">
        <v>1831</v>
      </c>
      <c r="I36" s="23" t="n">
        <f aca="false">F36*G36*H36</f>
        <v>51268</v>
      </c>
      <c r="J36" s="12" t="s">
        <v>3562</v>
      </c>
      <c r="K36" s="12" t="s">
        <v>2985</v>
      </c>
      <c r="L36" s="12" t="s">
        <v>2796</v>
      </c>
      <c r="M36" s="4" t="s">
        <v>3569</v>
      </c>
    </row>
    <row r="37" customFormat="false" ht="46.25" hidden="false" customHeight="false" outlineLevel="0" collapsed="false">
      <c r="A37" s="4" t="s">
        <v>3557</v>
      </c>
      <c r="B37" s="12" t="s">
        <v>2765</v>
      </c>
      <c r="C37" s="4" t="s">
        <v>3570</v>
      </c>
      <c r="D37" s="12" t="s">
        <v>2855</v>
      </c>
      <c r="E37" s="12" t="s">
        <v>2516</v>
      </c>
      <c r="F37" s="29" t="n">
        <v>8</v>
      </c>
      <c r="G37" s="29" t="n">
        <v>1</v>
      </c>
      <c r="H37" s="19" t="n">
        <v>1500</v>
      </c>
      <c r="I37" s="23" t="n">
        <f aca="false">F37*G37*H37</f>
        <v>12000</v>
      </c>
      <c r="J37" s="12" t="s">
        <v>3562</v>
      </c>
      <c r="K37" s="12" t="s">
        <v>2805</v>
      </c>
      <c r="L37" s="12"/>
      <c r="M37" s="4" t="s">
        <v>3571</v>
      </c>
    </row>
    <row r="38" customFormat="false" ht="46.25" hidden="false" customHeight="false" outlineLevel="0" collapsed="false">
      <c r="A38" s="4" t="s">
        <v>3557</v>
      </c>
      <c r="B38" s="12" t="s">
        <v>2765</v>
      </c>
      <c r="C38" s="4" t="s">
        <v>3572</v>
      </c>
      <c r="D38" s="12" t="s">
        <v>2808</v>
      </c>
      <c r="E38" s="12" t="s">
        <v>3573</v>
      </c>
      <c r="F38" s="29" t="n">
        <v>28</v>
      </c>
      <c r="G38" s="29" t="n">
        <v>1</v>
      </c>
      <c r="H38" s="19" t="n">
        <v>500</v>
      </c>
      <c r="I38" s="23" t="n">
        <f aca="false">F38*G38*H38</f>
        <v>14000</v>
      </c>
      <c r="J38" s="12" t="s">
        <v>3562</v>
      </c>
      <c r="K38" s="12" t="s">
        <v>2805</v>
      </c>
      <c r="L38" s="12"/>
      <c r="M38" s="4" t="s">
        <v>3574</v>
      </c>
    </row>
    <row r="39" customFormat="false" ht="46.25" hidden="false" customHeight="false" outlineLevel="0" collapsed="false">
      <c r="A39" s="4" t="s">
        <v>3557</v>
      </c>
      <c r="B39" s="12" t="s">
        <v>2765</v>
      </c>
      <c r="C39" s="4" t="s">
        <v>3575</v>
      </c>
      <c r="D39" s="12" t="s">
        <v>2808</v>
      </c>
      <c r="E39" s="12" t="s">
        <v>2497</v>
      </c>
      <c r="F39" s="29" t="n">
        <v>1</v>
      </c>
      <c r="G39" s="29" t="n">
        <v>12</v>
      </c>
      <c r="H39" s="19" t="n">
        <v>1200</v>
      </c>
      <c r="I39" s="23" t="n">
        <f aca="false">F39*G39*H39</f>
        <v>14400</v>
      </c>
      <c r="J39" s="12" t="s">
        <v>3562</v>
      </c>
      <c r="K39" s="12" t="s">
        <v>2805</v>
      </c>
      <c r="L39" s="12"/>
      <c r="M39" s="4" t="s">
        <v>3576</v>
      </c>
    </row>
    <row r="40" customFormat="false" ht="46.25" hidden="false" customHeight="false" outlineLevel="0" collapsed="false">
      <c r="A40" s="4" t="s">
        <v>3557</v>
      </c>
      <c r="B40" s="12" t="s">
        <v>2765</v>
      </c>
      <c r="C40" s="4" t="s">
        <v>3577</v>
      </c>
      <c r="D40" s="12" t="s">
        <v>2808</v>
      </c>
      <c r="E40" s="12" t="s">
        <v>2497</v>
      </c>
      <c r="F40" s="29" t="n">
        <v>1</v>
      </c>
      <c r="G40" s="29" t="n">
        <v>12</v>
      </c>
      <c r="H40" s="19" t="n">
        <v>1100</v>
      </c>
      <c r="I40" s="23" t="n">
        <f aca="false">F40*G40*H40</f>
        <v>13200</v>
      </c>
      <c r="J40" s="12" t="s">
        <v>3562</v>
      </c>
      <c r="K40" s="12" t="s">
        <v>3434</v>
      </c>
      <c r="L40" s="12" t="s">
        <v>2796</v>
      </c>
      <c r="M40" s="4" t="s">
        <v>3578</v>
      </c>
    </row>
    <row r="41" customFormat="false" ht="46.25" hidden="false" customHeight="false" outlineLevel="0" collapsed="false">
      <c r="A41" s="4" t="s">
        <v>3557</v>
      </c>
      <c r="B41" s="12" t="s">
        <v>2765</v>
      </c>
      <c r="C41" s="4" t="s">
        <v>3579</v>
      </c>
      <c r="D41" s="12" t="s">
        <v>2808</v>
      </c>
      <c r="E41" s="12" t="s">
        <v>2497</v>
      </c>
      <c r="F41" s="29" t="n">
        <v>1</v>
      </c>
      <c r="G41" s="29" t="n">
        <v>12</v>
      </c>
      <c r="H41" s="19" t="n">
        <v>700</v>
      </c>
      <c r="I41" s="23" t="n">
        <f aca="false">F41*G41*H41</f>
        <v>8400</v>
      </c>
      <c r="J41" s="12" t="s">
        <v>3562</v>
      </c>
      <c r="K41" s="12" t="s">
        <v>2805</v>
      </c>
      <c r="L41" s="12"/>
      <c r="M41" s="4" t="s">
        <v>3580</v>
      </c>
    </row>
    <row r="42" customFormat="false" ht="46.25" hidden="false" customHeight="false" outlineLevel="0" collapsed="false">
      <c r="A42" s="4" t="s">
        <v>3557</v>
      </c>
      <c r="B42" s="12" t="s">
        <v>2765</v>
      </c>
      <c r="C42" s="4" t="s">
        <v>3581</v>
      </c>
      <c r="D42" s="12" t="s">
        <v>2882</v>
      </c>
      <c r="E42" s="12" t="s">
        <v>2601</v>
      </c>
      <c r="F42" s="29" t="n">
        <v>4</v>
      </c>
      <c r="G42" s="29" t="n">
        <v>1</v>
      </c>
      <c r="H42" s="19" t="n">
        <v>1200</v>
      </c>
      <c r="I42" s="23" t="n">
        <f aca="false">F42*G42*H42</f>
        <v>4800</v>
      </c>
      <c r="J42" s="12" t="s">
        <v>3562</v>
      </c>
      <c r="K42" s="12" t="s">
        <v>2805</v>
      </c>
      <c r="L42" s="12"/>
      <c r="M42" s="4"/>
    </row>
    <row r="43" customFormat="false" ht="46.25" hidden="false" customHeight="false" outlineLevel="0" collapsed="false">
      <c r="A43" s="4" t="s">
        <v>3557</v>
      </c>
      <c r="B43" s="12" t="s">
        <v>2765</v>
      </c>
      <c r="C43" s="4" t="s">
        <v>3582</v>
      </c>
      <c r="D43" s="12" t="s">
        <v>2808</v>
      </c>
      <c r="E43" s="12" t="s">
        <v>2497</v>
      </c>
      <c r="F43" s="29" t="n">
        <v>1</v>
      </c>
      <c r="G43" s="29" t="n">
        <v>12</v>
      </c>
      <c r="H43" s="19" t="n">
        <v>450</v>
      </c>
      <c r="I43" s="23" t="n">
        <f aca="false">F43*G43*H43</f>
        <v>5400</v>
      </c>
      <c r="J43" s="12" t="s">
        <v>3562</v>
      </c>
      <c r="K43" s="12" t="s">
        <v>2805</v>
      </c>
      <c r="L43" s="12"/>
      <c r="M43" s="4" t="s">
        <v>3583</v>
      </c>
    </row>
    <row r="44" customFormat="false" ht="46.25" hidden="false" customHeight="false" outlineLevel="0" collapsed="false">
      <c r="A44" s="4" t="s">
        <v>3557</v>
      </c>
      <c r="B44" s="12" t="s">
        <v>2765</v>
      </c>
      <c r="C44" s="4" t="s">
        <v>3505</v>
      </c>
      <c r="D44" s="12" t="s">
        <v>2808</v>
      </c>
      <c r="E44" s="12" t="s">
        <v>3506</v>
      </c>
      <c r="F44" s="29" t="n">
        <v>24</v>
      </c>
      <c r="G44" s="29" t="n">
        <v>1</v>
      </c>
      <c r="H44" s="19" t="n">
        <v>220</v>
      </c>
      <c r="I44" s="23" t="n">
        <f aca="false">F44*G44*H44</f>
        <v>5280</v>
      </c>
      <c r="J44" s="12" t="s">
        <v>3562</v>
      </c>
      <c r="K44" s="12" t="s">
        <v>3507</v>
      </c>
      <c r="L44" s="12" t="s">
        <v>2796</v>
      </c>
      <c r="M44" s="4" t="s">
        <v>3584</v>
      </c>
    </row>
    <row r="45" customFormat="false" ht="46.25" hidden="false" customHeight="false" outlineLevel="0" collapsed="false">
      <c r="A45" s="4" t="s">
        <v>3557</v>
      </c>
      <c r="B45" s="12" t="s">
        <v>2765</v>
      </c>
      <c r="C45" s="4" t="s">
        <v>3323</v>
      </c>
      <c r="D45" s="12" t="s">
        <v>2808</v>
      </c>
      <c r="E45" s="12" t="s">
        <v>2497</v>
      </c>
      <c r="F45" s="29" t="n">
        <v>12</v>
      </c>
      <c r="G45" s="29" t="n">
        <v>1</v>
      </c>
      <c r="H45" s="19" t="n">
        <v>280</v>
      </c>
      <c r="I45" s="23" t="n">
        <f aca="false">F45*G45*H45</f>
        <v>3360</v>
      </c>
      <c r="J45" s="12" t="s">
        <v>3562</v>
      </c>
      <c r="K45" s="12" t="s">
        <v>3324</v>
      </c>
      <c r="L45" s="12" t="s">
        <v>2950</v>
      </c>
      <c r="M45" s="4"/>
    </row>
    <row r="46" customFormat="false" ht="46.25" hidden="false" customHeight="false" outlineLevel="0" collapsed="false">
      <c r="A46" s="4" t="s">
        <v>3557</v>
      </c>
      <c r="B46" s="12" t="s">
        <v>2765</v>
      </c>
      <c r="C46" s="4" t="s">
        <v>3325</v>
      </c>
      <c r="D46" s="12" t="s">
        <v>2808</v>
      </c>
      <c r="E46" s="12" t="s">
        <v>2497</v>
      </c>
      <c r="F46" s="29" t="n">
        <v>12</v>
      </c>
      <c r="G46" s="29" t="n">
        <v>1</v>
      </c>
      <c r="H46" s="19" t="n">
        <v>300</v>
      </c>
      <c r="I46" s="23" t="n">
        <f aca="false">F46*G46*H46</f>
        <v>3600</v>
      </c>
      <c r="J46" s="12" t="s">
        <v>3562</v>
      </c>
      <c r="K46" s="12" t="s">
        <v>2875</v>
      </c>
      <c r="L46" s="12" t="s">
        <v>2796</v>
      </c>
      <c r="M46" s="4"/>
    </row>
    <row r="47" customFormat="false" ht="46.25" hidden="false" customHeight="false" outlineLevel="0" collapsed="false">
      <c r="A47" s="4" t="s">
        <v>3557</v>
      </c>
      <c r="B47" s="12" t="s">
        <v>2765</v>
      </c>
      <c r="C47" s="4" t="s">
        <v>3322</v>
      </c>
      <c r="D47" s="12" t="s">
        <v>2808</v>
      </c>
      <c r="E47" s="12" t="s">
        <v>2497</v>
      </c>
      <c r="F47" s="29" t="n">
        <v>16</v>
      </c>
      <c r="G47" s="29" t="n">
        <v>1</v>
      </c>
      <c r="H47" s="19" t="n">
        <v>300</v>
      </c>
      <c r="I47" s="23" t="n">
        <f aca="false">F47*G47*H47</f>
        <v>4800</v>
      </c>
      <c r="J47" s="12" t="s">
        <v>3562</v>
      </c>
      <c r="K47" s="12" t="s">
        <v>2870</v>
      </c>
      <c r="L47" s="12" t="s">
        <v>2796</v>
      </c>
      <c r="M47" s="4" t="s">
        <v>3585</v>
      </c>
    </row>
    <row r="48" customFormat="false" ht="46.25" hidden="false" customHeight="false" outlineLevel="0" collapsed="false">
      <c r="A48" s="4" t="s">
        <v>3557</v>
      </c>
      <c r="B48" s="12" t="s">
        <v>2765</v>
      </c>
      <c r="C48" s="4" t="s">
        <v>3586</v>
      </c>
      <c r="D48" s="12" t="s">
        <v>2882</v>
      </c>
      <c r="E48" s="12" t="s">
        <v>2601</v>
      </c>
      <c r="F48" s="29" t="n">
        <v>4</v>
      </c>
      <c r="G48" s="29" t="n">
        <v>1</v>
      </c>
      <c r="H48" s="19" t="n">
        <v>2000</v>
      </c>
      <c r="I48" s="23" t="n">
        <f aca="false">F48*G48*H48</f>
        <v>8000</v>
      </c>
      <c r="J48" s="12" t="s">
        <v>3562</v>
      </c>
      <c r="K48" s="12" t="s">
        <v>3327</v>
      </c>
      <c r="L48" s="12" t="s">
        <v>2796</v>
      </c>
      <c r="M48" s="4"/>
    </row>
    <row r="49" customFormat="false" ht="46.25" hidden="false" customHeight="false" outlineLevel="0" collapsed="false">
      <c r="A49" s="4" t="s">
        <v>3557</v>
      </c>
      <c r="B49" s="12" t="s">
        <v>2765</v>
      </c>
      <c r="C49" s="4" t="s">
        <v>3587</v>
      </c>
      <c r="D49" s="12" t="s">
        <v>2882</v>
      </c>
      <c r="E49" s="12" t="s">
        <v>2601</v>
      </c>
      <c r="F49" s="29" t="n">
        <v>4</v>
      </c>
      <c r="G49" s="29" t="n">
        <v>1</v>
      </c>
      <c r="H49" s="19" t="n">
        <v>800</v>
      </c>
      <c r="I49" s="23" t="n">
        <f aca="false">F49*G49*H49</f>
        <v>3200</v>
      </c>
      <c r="J49" s="12" t="s">
        <v>3562</v>
      </c>
      <c r="K49" s="12" t="s">
        <v>2805</v>
      </c>
      <c r="L49" s="12"/>
      <c r="M49" s="4"/>
    </row>
    <row r="50" customFormat="false" ht="15" hidden="false" customHeight="false" outlineLevel="0" collapsed="false">
      <c r="A50" s="4" t="s">
        <v>3328</v>
      </c>
      <c r="B50" s="12" t="s">
        <v>2765</v>
      </c>
      <c r="C50" s="4" t="s">
        <v>3513</v>
      </c>
      <c r="D50" s="12" t="s">
        <v>2808</v>
      </c>
      <c r="E50" s="12" t="s">
        <v>2683</v>
      </c>
      <c r="F50" s="29" t="n">
        <v>1</v>
      </c>
      <c r="G50" s="29" t="n">
        <v>1</v>
      </c>
      <c r="H50" s="19" t="n">
        <v>3000</v>
      </c>
      <c r="I50" s="23" t="n">
        <f aca="false">F50*G50*H50</f>
        <v>3000</v>
      </c>
      <c r="J50" s="12" t="s">
        <v>3562</v>
      </c>
      <c r="K50" s="12" t="s">
        <v>2845</v>
      </c>
      <c r="L50" s="12" t="s">
        <v>2796</v>
      </c>
      <c r="M50" s="4"/>
    </row>
    <row r="51" customFormat="false" ht="46.25" hidden="false" customHeight="false" outlineLevel="0" collapsed="false">
      <c r="A51" s="4" t="s">
        <v>3557</v>
      </c>
      <c r="B51" s="12" t="s">
        <v>2765</v>
      </c>
      <c r="C51" s="4" t="s">
        <v>3588</v>
      </c>
      <c r="D51" s="12" t="s">
        <v>2808</v>
      </c>
      <c r="E51" s="12" t="s">
        <v>2497</v>
      </c>
      <c r="F51" s="29" t="n">
        <v>1</v>
      </c>
      <c r="G51" s="29" t="n">
        <v>10</v>
      </c>
      <c r="H51" s="19" t="n">
        <v>1000</v>
      </c>
      <c r="I51" s="23" t="n">
        <f aca="false">F51*G51*H51</f>
        <v>10000</v>
      </c>
      <c r="J51" s="12" t="s">
        <v>3562</v>
      </c>
      <c r="K51" s="12" t="s">
        <v>2810</v>
      </c>
      <c r="L51" s="12" t="s">
        <v>2796</v>
      </c>
      <c r="M51" s="4"/>
    </row>
    <row r="52" customFormat="false" ht="46.25" hidden="false" customHeight="false" outlineLevel="0" collapsed="false">
      <c r="A52" s="4" t="s">
        <v>3557</v>
      </c>
      <c r="B52" s="12" t="s">
        <v>2765</v>
      </c>
      <c r="C52" s="4" t="s">
        <v>3589</v>
      </c>
      <c r="D52" s="12" t="s">
        <v>2808</v>
      </c>
      <c r="E52" s="12" t="s">
        <v>2497</v>
      </c>
      <c r="F52" s="29" t="n">
        <v>1</v>
      </c>
      <c r="G52" s="29" t="n">
        <v>4</v>
      </c>
      <c r="H52" s="19" t="n">
        <v>2200</v>
      </c>
      <c r="I52" s="23" t="n">
        <f aca="false">F52*G52*H52</f>
        <v>8800</v>
      </c>
      <c r="J52" s="12" t="s">
        <v>3562</v>
      </c>
      <c r="K52" s="12" t="s">
        <v>3017</v>
      </c>
      <c r="L52" s="12" t="s">
        <v>2796</v>
      </c>
      <c r="M52" s="4" t="s">
        <v>3590</v>
      </c>
    </row>
    <row r="53" customFormat="false" ht="46.25" hidden="false" customHeight="false" outlineLevel="0" collapsed="false">
      <c r="A53" s="4" t="s">
        <v>3557</v>
      </c>
      <c r="B53" s="12" t="s">
        <v>2765</v>
      </c>
      <c r="C53" s="4" t="s">
        <v>3591</v>
      </c>
      <c r="D53" s="12" t="s">
        <v>2808</v>
      </c>
      <c r="E53" s="12" t="s">
        <v>3165</v>
      </c>
      <c r="F53" s="29" t="n">
        <v>5</v>
      </c>
      <c r="G53" s="29" t="n">
        <v>9</v>
      </c>
      <c r="H53" s="19" t="n">
        <v>200</v>
      </c>
      <c r="I53" s="23" t="n">
        <f aca="false">F53*G53*H53</f>
        <v>9000</v>
      </c>
      <c r="J53" s="12" t="s">
        <v>3562</v>
      </c>
      <c r="K53" s="12" t="s">
        <v>3166</v>
      </c>
      <c r="L53" s="12" t="s">
        <v>2796</v>
      </c>
      <c r="M53" s="4" t="s">
        <v>3592</v>
      </c>
    </row>
    <row r="54" customFormat="false" ht="46.25" hidden="false" customHeight="false" outlineLevel="0" collapsed="false">
      <c r="A54" s="4" t="s">
        <v>3557</v>
      </c>
      <c r="B54" s="12" t="s">
        <v>2765</v>
      </c>
      <c r="C54" s="4" t="s">
        <v>3593</v>
      </c>
      <c r="D54" s="12" t="s">
        <v>2808</v>
      </c>
      <c r="E54" s="12" t="s">
        <v>3165</v>
      </c>
      <c r="F54" s="29" t="n">
        <v>8</v>
      </c>
      <c r="G54" s="29" t="n">
        <v>12</v>
      </c>
      <c r="H54" s="19" t="n">
        <v>90</v>
      </c>
      <c r="I54" s="23" t="n">
        <f aca="false">F54*G54*H54</f>
        <v>8640</v>
      </c>
      <c r="J54" s="12" t="s">
        <v>3562</v>
      </c>
      <c r="K54" s="12" t="s">
        <v>3169</v>
      </c>
      <c r="L54" s="12" t="s">
        <v>2796</v>
      </c>
      <c r="M54" s="4" t="s">
        <v>3594</v>
      </c>
    </row>
    <row r="55" customFormat="false" ht="46.25" hidden="false" customHeight="false" outlineLevel="0" collapsed="false">
      <c r="A55" s="4" t="s">
        <v>3557</v>
      </c>
      <c r="B55" s="12" t="s">
        <v>2765</v>
      </c>
      <c r="C55" s="4" t="s">
        <v>3595</v>
      </c>
      <c r="D55" s="12" t="s">
        <v>2808</v>
      </c>
      <c r="E55" s="12" t="s">
        <v>2590</v>
      </c>
      <c r="F55" s="29" t="n">
        <v>14</v>
      </c>
      <c r="G55" s="29" t="n">
        <v>2</v>
      </c>
      <c r="H55" s="19" t="n">
        <v>120</v>
      </c>
      <c r="I55" s="23" t="n">
        <f aca="false">F55*G55*H55</f>
        <v>3360</v>
      </c>
      <c r="J55" s="12" t="s">
        <v>3562</v>
      </c>
      <c r="K55" s="12" t="s">
        <v>3596</v>
      </c>
      <c r="L55" s="12" t="s">
        <v>2796</v>
      </c>
      <c r="M55" s="4" t="s">
        <v>3597</v>
      </c>
    </row>
    <row r="56" customFormat="false" ht="23.85" hidden="false" customHeight="false" outlineLevel="0" collapsed="false">
      <c r="A56" s="4" t="s">
        <v>3598</v>
      </c>
      <c r="B56" s="12" t="s">
        <v>2765</v>
      </c>
      <c r="C56" s="4" t="s">
        <v>3599</v>
      </c>
      <c r="D56" s="12" t="s">
        <v>2808</v>
      </c>
      <c r="E56" s="12" t="s">
        <v>2497</v>
      </c>
      <c r="F56" s="29" t="n">
        <v>10</v>
      </c>
      <c r="G56" s="29" t="n">
        <v>8</v>
      </c>
      <c r="H56" s="19" t="n">
        <v>250</v>
      </c>
      <c r="I56" s="23" t="n">
        <f aca="false">F56*G56*H56</f>
        <v>20000</v>
      </c>
      <c r="J56" s="12" t="s">
        <v>3562</v>
      </c>
      <c r="K56" s="12" t="s">
        <v>2805</v>
      </c>
      <c r="L56" s="12"/>
      <c r="M56" s="4" t="s">
        <v>3600</v>
      </c>
    </row>
    <row r="57" customFormat="false" ht="23.85" hidden="false" customHeight="false" outlineLevel="0" collapsed="false">
      <c r="A57" s="4" t="s">
        <v>3601</v>
      </c>
      <c r="B57" s="12" t="s">
        <v>2765</v>
      </c>
      <c r="C57" s="4" t="s">
        <v>2613</v>
      </c>
      <c r="D57" s="12" t="s">
        <v>2808</v>
      </c>
      <c r="E57" s="12" t="s">
        <v>2497</v>
      </c>
      <c r="F57" s="29" t="n">
        <v>1</v>
      </c>
      <c r="G57" s="29" t="n">
        <v>6</v>
      </c>
      <c r="H57" s="19" t="n">
        <v>900</v>
      </c>
      <c r="I57" s="23" t="n">
        <f aca="false">F57*G57*H57</f>
        <v>5400</v>
      </c>
      <c r="J57" s="12" t="s">
        <v>3562</v>
      </c>
      <c r="K57" s="12" t="s">
        <v>2848</v>
      </c>
      <c r="L57" s="12" t="s">
        <v>2796</v>
      </c>
      <c r="M57" s="4"/>
    </row>
    <row r="58" customFormat="false" ht="23.85" hidden="false" customHeight="false" outlineLevel="0" collapsed="false">
      <c r="A58" s="4" t="s">
        <v>3601</v>
      </c>
      <c r="B58" s="12" t="s">
        <v>2765</v>
      </c>
      <c r="C58" s="4" t="s">
        <v>3333</v>
      </c>
      <c r="D58" s="12" t="s">
        <v>2808</v>
      </c>
      <c r="E58" s="12" t="s">
        <v>2497</v>
      </c>
      <c r="F58" s="29" t="n">
        <v>1</v>
      </c>
      <c r="G58" s="29" t="n">
        <v>6</v>
      </c>
      <c r="H58" s="19" t="n">
        <v>1800</v>
      </c>
      <c r="I58" s="23" t="n">
        <f aca="false">F58*G58*H58</f>
        <v>10800</v>
      </c>
      <c r="J58" s="12" t="s">
        <v>3562</v>
      </c>
      <c r="K58" s="12" t="s">
        <v>2851</v>
      </c>
      <c r="L58" s="12" t="s">
        <v>2796</v>
      </c>
      <c r="M58" s="4" t="s">
        <v>3602</v>
      </c>
    </row>
    <row r="59" customFormat="false" ht="46.25" hidden="false" customHeight="false" outlineLevel="0" collapsed="false">
      <c r="A59" s="4" t="s">
        <v>3557</v>
      </c>
      <c r="B59" s="12" t="s">
        <v>2766</v>
      </c>
      <c r="C59" s="4" t="s">
        <v>3603</v>
      </c>
      <c r="D59" s="12" t="s">
        <v>2793</v>
      </c>
      <c r="E59" s="12" t="s">
        <v>2484</v>
      </c>
      <c r="F59" s="29" t="n">
        <v>1</v>
      </c>
      <c r="G59" s="29" t="n">
        <v>1</v>
      </c>
      <c r="H59" s="19" t="n">
        <v>5500</v>
      </c>
      <c r="I59" s="23" t="n">
        <f aca="false">F59*G59*H59</f>
        <v>5500</v>
      </c>
      <c r="J59" s="12" t="s">
        <v>2794</v>
      </c>
      <c r="K59" s="12" t="s">
        <v>2795</v>
      </c>
      <c r="L59" s="12" t="s">
        <v>2796</v>
      </c>
      <c r="M59" s="4" t="s">
        <v>3604</v>
      </c>
    </row>
    <row r="60" customFormat="false" ht="23.85" hidden="false" customHeight="false" outlineLevel="0" collapsed="false">
      <c r="A60" s="4" t="s">
        <v>3601</v>
      </c>
      <c r="B60" s="12" t="s">
        <v>2766</v>
      </c>
      <c r="C60" s="4" t="s">
        <v>3605</v>
      </c>
      <c r="D60" s="12" t="s">
        <v>2804</v>
      </c>
      <c r="E60" s="12" t="s">
        <v>2597</v>
      </c>
      <c r="F60" s="29" t="n">
        <v>4</v>
      </c>
      <c r="G60" s="29" t="n">
        <v>1</v>
      </c>
      <c r="H60" s="19" t="n">
        <v>3500</v>
      </c>
      <c r="I60" s="23" t="n">
        <f aca="false">F60*G60*H60</f>
        <v>14000</v>
      </c>
      <c r="J60" s="12" t="s">
        <v>2794</v>
      </c>
      <c r="K60" s="12" t="s">
        <v>2891</v>
      </c>
      <c r="L60" s="12" t="s">
        <v>2796</v>
      </c>
      <c r="M60" s="4"/>
    </row>
    <row r="61" customFormat="false" ht="23.85" hidden="false" customHeight="false" outlineLevel="0" collapsed="false">
      <c r="A61" s="4" t="s">
        <v>3601</v>
      </c>
      <c r="B61" s="12" t="s">
        <v>2766</v>
      </c>
      <c r="C61" s="4" t="s">
        <v>3606</v>
      </c>
      <c r="D61" s="12" t="s">
        <v>2804</v>
      </c>
      <c r="E61" s="12" t="s">
        <v>2597</v>
      </c>
      <c r="F61" s="29" t="n">
        <v>1</v>
      </c>
      <c r="G61" s="29" t="n">
        <v>1</v>
      </c>
      <c r="H61" s="19" t="n">
        <v>4000</v>
      </c>
      <c r="I61" s="23" t="n">
        <f aca="false">F61*G61*H61</f>
        <v>4000</v>
      </c>
      <c r="J61" s="12" t="s">
        <v>2794</v>
      </c>
      <c r="K61" s="12" t="s">
        <v>2805</v>
      </c>
      <c r="L61" s="12"/>
      <c r="M61" s="4"/>
    </row>
    <row r="62" customFormat="false" ht="23.85" hidden="false" customHeight="false" outlineLevel="0" collapsed="false">
      <c r="A62" s="4" t="s">
        <v>3607</v>
      </c>
      <c r="B62" s="12" t="s">
        <v>2766</v>
      </c>
      <c r="C62" s="4" t="s">
        <v>3608</v>
      </c>
      <c r="D62" s="12" t="s">
        <v>2804</v>
      </c>
      <c r="E62" s="12" t="s">
        <v>2597</v>
      </c>
      <c r="F62" s="29" t="n">
        <v>1</v>
      </c>
      <c r="G62" s="29" t="n">
        <v>1</v>
      </c>
      <c r="H62" s="19" t="n">
        <v>10000</v>
      </c>
      <c r="I62" s="23" t="n">
        <f aca="false">F62*G62*H62</f>
        <v>10000</v>
      </c>
      <c r="J62" s="12" t="s">
        <v>2794</v>
      </c>
      <c r="K62" s="12" t="s">
        <v>2805</v>
      </c>
      <c r="L62" s="12"/>
      <c r="M62" s="4"/>
    </row>
    <row r="63" customFormat="false" ht="23.85" hidden="false" customHeight="false" outlineLevel="0" collapsed="false">
      <c r="A63" s="4" t="s">
        <v>3607</v>
      </c>
      <c r="B63" s="12" t="s">
        <v>2766</v>
      </c>
      <c r="C63" s="4" t="s">
        <v>3609</v>
      </c>
      <c r="D63" s="12" t="s">
        <v>2804</v>
      </c>
      <c r="E63" s="12" t="s">
        <v>2597</v>
      </c>
      <c r="F63" s="29" t="n">
        <v>1</v>
      </c>
      <c r="G63" s="29" t="n">
        <v>1</v>
      </c>
      <c r="H63" s="19" t="n">
        <v>2500</v>
      </c>
      <c r="I63" s="23" t="n">
        <f aca="false">F63*G63*H63</f>
        <v>2500</v>
      </c>
      <c r="J63" s="12" t="s">
        <v>2794</v>
      </c>
      <c r="K63" s="12" t="s">
        <v>2805</v>
      </c>
      <c r="L63" s="12"/>
      <c r="M63" s="4"/>
    </row>
    <row r="64" customFormat="false" ht="23.85" hidden="false" customHeight="false" outlineLevel="0" collapsed="false">
      <c r="A64" s="4" t="s">
        <v>3607</v>
      </c>
      <c r="B64" s="12" t="s">
        <v>2766</v>
      </c>
      <c r="C64" s="4" t="s">
        <v>3610</v>
      </c>
      <c r="D64" s="12" t="s">
        <v>2804</v>
      </c>
      <c r="E64" s="12" t="s">
        <v>2597</v>
      </c>
      <c r="F64" s="29" t="n">
        <v>1</v>
      </c>
      <c r="G64" s="29" t="n">
        <v>1</v>
      </c>
      <c r="H64" s="19" t="n">
        <v>7000</v>
      </c>
      <c r="I64" s="23" t="n">
        <f aca="false">F64*G64*H64</f>
        <v>7000</v>
      </c>
      <c r="J64" s="12" t="s">
        <v>2794</v>
      </c>
      <c r="K64" s="12" t="s">
        <v>2805</v>
      </c>
      <c r="L64" s="12"/>
      <c r="M64" s="4"/>
    </row>
    <row r="65" customFormat="false" ht="23.85" hidden="false" customHeight="false" outlineLevel="0" collapsed="false">
      <c r="A65" s="4" t="s">
        <v>3607</v>
      </c>
      <c r="B65" s="12" t="s">
        <v>2766</v>
      </c>
      <c r="C65" s="4" t="s">
        <v>3611</v>
      </c>
      <c r="D65" s="12" t="s">
        <v>2808</v>
      </c>
      <c r="E65" s="12" t="s">
        <v>3032</v>
      </c>
      <c r="F65" s="29" t="n">
        <v>500</v>
      </c>
      <c r="G65" s="29" t="n">
        <v>1</v>
      </c>
      <c r="H65" s="19" t="n">
        <v>20</v>
      </c>
      <c r="I65" s="23" t="n">
        <f aca="false">F65*G65*H65</f>
        <v>10000</v>
      </c>
      <c r="J65" s="12" t="s">
        <v>2794</v>
      </c>
      <c r="K65" s="12" t="s">
        <v>2805</v>
      </c>
      <c r="L65" s="12"/>
      <c r="M65" s="4" t="s">
        <v>3612</v>
      </c>
    </row>
    <row r="66" customFormat="false" ht="23.85" hidden="false" customHeight="false" outlineLevel="0" collapsed="false">
      <c r="A66" s="4" t="s">
        <v>3607</v>
      </c>
      <c r="B66" s="12" t="s">
        <v>2766</v>
      </c>
      <c r="C66" s="4" t="s">
        <v>3613</v>
      </c>
      <c r="D66" s="12" t="s">
        <v>2882</v>
      </c>
      <c r="E66" s="12" t="s">
        <v>2601</v>
      </c>
      <c r="F66" s="29" t="n">
        <v>1</v>
      </c>
      <c r="G66" s="29" t="n">
        <v>1</v>
      </c>
      <c r="H66" s="19" t="n">
        <v>1500</v>
      </c>
      <c r="I66" s="23" t="n">
        <f aca="false">F66*G66*H66</f>
        <v>1500</v>
      </c>
      <c r="J66" s="12" t="s">
        <v>2794</v>
      </c>
      <c r="K66" s="12" t="s">
        <v>2805</v>
      </c>
      <c r="L66" s="12"/>
      <c r="M66" s="4"/>
    </row>
    <row r="67" customFormat="false" ht="46.25" hidden="false" customHeight="false" outlineLevel="0" collapsed="false">
      <c r="A67" s="4" t="s">
        <v>3557</v>
      </c>
      <c r="B67" s="12" t="s">
        <v>2766</v>
      </c>
      <c r="C67" s="4" t="s">
        <v>3614</v>
      </c>
      <c r="D67" s="12" t="s">
        <v>2804</v>
      </c>
      <c r="E67" s="12" t="s">
        <v>2597</v>
      </c>
      <c r="F67" s="29" t="n">
        <v>1</v>
      </c>
      <c r="G67" s="29" t="n">
        <v>1</v>
      </c>
      <c r="H67" s="19" t="n">
        <v>11037</v>
      </c>
      <c r="I67" s="23" t="n">
        <f aca="false">F67*G67*H67</f>
        <v>11037</v>
      </c>
      <c r="J67" s="12" t="s">
        <v>2794</v>
      </c>
      <c r="K67" s="12" t="s">
        <v>2795</v>
      </c>
      <c r="L67" s="12" t="s">
        <v>3221</v>
      </c>
      <c r="M67" s="4" t="s">
        <v>3615</v>
      </c>
    </row>
    <row r="68" customFormat="false" ht="57.45" hidden="false" customHeight="false" outlineLevel="0" collapsed="false">
      <c r="A68" s="4" t="s">
        <v>3328</v>
      </c>
      <c r="B68" s="12" t="s">
        <v>2768</v>
      </c>
      <c r="C68" s="4" t="s">
        <v>2911</v>
      </c>
      <c r="D68" s="12" t="s">
        <v>2882</v>
      </c>
      <c r="E68" s="12" t="s">
        <v>2601</v>
      </c>
      <c r="F68" s="29" t="n">
        <v>1</v>
      </c>
      <c r="G68" s="29" t="n">
        <v>1</v>
      </c>
      <c r="H68" s="19" t="n">
        <v>17560</v>
      </c>
      <c r="I68" s="23" t="n">
        <f aca="false">F68*G68*H68</f>
        <v>17560</v>
      </c>
      <c r="J68" s="12" t="s">
        <v>2794</v>
      </c>
      <c r="K68" s="12" t="s">
        <v>2805</v>
      </c>
      <c r="L68" s="12"/>
      <c r="M68" s="4" t="s">
        <v>3616</v>
      </c>
    </row>
    <row r="69" customFormat="false" ht="15" hidden="false" customHeight="false" outlineLevel="0" collapsed="false">
      <c r="A69" s="4" t="s">
        <v>3328</v>
      </c>
      <c r="B69" s="12" t="s">
        <v>2767</v>
      </c>
      <c r="C69" s="4" t="s">
        <v>2893</v>
      </c>
      <c r="D69" s="12" t="s">
        <v>2793</v>
      </c>
      <c r="E69" s="12" t="s">
        <v>2484</v>
      </c>
      <c r="F69" s="29" t="n">
        <v>1</v>
      </c>
      <c r="G69" s="29" t="n">
        <v>8</v>
      </c>
      <c r="H69" s="19" t="n">
        <v>1200</v>
      </c>
      <c r="I69" s="23" t="n">
        <f aca="false">F69*G69*H69</f>
        <v>9600</v>
      </c>
      <c r="J69" s="12" t="s">
        <v>2794</v>
      </c>
      <c r="K69" s="12" t="s">
        <v>2894</v>
      </c>
      <c r="L69" s="12" t="s">
        <v>2796</v>
      </c>
      <c r="M69" s="4"/>
    </row>
    <row r="70" customFormat="false" ht="35.05" hidden="false" customHeight="false" outlineLevel="0" collapsed="false">
      <c r="A70" s="4" t="s">
        <v>3328</v>
      </c>
      <c r="B70" s="12" t="s">
        <v>2767</v>
      </c>
      <c r="C70" s="4" t="s">
        <v>3617</v>
      </c>
      <c r="D70" s="12" t="s">
        <v>2793</v>
      </c>
      <c r="E70" s="12" t="s">
        <v>2484</v>
      </c>
      <c r="F70" s="29" t="n">
        <v>1</v>
      </c>
      <c r="G70" s="29" t="n">
        <v>3</v>
      </c>
      <c r="H70" s="19" t="n">
        <v>1800</v>
      </c>
      <c r="I70" s="23" t="n">
        <f aca="false">F70*G70*H70</f>
        <v>5400</v>
      </c>
      <c r="J70" s="12" t="s">
        <v>2794</v>
      </c>
      <c r="K70" s="12" t="s">
        <v>2891</v>
      </c>
      <c r="L70" s="12" t="s">
        <v>2796</v>
      </c>
      <c r="M70" s="4"/>
    </row>
    <row r="71" customFormat="false" ht="46.25" hidden="false" customHeight="false" outlineLevel="0" collapsed="false">
      <c r="A71" s="4" t="s">
        <v>3557</v>
      </c>
      <c r="B71" s="12" t="s">
        <v>2765</v>
      </c>
      <c r="C71" s="4" t="s">
        <v>3618</v>
      </c>
      <c r="D71" s="12" t="s">
        <v>2808</v>
      </c>
      <c r="E71" s="12" t="s">
        <v>2497</v>
      </c>
      <c r="F71" s="29" t="n">
        <v>1</v>
      </c>
      <c r="G71" s="29" t="n">
        <v>8</v>
      </c>
      <c r="H71" s="19" t="n">
        <v>1300</v>
      </c>
      <c r="I71" s="23" t="n">
        <f aca="false">F71*G71*H71</f>
        <v>10400</v>
      </c>
      <c r="J71" s="12" t="s">
        <v>3562</v>
      </c>
      <c r="K71" s="12" t="s">
        <v>2805</v>
      </c>
      <c r="L71" s="12"/>
      <c r="M71" s="4" t="s">
        <v>3619</v>
      </c>
    </row>
    <row r="72" customFormat="false" ht="46.25" hidden="false" customHeight="false" outlineLevel="0" collapsed="false">
      <c r="A72" s="4" t="s">
        <v>3557</v>
      </c>
      <c r="B72" s="12" t="s">
        <v>2765</v>
      </c>
      <c r="C72" s="4" t="s">
        <v>3620</v>
      </c>
      <c r="D72" s="12" t="s">
        <v>2804</v>
      </c>
      <c r="E72" s="12" t="s">
        <v>2597</v>
      </c>
      <c r="F72" s="29" t="n">
        <v>4</v>
      </c>
      <c r="G72" s="29" t="n">
        <v>1</v>
      </c>
      <c r="H72" s="19" t="n">
        <v>1500</v>
      </c>
      <c r="I72" s="23" t="n">
        <f aca="false">F72*G72*H72</f>
        <v>6000</v>
      </c>
      <c r="J72" s="12" t="s">
        <v>2794</v>
      </c>
      <c r="K72" s="12" t="s">
        <v>2902</v>
      </c>
      <c r="L72" s="12" t="s">
        <v>2950</v>
      </c>
      <c r="M72" s="4" t="s">
        <v>3234</v>
      </c>
    </row>
    <row r="73" customFormat="false" ht="46.25" hidden="false" customHeight="false" outlineLevel="0" collapsed="false">
      <c r="A73" s="4" t="s">
        <v>3557</v>
      </c>
      <c r="B73" s="12" t="s">
        <v>2765</v>
      </c>
      <c r="C73" s="4" t="s">
        <v>3621</v>
      </c>
      <c r="D73" s="12" t="s">
        <v>2804</v>
      </c>
      <c r="E73" s="12" t="s">
        <v>2597</v>
      </c>
      <c r="F73" s="29" t="n">
        <v>1</v>
      </c>
      <c r="G73" s="29" t="n">
        <v>1</v>
      </c>
      <c r="H73" s="19" t="n">
        <v>4000</v>
      </c>
      <c r="I73" s="23" t="n">
        <f aca="false">F73*G73*H73</f>
        <v>4000</v>
      </c>
      <c r="J73" s="12" t="s">
        <v>2794</v>
      </c>
      <c r="K73" s="12" t="s">
        <v>2805</v>
      </c>
      <c r="L73" s="12"/>
      <c r="M73" s="4" t="s">
        <v>3234</v>
      </c>
    </row>
    <row r="74" customFormat="false" ht="15" hidden="false" customHeight="false" outlineLevel="0" collapsed="false">
      <c r="H74" s="10" t="s">
        <v>134</v>
      </c>
      <c r="I74" s="11" t="n">
        <f aca="false">SUM(I26:I73)</f>
        <v>465105</v>
      </c>
    </row>
    <row r="76" customFormat="false" ht="15" hidden="false" customHeight="false" outlineLevel="0" collapsed="false">
      <c r="A76" s="22" t="s">
        <v>2913</v>
      </c>
    </row>
    <row r="77" customFormat="false" ht="23.85" hidden="false" customHeight="false" outlineLevel="0" collapsed="false">
      <c r="A77" s="3" t="s">
        <v>2914</v>
      </c>
      <c r="B77" s="3" t="s">
        <v>2915</v>
      </c>
      <c r="C77" s="3" t="s">
        <v>2780</v>
      </c>
      <c r="D77" s="3" t="s">
        <v>2781</v>
      </c>
      <c r="E77" s="3" t="s">
        <v>2782</v>
      </c>
      <c r="F77" s="3" t="s">
        <v>2783</v>
      </c>
      <c r="G77" s="3" t="s">
        <v>2784</v>
      </c>
      <c r="H77" s="3" t="s">
        <v>2785</v>
      </c>
      <c r="I77" s="3" t="s">
        <v>2786</v>
      </c>
      <c r="J77" s="3" t="s">
        <v>1393</v>
      </c>
      <c r="K77" s="3" t="s">
        <v>2916</v>
      </c>
      <c r="L77" s="3" t="s">
        <v>2789</v>
      </c>
      <c r="M77" s="3" t="s">
        <v>368</v>
      </c>
    </row>
    <row r="78" customFormat="false" ht="23.85" hidden="false" customHeight="false" outlineLevel="0" collapsed="false">
      <c r="A78" s="4" t="s">
        <v>3328</v>
      </c>
      <c r="B78" s="12" t="s">
        <v>2918</v>
      </c>
      <c r="C78" s="4" t="s">
        <v>3358</v>
      </c>
      <c r="D78" s="12" t="s">
        <v>2804</v>
      </c>
      <c r="E78" s="12" t="s">
        <v>2597</v>
      </c>
      <c r="F78" s="30" t="n">
        <v>1</v>
      </c>
      <c r="G78" s="30" t="n">
        <v>1</v>
      </c>
      <c r="H78" s="19" t="n">
        <v>12000</v>
      </c>
      <c r="I78" s="23" t="n">
        <f aca="false">F78*G78*H78</f>
        <v>12000</v>
      </c>
      <c r="J78" s="12" t="s">
        <v>2794</v>
      </c>
      <c r="K78" s="12" t="s">
        <v>2920</v>
      </c>
      <c r="L78" s="12" t="s">
        <v>2796</v>
      </c>
      <c r="M78" s="4" t="s">
        <v>3454</v>
      </c>
    </row>
    <row r="79" customFormat="false" ht="15" hidden="false" customHeight="false" outlineLevel="0" collapsed="false">
      <c r="A79" s="4" t="s">
        <v>3328</v>
      </c>
      <c r="B79" s="12" t="s">
        <v>2918</v>
      </c>
      <c r="C79" s="4" t="s">
        <v>2922</v>
      </c>
      <c r="D79" s="12" t="s">
        <v>2804</v>
      </c>
      <c r="E79" s="12" t="s">
        <v>2597</v>
      </c>
      <c r="F79" s="30" t="n">
        <v>1</v>
      </c>
      <c r="G79" s="30" t="n">
        <v>1</v>
      </c>
      <c r="H79" s="19" t="n">
        <v>8000</v>
      </c>
      <c r="I79" s="23" t="n">
        <f aca="false">F79*G79*H79</f>
        <v>8000</v>
      </c>
      <c r="J79" s="12" t="s">
        <v>2794</v>
      </c>
      <c r="K79" s="12" t="s">
        <v>2805</v>
      </c>
      <c r="L79" s="12"/>
      <c r="M79" s="4"/>
    </row>
    <row r="80" customFormat="false" ht="15" hidden="false" customHeight="false" outlineLevel="0" collapsed="false">
      <c r="A80" s="4" t="s">
        <v>3328</v>
      </c>
      <c r="B80" s="12" t="s">
        <v>2918</v>
      </c>
      <c r="C80" s="4" t="s">
        <v>2924</v>
      </c>
      <c r="D80" s="12" t="s">
        <v>2793</v>
      </c>
      <c r="E80" s="12" t="s">
        <v>2484</v>
      </c>
      <c r="F80" s="30" t="n">
        <v>1</v>
      </c>
      <c r="G80" s="30" t="n">
        <v>4</v>
      </c>
      <c r="H80" s="19" t="n">
        <v>3500</v>
      </c>
      <c r="I80" s="23" t="n">
        <f aca="false">F80*G80*H80</f>
        <v>14000</v>
      </c>
      <c r="J80" s="12" t="s">
        <v>2794</v>
      </c>
      <c r="K80" s="12" t="s">
        <v>2805</v>
      </c>
      <c r="L80" s="12"/>
      <c r="M80" s="4"/>
    </row>
    <row r="81" customFormat="false" ht="15" hidden="false" customHeight="false" outlineLevel="0" collapsed="false">
      <c r="A81" s="4" t="s">
        <v>3328</v>
      </c>
      <c r="B81" s="12" t="s">
        <v>2918</v>
      </c>
      <c r="C81" s="4" t="s">
        <v>2926</v>
      </c>
      <c r="D81" s="12" t="s">
        <v>2793</v>
      </c>
      <c r="E81" s="12" t="s">
        <v>2484</v>
      </c>
      <c r="F81" s="30" t="n">
        <v>1</v>
      </c>
      <c r="G81" s="30" t="n">
        <v>9</v>
      </c>
      <c r="H81" s="19" t="n">
        <v>80</v>
      </c>
      <c r="I81" s="23" t="n">
        <f aca="false">F81*G81*H81</f>
        <v>720</v>
      </c>
      <c r="J81" s="12" t="s">
        <v>2794</v>
      </c>
      <c r="K81" s="12" t="s">
        <v>2805</v>
      </c>
      <c r="L81" s="12"/>
      <c r="M81" s="4"/>
    </row>
    <row r="82" customFormat="false" ht="15" hidden="false" customHeight="false" outlineLevel="0" collapsed="false">
      <c r="A82" s="4" t="s">
        <v>3328</v>
      </c>
      <c r="B82" s="12" t="s">
        <v>2918</v>
      </c>
      <c r="C82" s="4" t="s">
        <v>2928</v>
      </c>
      <c r="D82" s="12" t="s">
        <v>2882</v>
      </c>
      <c r="E82" s="12" t="s">
        <v>2601</v>
      </c>
      <c r="F82" s="30" t="n">
        <v>1</v>
      </c>
      <c r="G82" s="30" t="n">
        <v>1</v>
      </c>
      <c r="H82" s="19" t="n">
        <v>1200</v>
      </c>
      <c r="I82" s="23" t="n">
        <f aca="false">F82*G82*H82</f>
        <v>1200</v>
      </c>
      <c r="J82" s="12" t="s">
        <v>2794</v>
      </c>
      <c r="K82" s="12" t="s">
        <v>2805</v>
      </c>
      <c r="L82" s="12"/>
      <c r="M82" s="4"/>
    </row>
    <row r="83" customFormat="false" ht="15" hidden="false" customHeight="false" outlineLevel="0" collapsed="false">
      <c r="A83" s="4" t="s">
        <v>3328</v>
      </c>
      <c r="B83" s="12" t="s">
        <v>2930</v>
      </c>
      <c r="C83" s="4" t="s">
        <v>3237</v>
      </c>
      <c r="D83" s="12" t="s">
        <v>2793</v>
      </c>
      <c r="E83" s="12" t="s">
        <v>2484</v>
      </c>
      <c r="F83" s="30" t="n">
        <v>1</v>
      </c>
      <c r="G83" s="30" t="n">
        <v>3</v>
      </c>
      <c r="H83" s="19" t="n">
        <v>3500</v>
      </c>
      <c r="I83" s="23" t="n">
        <f aca="false">F83*G83*H83</f>
        <v>10500</v>
      </c>
      <c r="J83" s="12" t="s">
        <v>3562</v>
      </c>
      <c r="K83" s="12" t="s">
        <v>2805</v>
      </c>
      <c r="L83" s="12"/>
      <c r="M83" s="4"/>
    </row>
    <row r="84" customFormat="false" ht="46.25" hidden="false" customHeight="false" outlineLevel="0" collapsed="false">
      <c r="A84" s="4" t="s">
        <v>3557</v>
      </c>
      <c r="B84" s="12" t="s">
        <v>2930</v>
      </c>
      <c r="C84" s="4" t="s">
        <v>3362</v>
      </c>
      <c r="D84" s="12" t="s">
        <v>2808</v>
      </c>
      <c r="E84" s="12" t="s">
        <v>2497</v>
      </c>
      <c r="F84" s="30" t="n">
        <v>1</v>
      </c>
      <c r="G84" s="30" t="n">
        <v>8</v>
      </c>
      <c r="H84" s="19" t="n">
        <v>600</v>
      </c>
      <c r="I84" s="23" t="n">
        <f aca="false">F84*G84*H84</f>
        <v>4800</v>
      </c>
      <c r="J84" s="12" t="s">
        <v>3562</v>
      </c>
      <c r="K84" s="12" t="s">
        <v>2805</v>
      </c>
      <c r="L84" s="12"/>
      <c r="M84" s="4"/>
    </row>
    <row r="85" customFormat="false" ht="46.25" hidden="false" customHeight="false" outlineLevel="0" collapsed="false">
      <c r="A85" s="4" t="s">
        <v>3557</v>
      </c>
      <c r="B85" s="12" t="s">
        <v>2930</v>
      </c>
      <c r="C85" s="4" t="s">
        <v>3456</v>
      </c>
      <c r="D85" s="12" t="s">
        <v>2808</v>
      </c>
      <c r="E85" s="12" t="s">
        <v>2497</v>
      </c>
      <c r="F85" s="30" t="n">
        <v>12</v>
      </c>
      <c r="G85" s="30" t="n">
        <v>1</v>
      </c>
      <c r="H85" s="19" t="n">
        <v>250</v>
      </c>
      <c r="I85" s="23" t="n">
        <f aca="false">F85*G85*H85</f>
        <v>3000</v>
      </c>
      <c r="J85" s="12" t="s">
        <v>3562</v>
      </c>
      <c r="K85" s="12" t="s">
        <v>2934</v>
      </c>
      <c r="L85" s="12" t="s">
        <v>2796</v>
      </c>
      <c r="M85" s="4"/>
    </row>
    <row r="86" customFormat="false" ht="15" hidden="false" customHeight="false" outlineLevel="0" collapsed="false">
      <c r="A86" s="4" t="s">
        <v>3328</v>
      </c>
      <c r="B86" s="12" t="s">
        <v>2930</v>
      </c>
      <c r="C86" s="4" t="s">
        <v>3458</v>
      </c>
      <c r="D86" s="12" t="s">
        <v>2804</v>
      </c>
      <c r="E86" s="12" t="s">
        <v>2597</v>
      </c>
      <c r="F86" s="30" t="n">
        <v>1</v>
      </c>
      <c r="G86" s="30" t="n">
        <v>1</v>
      </c>
      <c r="H86" s="19" t="n">
        <v>6000</v>
      </c>
      <c r="I86" s="23" t="n">
        <f aca="false">F86*G86*H86</f>
        <v>6000</v>
      </c>
      <c r="J86" s="12" t="s">
        <v>2794</v>
      </c>
      <c r="K86" s="12" t="s">
        <v>2937</v>
      </c>
      <c r="L86" s="12" t="s">
        <v>2796</v>
      </c>
      <c r="M86" s="4"/>
    </row>
    <row r="87" customFormat="false" ht="15" hidden="false" customHeight="false" outlineLevel="0" collapsed="false">
      <c r="A87" s="4" t="s">
        <v>3328</v>
      </c>
      <c r="B87" s="12" t="s">
        <v>2930</v>
      </c>
      <c r="C87" s="4" t="s">
        <v>2651</v>
      </c>
      <c r="D87" s="12" t="s">
        <v>2793</v>
      </c>
      <c r="E87" s="12" t="s">
        <v>2484</v>
      </c>
      <c r="F87" s="30" t="n">
        <v>1</v>
      </c>
      <c r="G87" s="30" t="n">
        <v>2</v>
      </c>
      <c r="H87" s="19" t="n">
        <v>4500</v>
      </c>
      <c r="I87" s="23" t="n">
        <f aca="false">F87*G87*H87</f>
        <v>9000</v>
      </c>
      <c r="J87" s="12" t="s">
        <v>2794</v>
      </c>
      <c r="K87" s="12" t="s">
        <v>2939</v>
      </c>
      <c r="L87" s="12" t="s">
        <v>2796</v>
      </c>
      <c r="M87" s="4"/>
    </row>
    <row r="88" customFormat="false" ht="15" hidden="false" customHeight="false" outlineLevel="0" collapsed="false">
      <c r="A88" s="4" t="s">
        <v>3328</v>
      </c>
      <c r="B88" s="12" t="s">
        <v>2930</v>
      </c>
      <c r="C88" s="4" t="s">
        <v>3365</v>
      </c>
      <c r="D88" s="12" t="s">
        <v>2793</v>
      </c>
      <c r="E88" s="12" t="s">
        <v>2484</v>
      </c>
      <c r="F88" s="30" t="n">
        <v>1</v>
      </c>
      <c r="G88" s="30" t="n">
        <v>4</v>
      </c>
      <c r="H88" s="19" t="n">
        <v>3000</v>
      </c>
      <c r="I88" s="23" t="n">
        <f aca="false">F88*G88*H88</f>
        <v>12000</v>
      </c>
      <c r="J88" s="12" t="s">
        <v>2794</v>
      </c>
      <c r="K88" s="12" t="s">
        <v>2909</v>
      </c>
      <c r="L88" s="12" t="s">
        <v>2796</v>
      </c>
      <c r="M88" s="4"/>
    </row>
    <row r="89" customFormat="false" ht="15" hidden="false" customHeight="false" outlineLevel="0" collapsed="false">
      <c r="A89" s="4" t="s">
        <v>3328</v>
      </c>
      <c r="B89" s="12" t="s">
        <v>2930</v>
      </c>
      <c r="C89" s="4" t="s">
        <v>3063</v>
      </c>
      <c r="D89" s="12" t="s">
        <v>2882</v>
      </c>
      <c r="E89" s="12" t="s">
        <v>2601</v>
      </c>
      <c r="F89" s="30" t="n">
        <v>4</v>
      </c>
      <c r="G89" s="30" t="n">
        <v>1</v>
      </c>
      <c r="H89" s="19" t="n">
        <v>500</v>
      </c>
      <c r="I89" s="23" t="n">
        <f aca="false">F89*G89*H89</f>
        <v>2000</v>
      </c>
      <c r="J89" s="12" t="s">
        <v>3562</v>
      </c>
      <c r="K89" s="12" t="s">
        <v>2942</v>
      </c>
      <c r="L89" s="12" t="s">
        <v>2950</v>
      </c>
      <c r="M89" s="4" t="s">
        <v>3622</v>
      </c>
    </row>
    <row r="90" customFormat="false" ht="15" hidden="false" customHeight="false" outlineLevel="0" collapsed="false">
      <c r="A90" s="4" t="s">
        <v>3328</v>
      </c>
      <c r="B90" s="12" t="s">
        <v>2930</v>
      </c>
      <c r="C90" s="4" t="s">
        <v>3623</v>
      </c>
      <c r="D90" s="12" t="s">
        <v>2808</v>
      </c>
      <c r="E90" s="12" t="s">
        <v>2477</v>
      </c>
      <c r="F90" s="30" t="n">
        <v>800</v>
      </c>
      <c r="G90" s="30" t="n">
        <v>1</v>
      </c>
      <c r="H90" s="19" t="n">
        <v>2.5</v>
      </c>
      <c r="I90" s="23" t="n">
        <f aca="false">F90*G90*H90</f>
        <v>2000</v>
      </c>
      <c r="J90" s="12" t="s">
        <v>3562</v>
      </c>
      <c r="K90" s="12" t="s">
        <v>2805</v>
      </c>
      <c r="L90" s="12"/>
      <c r="M90" s="4"/>
    </row>
    <row r="92" customFormat="false" ht="15" hidden="false" customHeight="false" outlineLevel="0" collapsed="false">
      <c r="A92" s="10" t="s">
        <v>2952</v>
      </c>
      <c r="B92" s="23" t="n">
        <f aca="false">SUMIFS($I$78:$I$90,$B$78:$B$90,"Custos de administração")</f>
        <v>35920</v>
      </c>
      <c r="C92" s="13" t="n">
        <f aca="false">B17</f>
        <v>37208.4</v>
      </c>
      <c r="D92" s="23" t="n">
        <f aca="false">C92-B92</f>
        <v>1288.4</v>
      </c>
      <c r="E92" s="12" t="str">
        <f aca="false">IF(D92&gt;=0,"OK","EXCEDE")</f>
        <v>OK</v>
      </c>
    </row>
    <row r="93" customFormat="false" ht="15" hidden="false" customHeight="false" outlineLevel="0" collapsed="false">
      <c r="A93" s="10" t="s">
        <v>2953</v>
      </c>
      <c r="B93" s="23" t="n">
        <f aca="false">SUMIFS($I$78:$I$90,$B$78:$B$90,"Custos de acessibilidade, comunicação e divulgação")</f>
        <v>49300</v>
      </c>
      <c r="C93" s="13" t="n">
        <f aca="false">B18</f>
        <v>51161.55</v>
      </c>
      <c r="D93" s="23" t="n">
        <f aca="false">C93-B93</f>
        <v>1861.55</v>
      </c>
      <c r="E93" s="12" t="str">
        <f aca="false">IF(D93&gt;=0,"OK","EXCEDE")</f>
        <v>OK</v>
      </c>
    </row>
    <row r="94" customFormat="false" ht="15" hidden="false" customHeight="false" outlineLevel="0" collapsed="false">
      <c r="A94" s="14" t="s">
        <v>2954</v>
      </c>
    </row>
    <row r="96" customFormat="false" ht="15" hidden="false" customHeight="false" outlineLevel="0" collapsed="false">
      <c r="A96" s="22" t="s">
        <v>2955</v>
      </c>
    </row>
    <row r="97" customFormat="false" ht="30" hidden="false" customHeight="true" outlineLevel="0" collapsed="false">
      <c r="A97" s="21" t="s">
        <v>3624</v>
      </c>
      <c r="B97" s="21"/>
      <c r="C97" s="21"/>
      <c r="D97" s="21"/>
      <c r="E97" s="21"/>
      <c r="F97" s="21"/>
      <c r="G97" s="21"/>
      <c r="H97" s="21"/>
      <c r="I97" s="21"/>
      <c r="J97" s="21"/>
      <c r="K97" s="21"/>
      <c r="L97" s="21"/>
      <c r="M97" s="21"/>
    </row>
    <row r="98" customFormat="false" ht="30" hidden="false" customHeight="true" outlineLevel="0" collapsed="false">
      <c r="A98" s="21" t="s">
        <v>3625</v>
      </c>
      <c r="B98" s="21"/>
      <c r="C98" s="21"/>
      <c r="D98" s="21"/>
      <c r="E98" s="21"/>
      <c r="F98" s="21"/>
      <c r="G98" s="21"/>
      <c r="H98" s="21"/>
      <c r="I98" s="21"/>
      <c r="J98" s="21"/>
      <c r="K98" s="21"/>
      <c r="L98" s="21"/>
      <c r="M98" s="21"/>
    </row>
    <row r="99" customFormat="false" ht="30" hidden="false" customHeight="true" outlineLevel="0" collapsed="false">
      <c r="A99" s="21" t="s">
        <v>3626</v>
      </c>
      <c r="B99" s="21"/>
      <c r="C99" s="21"/>
      <c r="D99" s="21"/>
      <c r="E99" s="21"/>
      <c r="F99" s="21"/>
      <c r="G99" s="21"/>
      <c r="H99" s="21"/>
      <c r="I99" s="21"/>
      <c r="J99" s="21"/>
      <c r="K99" s="21"/>
      <c r="L99" s="21"/>
      <c r="M99" s="21"/>
    </row>
    <row r="100" customFormat="false" ht="30" hidden="false" customHeight="true" outlineLevel="0" collapsed="false">
      <c r="A100" s="21" t="s">
        <v>3627</v>
      </c>
      <c r="B100" s="21"/>
      <c r="C100" s="21"/>
      <c r="D100" s="21"/>
      <c r="E100" s="21"/>
      <c r="F100" s="21"/>
      <c r="G100" s="21"/>
      <c r="H100" s="21"/>
      <c r="I100" s="21"/>
      <c r="J100" s="21"/>
      <c r="K100" s="21"/>
      <c r="L100" s="21"/>
      <c r="M100" s="21"/>
    </row>
    <row r="101" customFormat="false" ht="30" hidden="false" customHeight="true" outlineLevel="0" collapsed="false">
      <c r="A101" s="21" t="s">
        <v>3628</v>
      </c>
      <c r="B101" s="21"/>
      <c r="C101" s="21"/>
      <c r="D101" s="21"/>
      <c r="E101" s="21"/>
      <c r="F101" s="21"/>
      <c r="G101" s="21"/>
      <c r="H101" s="21"/>
      <c r="I101" s="21"/>
      <c r="J101" s="21"/>
      <c r="K101" s="21"/>
      <c r="L101" s="21"/>
      <c r="M101" s="21"/>
    </row>
    <row r="102" customFormat="false" ht="30" hidden="false" customHeight="true" outlineLevel="0" collapsed="false">
      <c r="A102" s="21" t="s">
        <v>3629</v>
      </c>
      <c r="B102" s="21"/>
      <c r="C102" s="21"/>
      <c r="D102" s="21"/>
      <c r="E102" s="21"/>
      <c r="F102" s="21"/>
      <c r="G102" s="21"/>
      <c r="H102" s="21"/>
      <c r="I102" s="21"/>
      <c r="J102" s="21"/>
      <c r="K102" s="21"/>
      <c r="L102" s="21"/>
      <c r="M102" s="21"/>
    </row>
    <row r="103" customFormat="false" ht="30" hidden="false" customHeight="true" outlineLevel="0" collapsed="false">
      <c r="A103" s="21" t="s">
        <v>3630</v>
      </c>
      <c r="B103" s="21"/>
      <c r="C103" s="21"/>
      <c r="D103" s="21"/>
      <c r="E103" s="21"/>
      <c r="F103" s="21"/>
      <c r="G103" s="21"/>
      <c r="H103" s="21"/>
      <c r="I103" s="21"/>
      <c r="J103" s="21"/>
      <c r="K103" s="21"/>
      <c r="L103" s="21"/>
      <c r="M103" s="21"/>
    </row>
    <row r="104" customFormat="false" ht="30" hidden="false" customHeight="true" outlineLevel="0" collapsed="false">
      <c r="A104" s="21" t="s">
        <v>3631</v>
      </c>
      <c r="B104" s="21"/>
      <c r="C104" s="21"/>
      <c r="D104" s="21"/>
      <c r="E104" s="21"/>
      <c r="F104" s="21"/>
      <c r="G104" s="21"/>
      <c r="H104" s="21"/>
      <c r="I104" s="21"/>
      <c r="J104" s="21"/>
      <c r="K104" s="21"/>
      <c r="L104" s="21"/>
      <c r="M104" s="21"/>
    </row>
    <row r="105" customFormat="false" ht="15" hidden="false" customHeight="true" outlineLevel="0" collapsed="false">
      <c r="A105" s="21" t="s">
        <v>3632</v>
      </c>
      <c r="B105" s="21"/>
      <c r="C105" s="21"/>
      <c r="D105" s="21"/>
      <c r="E105" s="21"/>
      <c r="F105" s="21"/>
      <c r="G105" s="21"/>
      <c r="H105" s="21"/>
      <c r="I105" s="21"/>
      <c r="J105" s="21"/>
      <c r="K105" s="21"/>
      <c r="L105" s="21"/>
      <c r="M105" s="21"/>
    </row>
    <row r="107" customFormat="false" ht="15" hidden="false" customHeight="false" outlineLevel="0" collapsed="false">
      <c r="A107" s="22" t="s">
        <v>2964</v>
      </c>
      <c r="B107" s="19" t="n">
        <v>120000</v>
      </c>
    </row>
    <row r="108" customFormat="false" ht="75" hidden="false" customHeight="true" outlineLevel="0" collapsed="false">
      <c r="A108" s="21" t="s">
        <v>3633</v>
      </c>
      <c r="B108" s="21"/>
      <c r="C108" s="21"/>
      <c r="D108" s="21"/>
      <c r="E108" s="21"/>
      <c r="F108" s="21"/>
      <c r="G108" s="21"/>
      <c r="H108" s="21"/>
      <c r="I108" s="21"/>
      <c r="J108" s="21"/>
      <c r="K108" s="21"/>
      <c r="L108" s="21"/>
      <c r="M108" s="21"/>
    </row>
  </sheetData>
  <mergeCells count="15">
    <mergeCell ref="B2:M2"/>
    <mergeCell ref="B3:M3"/>
    <mergeCell ref="B4:M4"/>
    <mergeCell ref="B5:M5"/>
    <mergeCell ref="B6:M6"/>
    <mergeCell ref="A97:M97"/>
    <mergeCell ref="A98:M98"/>
    <mergeCell ref="A99:M99"/>
    <mergeCell ref="A100:M100"/>
    <mergeCell ref="A101:M101"/>
    <mergeCell ref="A102:M102"/>
    <mergeCell ref="A103:M103"/>
    <mergeCell ref="A104:M104"/>
    <mergeCell ref="A105:M105"/>
    <mergeCell ref="A108:M108"/>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3">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8:L90">
    <cfRule type="expression" priority="11" aboveAverage="0" equalAverage="0" bottom="0" percent="0" rank="0" text="" dxfId="2">
      <formula>LEFT(L78,5)="ACIMA"</formula>
    </cfRule>
  </conditionalFormatting>
  <conditionalFormatting sqref="E92:E93">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3634</v>
      </c>
    </row>
    <row r="2" customFormat="false" ht="30" hidden="false" customHeight="true" outlineLevel="0" collapsed="false">
      <c r="A2" s="22" t="s">
        <v>2748</v>
      </c>
      <c r="B2" s="21" t="s">
        <v>3635</v>
      </c>
      <c r="C2" s="21"/>
      <c r="D2" s="21"/>
      <c r="E2" s="21"/>
      <c r="F2" s="21"/>
      <c r="G2" s="21"/>
      <c r="H2" s="21"/>
      <c r="I2" s="21"/>
      <c r="J2" s="21"/>
      <c r="K2" s="21"/>
      <c r="L2" s="21"/>
      <c r="M2" s="21"/>
    </row>
    <row r="3" customFormat="false" ht="30" hidden="false" customHeight="true" outlineLevel="0" collapsed="false">
      <c r="A3" s="22" t="s">
        <v>2750</v>
      </c>
      <c r="B3" s="21" t="s">
        <v>3636</v>
      </c>
      <c r="C3" s="21"/>
      <c r="D3" s="21"/>
      <c r="E3" s="21"/>
      <c r="F3" s="21"/>
      <c r="G3" s="21"/>
      <c r="H3" s="21"/>
      <c r="I3" s="21"/>
      <c r="J3" s="21"/>
      <c r="K3" s="21"/>
      <c r="L3" s="21"/>
      <c r="M3" s="21"/>
    </row>
    <row r="4" customFormat="false" ht="30" hidden="false" customHeight="true" outlineLevel="0" collapsed="false">
      <c r="A4" s="22" t="s">
        <v>2752</v>
      </c>
      <c r="B4" s="21" t="s">
        <v>3637</v>
      </c>
      <c r="C4" s="21"/>
      <c r="D4" s="21"/>
      <c r="E4" s="21"/>
      <c r="F4" s="21"/>
      <c r="G4" s="21"/>
      <c r="H4" s="21"/>
      <c r="I4" s="21"/>
      <c r="J4" s="21"/>
      <c r="K4" s="21"/>
      <c r="L4" s="21"/>
      <c r="M4" s="21"/>
    </row>
    <row r="5" customFormat="false" ht="30" hidden="false" customHeight="true" outlineLevel="0" collapsed="false">
      <c r="A5" s="22" t="s">
        <v>2754</v>
      </c>
      <c r="B5" s="21" t="s">
        <v>3638</v>
      </c>
      <c r="C5" s="21"/>
      <c r="D5" s="21"/>
      <c r="E5" s="21"/>
      <c r="F5" s="21"/>
      <c r="G5" s="21"/>
      <c r="H5" s="21"/>
      <c r="I5" s="21"/>
      <c r="J5" s="21"/>
      <c r="K5" s="21"/>
      <c r="L5" s="21"/>
      <c r="M5" s="21"/>
    </row>
    <row r="6" customFormat="false" ht="30" hidden="false" customHeight="true" outlineLevel="0" collapsed="false">
      <c r="A6" s="22" t="s">
        <v>2756</v>
      </c>
      <c r="B6" s="21" t="s">
        <v>3639</v>
      </c>
      <c r="C6" s="21"/>
      <c r="D6" s="21"/>
      <c r="E6" s="21"/>
      <c r="F6" s="21"/>
      <c r="G6" s="21"/>
      <c r="H6" s="21"/>
      <c r="I6" s="21"/>
      <c r="J6" s="21"/>
      <c r="K6" s="21"/>
      <c r="L6" s="21"/>
      <c r="M6" s="21"/>
    </row>
    <row r="7" customFormat="false" ht="15" hidden="false" customHeight="false" outlineLevel="0" collapsed="false">
      <c r="A7" s="22" t="s">
        <v>2758</v>
      </c>
      <c r="B7" s="19" t="n">
        <v>700000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SUMIFS($I$26:$I$73,$B$26:$B$73,A11)</f>
        <v>152544</v>
      </c>
      <c r="C11" s="24" t="n">
        <f aca="false">IF($B$16=0,0,B11/$B$16)</f>
        <v>0.270220861764768</v>
      </c>
    </row>
    <row r="12" customFormat="false" ht="15" hidden="false" customHeight="false" outlineLevel="0" collapsed="false">
      <c r="A12" s="12" t="s">
        <v>2765</v>
      </c>
      <c r="B12" s="23" t="n">
        <f aca="false">SUMIFS($I$26:$I$73,$B$26:$B$73,A12)</f>
        <v>365852</v>
      </c>
      <c r="C12" s="24" t="n">
        <f aca="false">IF($B$16=0,0,B12/$B$16)</f>
        <v>0.648080833847048</v>
      </c>
    </row>
    <row r="13" customFormat="false" ht="15" hidden="false" customHeight="false" outlineLevel="0" collapsed="false">
      <c r="A13" s="12" t="s">
        <v>2766</v>
      </c>
      <c r="B13" s="23" t="n">
        <f aca="false">SUMIFS($I$26:$I$73,$B$26:$B$73,A13)</f>
        <v>15000</v>
      </c>
      <c r="C13" s="24" t="n">
        <f aca="false">IF($B$16=0,0,B13/$B$16)</f>
        <v>0.0265714346448993</v>
      </c>
    </row>
    <row r="14" customFormat="false" ht="15" hidden="false" customHeight="false" outlineLevel="0" collapsed="false">
      <c r="A14" s="12" t="s">
        <v>2767</v>
      </c>
      <c r="B14" s="23" t="n">
        <f aca="false">SUMIFS($I$26:$I$73,$B$26:$B$73,A14)</f>
        <v>14800</v>
      </c>
      <c r="C14" s="24" t="n">
        <f aca="false">IF($B$16=0,0,B14/$B$16)</f>
        <v>0.026217148849634</v>
      </c>
    </row>
    <row r="15" customFormat="false" ht="15" hidden="false" customHeight="false" outlineLevel="0" collapsed="false">
      <c r="A15" s="12" t="s">
        <v>2768</v>
      </c>
      <c r="B15" s="23" t="n">
        <f aca="false">SUMIFS($I$26:$I$73,$B$26:$B$73,A15)</f>
        <v>16320</v>
      </c>
      <c r="C15" s="24" t="n">
        <f aca="false">IF($B$16=0,0,B15/$B$16)</f>
        <v>0.0289097208936505</v>
      </c>
    </row>
    <row r="16" customFormat="false" ht="15" hidden="false" customHeight="false" outlineLevel="0" collapsed="false">
      <c r="A16" s="25" t="s">
        <v>2769</v>
      </c>
      <c r="B16" s="26" t="n">
        <f aca="false">SUM(B11:B15)</f>
        <v>564516</v>
      </c>
    </row>
    <row r="17" customFormat="false" ht="23.85" hidden="false" customHeight="false" outlineLevel="0" collapsed="false">
      <c r="A17" s="4" t="s">
        <v>2770</v>
      </c>
      <c r="B17" s="23" t="n">
        <f aca="false">$B$16*C17</f>
        <v>39516.12</v>
      </c>
      <c r="C17" s="27" t="n">
        <v>0.07</v>
      </c>
      <c r="D17" s="28" t="n">
        <f aca="false">'Parâmetros IN 29'!$B$4</f>
        <v>0.15</v>
      </c>
      <c r="E17" s="12" t="str">
        <f aca="false">IF(AND(C17&lt;=D17),"OK","EXCEDE")</f>
        <v>OK</v>
      </c>
    </row>
    <row r="18" customFormat="false" ht="35.05" hidden="false" customHeight="false" outlineLevel="0" collapsed="false">
      <c r="A18" s="4" t="s">
        <v>2771</v>
      </c>
      <c r="B18" s="23" t="n">
        <f aca="false">$B$16*C18</f>
        <v>39516.12</v>
      </c>
      <c r="C18" s="27" t="n">
        <v>0.07</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56451.6</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699999.84</v>
      </c>
    </row>
    <row r="21" customFormat="false" ht="15" hidden="false" customHeight="false" outlineLevel="0" collapsed="false">
      <c r="A21" s="12" t="s">
        <v>2774</v>
      </c>
      <c r="B21" s="23" t="n">
        <f aca="false">B20-B7</f>
        <v>-0.160000000032596</v>
      </c>
    </row>
    <row r="22" customFormat="false" ht="15" hidden="false" customHeight="false" outlineLevel="0" collapsed="false">
      <c r="A22" s="12" t="s">
        <v>2775</v>
      </c>
      <c r="B22" s="13" t="n">
        <f aca="false">'Parâmetros IN 29'!$B$8</f>
        <v>500000</v>
      </c>
      <c r="C22" s="14" t="s">
        <v>3267</v>
      </c>
      <c r="E22" s="12" t="str">
        <f aca="false">IF(B20&lt;=B22,"OK","EXCEDE")</f>
        <v>EXCEDE</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3640</v>
      </c>
      <c r="B26" s="12" t="s">
        <v>2764</v>
      </c>
      <c r="C26" s="4" t="s">
        <v>3641</v>
      </c>
      <c r="D26" s="12" t="s">
        <v>2793</v>
      </c>
      <c r="E26" s="12" t="s">
        <v>2484</v>
      </c>
      <c r="F26" s="29" t="n">
        <v>1</v>
      </c>
      <c r="G26" s="29" t="n">
        <v>2</v>
      </c>
      <c r="H26" s="19" t="n">
        <v>8000</v>
      </c>
      <c r="I26" s="23" t="n">
        <f aca="false">F26*G26*H26</f>
        <v>16000</v>
      </c>
      <c r="J26" s="12" t="s">
        <v>2794</v>
      </c>
      <c r="K26" s="12" t="s">
        <v>2795</v>
      </c>
      <c r="L26" s="12" t="s">
        <v>2796</v>
      </c>
      <c r="M26" s="4" t="s">
        <v>3642</v>
      </c>
    </row>
    <row r="27" customFormat="false" ht="23.85" hidden="false" customHeight="false" outlineLevel="0" collapsed="false">
      <c r="A27" s="4" t="s">
        <v>3640</v>
      </c>
      <c r="B27" s="12" t="s">
        <v>2764</v>
      </c>
      <c r="C27" s="4" t="s">
        <v>2801</v>
      </c>
      <c r="D27" s="12" t="s">
        <v>2793</v>
      </c>
      <c r="E27" s="12" t="s">
        <v>2484</v>
      </c>
      <c r="F27" s="29" t="n">
        <v>1</v>
      </c>
      <c r="G27" s="29" t="n">
        <v>1</v>
      </c>
      <c r="H27" s="19" t="n">
        <v>6000</v>
      </c>
      <c r="I27" s="23" t="n">
        <f aca="false">F27*G27*H27</f>
        <v>6000</v>
      </c>
      <c r="J27" s="12" t="s">
        <v>2794</v>
      </c>
      <c r="K27" s="12" t="s">
        <v>2795</v>
      </c>
      <c r="L27" s="12" t="s">
        <v>2796</v>
      </c>
      <c r="M27" s="4" t="s">
        <v>3643</v>
      </c>
    </row>
    <row r="28" customFormat="false" ht="23.85" hidden="false" customHeight="false" outlineLevel="0" collapsed="false">
      <c r="A28" s="4" t="s">
        <v>3640</v>
      </c>
      <c r="B28" s="12" t="s">
        <v>2764</v>
      </c>
      <c r="C28" s="4" t="s">
        <v>3644</v>
      </c>
      <c r="D28" s="12" t="s">
        <v>2804</v>
      </c>
      <c r="E28" s="12" t="s">
        <v>2597</v>
      </c>
      <c r="F28" s="29" t="n">
        <v>1</v>
      </c>
      <c r="G28" s="29" t="n">
        <v>1</v>
      </c>
      <c r="H28" s="19" t="n">
        <v>12000</v>
      </c>
      <c r="I28" s="23" t="n">
        <f aca="false">F28*G28*H28</f>
        <v>12000</v>
      </c>
      <c r="J28" s="12" t="s">
        <v>2794</v>
      </c>
      <c r="K28" s="12" t="s">
        <v>2805</v>
      </c>
      <c r="L28" s="12"/>
      <c r="M28" s="4" t="s">
        <v>3645</v>
      </c>
    </row>
    <row r="29" customFormat="false" ht="23.85" hidden="false" customHeight="false" outlineLevel="0" collapsed="false">
      <c r="A29" s="4" t="s">
        <v>3640</v>
      </c>
      <c r="B29" s="12" t="s">
        <v>2764</v>
      </c>
      <c r="C29" s="4" t="s">
        <v>3646</v>
      </c>
      <c r="D29" s="12" t="s">
        <v>2855</v>
      </c>
      <c r="E29" s="12" t="s">
        <v>2516</v>
      </c>
      <c r="F29" s="29" t="n">
        <v>1</v>
      </c>
      <c r="G29" s="29" t="n">
        <v>1</v>
      </c>
      <c r="H29" s="19" t="n">
        <v>20000</v>
      </c>
      <c r="I29" s="23" t="n">
        <f aca="false">F29*G29*H29</f>
        <v>20000</v>
      </c>
      <c r="J29" s="12" t="s">
        <v>2794</v>
      </c>
      <c r="K29" s="12" t="s">
        <v>2805</v>
      </c>
      <c r="L29" s="12"/>
      <c r="M29" s="4" t="s">
        <v>3647</v>
      </c>
    </row>
    <row r="30" customFormat="false" ht="23.85" hidden="false" customHeight="false" outlineLevel="0" collapsed="false">
      <c r="A30" s="4" t="s">
        <v>3640</v>
      </c>
      <c r="B30" s="12" t="s">
        <v>2764</v>
      </c>
      <c r="C30" s="4" t="s">
        <v>3648</v>
      </c>
      <c r="D30" s="12" t="s">
        <v>2804</v>
      </c>
      <c r="E30" s="12" t="s">
        <v>2597</v>
      </c>
      <c r="F30" s="29" t="n">
        <v>1</v>
      </c>
      <c r="G30" s="29" t="n">
        <v>1</v>
      </c>
      <c r="H30" s="19" t="n">
        <v>10000</v>
      </c>
      <c r="I30" s="23" t="n">
        <f aca="false">F30*G30*H30</f>
        <v>10000</v>
      </c>
      <c r="J30" s="12" t="s">
        <v>2794</v>
      </c>
      <c r="K30" s="12" t="s">
        <v>2805</v>
      </c>
      <c r="L30" s="12"/>
      <c r="M30" s="4" t="s">
        <v>3649</v>
      </c>
    </row>
    <row r="31" customFormat="false" ht="23.85" hidden="false" customHeight="false" outlineLevel="0" collapsed="false">
      <c r="A31" s="4" t="s">
        <v>3640</v>
      </c>
      <c r="B31" s="12" t="s">
        <v>2764</v>
      </c>
      <c r="C31" s="4" t="s">
        <v>3650</v>
      </c>
      <c r="D31" s="12" t="s">
        <v>2855</v>
      </c>
      <c r="E31" s="12" t="s">
        <v>2516</v>
      </c>
      <c r="F31" s="29" t="n">
        <v>2</v>
      </c>
      <c r="G31" s="29" t="n">
        <v>1</v>
      </c>
      <c r="H31" s="19" t="n">
        <v>1800</v>
      </c>
      <c r="I31" s="23" t="n">
        <f aca="false">F31*G31*H31</f>
        <v>3600</v>
      </c>
      <c r="J31" s="12" t="s">
        <v>2794</v>
      </c>
      <c r="K31" s="12" t="s">
        <v>2985</v>
      </c>
      <c r="L31" s="12" t="s">
        <v>2796</v>
      </c>
      <c r="M31" s="4" t="s">
        <v>3651</v>
      </c>
    </row>
    <row r="32" customFormat="false" ht="23.85" hidden="false" customHeight="false" outlineLevel="0" collapsed="false">
      <c r="A32" s="4" t="s">
        <v>3640</v>
      </c>
      <c r="B32" s="12" t="s">
        <v>2764</v>
      </c>
      <c r="C32" s="4" t="s">
        <v>3652</v>
      </c>
      <c r="D32" s="12" t="s">
        <v>2882</v>
      </c>
      <c r="E32" s="12" t="s">
        <v>2601</v>
      </c>
      <c r="F32" s="29" t="n">
        <v>1</v>
      </c>
      <c r="G32" s="29" t="n">
        <v>1</v>
      </c>
      <c r="H32" s="19" t="n">
        <v>28044</v>
      </c>
      <c r="I32" s="23" t="n">
        <f aca="false">F32*G32*H32</f>
        <v>28044</v>
      </c>
      <c r="J32" s="12" t="s">
        <v>2794</v>
      </c>
      <c r="K32" s="12" t="s">
        <v>2805</v>
      </c>
      <c r="L32" s="12"/>
      <c r="M32" s="4" t="s">
        <v>3653</v>
      </c>
    </row>
    <row r="33" customFormat="false" ht="23.85" hidden="false" customHeight="false" outlineLevel="0" collapsed="false">
      <c r="A33" s="4" t="s">
        <v>3640</v>
      </c>
      <c r="B33" s="12" t="s">
        <v>2764</v>
      </c>
      <c r="C33" s="4" t="s">
        <v>3654</v>
      </c>
      <c r="D33" s="12" t="s">
        <v>2808</v>
      </c>
      <c r="E33" s="12" t="s">
        <v>2477</v>
      </c>
      <c r="F33" s="29" t="n">
        <v>9</v>
      </c>
      <c r="G33" s="29" t="n">
        <v>1</v>
      </c>
      <c r="H33" s="19" t="n">
        <v>600</v>
      </c>
      <c r="I33" s="23" t="n">
        <f aca="false">F33*G33*H33</f>
        <v>5400</v>
      </c>
      <c r="J33" s="12" t="s">
        <v>2794</v>
      </c>
      <c r="K33" s="12" t="s">
        <v>3655</v>
      </c>
      <c r="L33" s="12" t="s">
        <v>2796</v>
      </c>
      <c r="M33" s="4" t="s">
        <v>3656</v>
      </c>
    </row>
    <row r="34" customFormat="false" ht="23.85" hidden="false" customHeight="false" outlineLevel="0" collapsed="false">
      <c r="A34" s="4" t="s">
        <v>3640</v>
      </c>
      <c r="B34" s="12" t="s">
        <v>2764</v>
      </c>
      <c r="C34" s="4" t="s">
        <v>3657</v>
      </c>
      <c r="D34" s="12" t="s">
        <v>2804</v>
      </c>
      <c r="E34" s="12" t="s">
        <v>2597</v>
      </c>
      <c r="F34" s="29" t="n">
        <v>1</v>
      </c>
      <c r="G34" s="29" t="n">
        <v>1</v>
      </c>
      <c r="H34" s="19" t="n">
        <v>4500</v>
      </c>
      <c r="I34" s="23" t="n">
        <f aca="false">F34*G34*H34</f>
        <v>4500</v>
      </c>
      <c r="J34" s="12" t="s">
        <v>2794</v>
      </c>
      <c r="K34" s="12" t="s">
        <v>2805</v>
      </c>
      <c r="L34" s="12"/>
      <c r="M34" s="4" t="s">
        <v>3658</v>
      </c>
    </row>
    <row r="35" customFormat="false" ht="23.85" hidden="false" customHeight="false" outlineLevel="0" collapsed="false">
      <c r="A35" s="4" t="s">
        <v>3640</v>
      </c>
      <c r="B35" s="12" t="s">
        <v>2764</v>
      </c>
      <c r="C35" s="4" t="s">
        <v>3659</v>
      </c>
      <c r="D35" s="12" t="s">
        <v>2793</v>
      </c>
      <c r="E35" s="12" t="s">
        <v>2484</v>
      </c>
      <c r="F35" s="29" t="n">
        <v>6</v>
      </c>
      <c r="G35" s="29" t="n">
        <v>2</v>
      </c>
      <c r="H35" s="19" t="n">
        <v>3500</v>
      </c>
      <c r="I35" s="23" t="n">
        <f aca="false">F35*G35*H35</f>
        <v>42000</v>
      </c>
      <c r="J35" s="12" t="s">
        <v>2794</v>
      </c>
      <c r="K35" s="12" t="s">
        <v>2805</v>
      </c>
      <c r="L35" s="12"/>
      <c r="M35" s="4" t="s">
        <v>3660</v>
      </c>
    </row>
    <row r="36" customFormat="false" ht="23.85" hidden="false" customHeight="false" outlineLevel="0" collapsed="false">
      <c r="A36" s="4" t="s">
        <v>3640</v>
      </c>
      <c r="B36" s="12" t="s">
        <v>2764</v>
      </c>
      <c r="C36" s="4" t="s">
        <v>3661</v>
      </c>
      <c r="D36" s="12" t="s">
        <v>2793</v>
      </c>
      <c r="E36" s="12" t="s">
        <v>2484</v>
      </c>
      <c r="F36" s="29" t="n">
        <v>1</v>
      </c>
      <c r="G36" s="29" t="n">
        <v>2</v>
      </c>
      <c r="H36" s="19" t="n">
        <v>1500</v>
      </c>
      <c r="I36" s="23" t="n">
        <f aca="false">F36*G36*H36</f>
        <v>3000</v>
      </c>
      <c r="J36" s="12" t="s">
        <v>2794</v>
      </c>
      <c r="K36" s="12" t="s">
        <v>2805</v>
      </c>
      <c r="L36" s="12"/>
      <c r="M36" s="4" t="s">
        <v>3662</v>
      </c>
    </row>
    <row r="37" customFormat="false" ht="23.85" hidden="false" customHeight="false" outlineLevel="0" collapsed="false">
      <c r="A37" s="4" t="s">
        <v>3640</v>
      </c>
      <c r="B37" s="12" t="s">
        <v>2764</v>
      </c>
      <c r="C37" s="4" t="s">
        <v>3663</v>
      </c>
      <c r="D37" s="12" t="s">
        <v>2808</v>
      </c>
      <c r="E37" s="12" t="s">
        <v>2497</v>
      </c>
      <c r="F37" s="29" t="n">
        <v>1</v>
      </c>
      <c r="G37" s="29" t="n">
        <v>2</v>
      </c>
      <c r="H37" s="19" t="n">
        <v>1000</v>
      </c>
      <c r="I37" s="23" t="n">
        <f aca="false">F37*G37*H37</f>
        <v>2000</v>
      </c>
      <c r="J37" s="12" t="s">
        <v>3664</v>
      </c>
      <c r="K37" s="12" t="s">
        <v>2810</v>
      </c>
      <c r="L37" s="12" t="s">
        <v>2796</v>
      </c>
      <c r="M37" s="4" t="s">
        <v>3665</v>
      </c>
    </row>
    <row r="38" customFormat="false" ht="23.85" hidden="false" customHeight="false" outlineLevel="0" collapsed="false">
      <c r="A38" s="4" t="s">
        <v>3640</v>
      </c>
      <c r="B38" s="12" t="s">
        <v>2765</v>
      </c>
      <c r="C38" s="4" t="s">
        <v>3641</v>
      </c>
      <c r="D38" s="12" t="s">
        <v>2793</v>
      </c>
      <c r="E38" s="12" t="s">
        <v>2484</v>
      </c>
      <c r="F38" s="29" t="n">
        <v>1</v>
      </c>
      <c r="G38" s="29" t="n">
        <v>2</v>
      </c>
      <c r="H38" s="19" t="n">
        <v>8000</v>
      </c>
      <c r="I38" s="23" t="n">
        <f aca="false">F38*G38*H38</f>
        <v>16000</v>
      </c>
      <c r="J38" s="12" t="s">
        <v>3664</v>
      </c>
      <c r="K38" s="12" t="s">
        <v>2795</v>
      </c>
      <c r="L38" s="12" t="s">
        <v>2796</v>
      </c>
      <c r="M38" s="4" t="s">
        <v>3666</v>
      </c>
    </row>
    <row r="39" customFormat="false" ht="23.85" hidden="false" customHeight="false" outlineLevel="0" collapsed="false">
      <c r="A39" s="4" t="s">
        <v>3640</v>
      </c>
      <c r="B39" s="12" t="s">
        <v>2765</v>
      </c>
      <c r="C39" s="4" t="s">
        <v>2801</v>
      </c>
      <c r="D39" s="12" t="s">
        <v>2793</v>
      </c>
      <c r="E39" s="12" t="s">
        <v>2484</v>
      </c>
      <c r="F39" s="29" t="n">
        <v>1</v>
      </c>
      <c r="G39" s="29" t="n">
        <v>2</v>
      </c>
      <c r="H39" s="19" t="n">
        <v>6000</v>
      </c>
      <c r="I39" s="23" t="n">
        <f aca="false">F39*G39*H39</f>
        <v>12000</v>
      </c>
      <c r="J39" s="12" t="s">
        <v>3664</v>
      </c>
      <c r="K39" s="12" t="s">
        <v>2795</v>
      </c>
      <c r="L39" s="12" t="s">
        <v>2796</v>
      </c>
      <c r="M39" s="4" t="s">
        <v>3667</v>
      </c>
    </row>
    <row r="40" customFormat="false" ht="35.05" hidden="false" customHeight="false" outlineLevel="0" collapsed="false">
      <c r="A40" s="4" t="s">
        <v>3640</v>
      </c>
      <c r="B40" s="12" t="s">
        <v>2765</v>
      </c>
      <c r="C40" s="4" t="s">
        <v>3668</v>
      </c>
      <c r="D40" s="12" t="s">
        <v>2793</v>
      </c>
      <c r="E40" s="12" t="s">
        <v>2484</v>
      </c>
      <c r="F40" s="29" t="n">
        <v>6</v>
      </c>
      <c r="G40" s="29" t="n">
        <v>2</v>
      </c>
      <c r="H40" s="19" t="n">
        <v>2826</v>
      </c>
      <c r="I40" s="23" t="n">
        <f aca="false">F40*G40*H40</f>
        <v>33912</v>
      </c>
      <c r="J40" s="12" t="s">
        <v>3664</v>
      </c>
      <c r="K40" s="12" t="s">
        <v>2805</v>
      </c>
      <c r="L40" s="12"/>
      <c r="M40" s="4" t="s">
        <v>3669</v>
      </c>
    </row>
    <row r="41" customFormat="false" ht="23.85" hidden="false" customHeight="false" outlineLevel="0" collapsed="false">
      <c r="A41" s="4" t="s">
        <v>3640</v>
      </c>
      <c r="B41" s="12" t="s">
        <v>2765</v>
      </c>
      <c r="C41" s="4" t="s">
        <v>3670</v>
      </c>
      <c r="D41" s="12" t="s">
        <v>2855</v>
      </c>
      <c r="E41" s="12" t="s">
        <v>2516</v>
      </c>
      <c r="F41" s="29" t="n">
        <v>3</v>
      </c>
      <c r="G41" s="29" t="n">
        <v>10</v>
      </c>
      <c r="H41" s="19" t="n">
        <v>900</v>
      </c>
      <c r="I41" s="23" t="n">
        <f aca="false">F41*G41*H41</f>
        <v>27000</v>
      </c>
      <c r="J41" s="12" t="s">
        <v>3664</v>
      </c>
      <c r="K41" s="12" t="s">
        <v>2848</v>
      </c>
      <c r="L41" s="12" t="s">
        <v>2796</v>
      </c>
      <c r="M41" s="4" t="s">
        <v>3671</v>
      </c>
    </row>
    <row r="42" customFormat="false" ht="23.85" hidden="false" customHeight="false" outlineLevel="0" collapsed="false">
      <c r="A42" s="4" t="s">
        <v>3640</v>
      </c>
      <c r="B42" s="12" t="s">
        <v>2765</v>
      </c>
      <c r="C42" s="4" t="s">
        <v>3672</v>
      </c>
      <c r="D42" s="12" t="s">
        <v>2855</v>
      </c>
      <c r="E42" s="12" t="s">
        <v>2516</v>
      </c>
      <c r="F42" s="29" t="n">
        <v>10</v>
      </c>
      <c r="G42" s="29" t="n">
        <v>1</v>
      </c>
      <c r="H42" s="19" t="n">
        <v>2500</v>
      </c>
      <c r="I42" s="23" t="n">
        <f aca="false">F42*G42*H42</f>
        <v>25000</v>
      </c>
      <c r="J42" s="12" t="s">
        <v>3664</v>
      </c>
      <c r="K42" s="12" t="s">
        <v>2805</v>
      </c>
      <c r="L42" s="12"/>
      <c r="M42" s="4" t="s">
        <v>3673</v>
      </c>
    </row>
    <row r="43" customFormat="false" ht="23.85" hidden="false" customHeight="false" outlineLevel="0" collapsed="false">
      <c r="A43" s="4" t="s">
        <v>3640</v>
      </c>
      <c r="B43" s="12" t="s">
        <v>2765</v>
      </c>
      <c r="C43" s="4" t="s">
        <v>3179</v>
      </c>
      <c r="D43" s="12" t="s">
        <v>2808</v>
      </c>
      <c r="E43" s="12" t="s">
        <v>2497</v>
      </c>
      <c r="F43" s="29" t="n">
        <v>1</v>
      </c>
      <c r="G43" s="29" t="n">
        <v>10</v>
      </c>
      <c r="H43" s="19" t="n">
        <v>450</v>
      </c>
      <c r="I43" s="23" t="n">
        <f aca="false">F43*G43*H43</f>
        <v>4500</v>
      </c>
      <c r="J43" s="12" t="s">
        <v>3664</v>
      </c>
      <c r="K43" s="12" t="s">
        <v>3180</v>
      </c>
      <c r="L43" s="12" t="s">
        <v>2796</v>
      </c>
      <c r="M43" s="4" t="s">
        <v>3674</v>
      </c>
    </row>
    <row r="44" customFormat="false" ht="23.85" hidden="false" customHeight="false" outlineLevel="0" collapsed="false">
      <c r="A44" s="4" t="s">
        <v>3640</v>
      </c>
      <c r="B44" s="12" t="s">
        <v>2765</v>
      </c>
      <c r="C44" s="4" t="s">
        <v>3499</v>
      </c>
      <c r="D44" s="12" t="s">
        <v>2808</v>
      </c>
      <c r="E44" s="12" t="s">
        <v>2497</v>
      </c>
      <c r="F44" s="29" t="n">
        <v>1</v>
      </c>
      <c r="G44" s="29" t="n">
        <v>10</v>
      </c>
      <c r="H44" s="19" t="n">
        <v>3500</v>
      </c>
      <c r="I44" s="23" t="n">
        <f aca="false">F44*G44*H44</f>
        <v>35000</v>
      </c>
      <c r="J44" s="12" t="s">
        <v>3664</v>
      </c>
      <c r="K44" s="12" t="s">
        <v>3500</v>
      </c>
      <c r="L44" s="12" t="s">
        <v>2950</v>
      </c>
      <c r="M44" s="4" t="s">
        <v>3675</v>
      </c>
    </row>
    <row r="45" customFormat="false" ht="23.85" hidden="false" customHeight="false" outlineLevel="0" collapsed="false">
      <c r="A45" s="4" t="s">
        <v>3640</v>
      </c>
      <c r="B45" s="12" t="s">
        <v>2765</v>
      </c>
      <c r="C45" s="4" t="s">
        <v>3676</v>
      </c>
      <c r="D45" s="12" t="s">
        <v>2808</v>
      </c>
      <c r="E45" s="12" t="s">
        <v>2497</v>
      </c>
      <c r="F45" s="29" t="n">
        <v>1</v>
      </c>
      <c r="G45" s="29" t="n">
        <v>10</v>
      </c>
      <c r="H45" s="19" t="n">
        <v>3500</v>
      </c>
      <c r="I45" s="23" t="n">
        <f aca="false">F45*G45*H45</f>
        <v>35000</v>
      </c>
      <c r="J45" s="12" t="s">
        <v>3664</v>
      </c>
      <c r="K45" s="12" t="s">
        <v>2863</v>
      </c>
      <c r="L45" s="12" t="s">
        <v>2796</v>
      </c>
      <c r="M45" s="4" t="s">
        <v>3677</v>
      </c>
    </row>
    <row r="46" customFormat="false" ht="23.85" hidden="false" customHeight="false" outlineLevel="0" collapsed="false">
      <c r="A46" s="4" t="s">
        <v>3640</v>
      </c>
      <c r="B46" s="12" t="s">
        <v>2765</v>
      </c>
      <c r="C46" s="4" t="s">
        <v>3678</v>
      </c>
      <c r="D46" s="12" t="s">
        <v>2808</v>
      </c>
      <c r="E46" s="12" t="s">
        <v>2497</v>
      </c>
      <c r="F46" s="29" t="n">
        <v>1</v>
      </c>
      <c r="G46" s="29" t="n">
        <v>10</v>
      </c>
      <c r="H46" s="19" t="n">
        <v>2000</v>
      </c>
      <c r="I46" s="23" t="n">
        <f aca="false">F46*G46*H46</f>
        <v>20000</v>
      </c>
      <c r="J46" s="12" t="s">
        <v>3664</v>
      </c>
      <c r="K46" s="12" t="s">
        <v>2834</v>
      </c>
      <c r="L46" s="12" t="s">
        <v>2796</v>
      </c>
      <c r="M46" s="4" t="s">
        <v>3679</v>
      </c>
    </row>
    <row r="47" customFormat="false" ht="23.85" hidden="false" customHeight="false" outlineLevel="0" collapsed="false">
      <c r="A47" s="4" t="s">
        <v>3640</v>
      </c>
      <c r="B47" s="12" t="s">
        <v>2765</v>
      </c>
      <c r="C47" s="4" t="s">
        <v>3680</v>
      </c>
      <c r="D47" s="12" t="s">
        <v>2808</v>
      </c>
      <c r="E47" s="12" t="s">
        <v>2497</v>
      </c>
      <c r="F47" s="29" t="n">
        <v>1</v>
      </c>
      <c r="G47" s="29" t="n">
        <v>5</v>
      </c>
      <c r="H47" s="19" t="n">
        <v>2800</v>
      </c>
      <c r="I47" s="23" t="n">
        <f aca="false">F47*G47*H47</f>
        <v>14000</v>
      </c>
      <c r="J47" s="12" t="s">
        <v>3664</v>
      </c>
      <c r="K47" s="12" t="s">
        <v>3681</v>
      </c>
      <c r="L47" s="12" t="s">
        <v>2796</v>
      </c>
      <c r="M47" s="4" t="s">
        <v>3682</v>
      </c>
    </row>
    <row r="48" customFormat="false" ht="23.85" hidden="false" customHeight="false" outlineLevel="0" collapsed="false">
      <c r="A48" s="4" t="s">
        <v>3640</v>
      </c>
      <c r="B48" s="12" t="s">
        <v>2765</v>
      </c>
      <c r="C48" s="4" t="s">
        <v>3321</v>
      </c>
      <c r="D48" s="12" t="s">
        <v>2808</v>
      </c>
      <c r="E48" s="12" t="s">
        <v>2497</v>
      </c>
      <c r="F48" s="29" t="n">
        <v>1</v>
      </c>
      <c r="G48" s="29" t="n">
        <v>10</v>
      </c>
      <c r="H48" s="19" t="n">
        <v>700</v>
      </c>
      <c r="I48" s="23" t="n">
        <f aca="false">F48*G48*H48</f>
        <v>7000</v>
      </c>
      <c r="J48" s="12" t="s">
        <v>3664</v>
      </c>
      <c r="K48" s="12" t="s">
        <v>2866</v>
      </c>
      <c r="L48" s="12" t="s">
        <v>2796</v>
      </c>
      <c r="M48" s="4" t="s">
        <v>3683</v>
      </c>
    </row>
    <row r="49" customFormat="false" ht="23.85" hidden="false" customHeight="false" outlineLevel="0" collapsed="false">
      <c r="A49" s="4" t="s">
        <v>3640</v>
      </c>
      <c r="B49" s="12" t="s">
        <v>2765</v>
      </c>
      <c r="C49" s="4" t="s">
        <v>3684</v>
      </c>
      <c r="D49" s="12" t="s">
        <v>2808</v>
      </c>
      <c r="E49" s="12" t="s">
        <v>2497</v>
      </c>
      <c r="F49" s="29" t="n">
        <v>2</v>
      </c>
      <c r="G49" s="29" t="n">
        <v>10</v>
      </c>
      <c r="H49" s="19" t="n">
        <v>300</v>
      </c>
      <c r="I49" s="23" t="n">
        <f aca="false">F49*G49*H49</f>
        <v>6000</v>
      </c>
      <c r="J49" s="12" t="s">
        <v>3664</v>
      </c>
      <c r="K49" s="12" t="s">
        <v>2870</v>
      </c>
      <c r="L49" s="12" t="s">
        <v>2796</v>
      </c>
      <c r="M49" s="4" t="s">
        <v>3685</v>
      </c>
    </row>
    <row r="50" customFormat="false" ht="23.85" hidden="false" customHeight="false" outlineLevel="0" collapsed="false">
      <c r="A50" s="4" t="s">
        <v>3640</v>
      </c>
      <c r="B50" s="12" t="s">
        <v>2765</v>
      </c>
      <c r="C50" s="4" t="s">
        <v>3686</v>
      </c>
      <c r="D50" s="12" t="s">
        <v>2808</v>
      </c>
      <c r="E50" s="12" t="s">
        <v>2497</v>
      </c>
      <c r="F50" s="29" t="n">
        <v>1</v>
      </c>
      <c r="G50" s="29" t="n">
        <v>10</v>
      </c>
      <c r="H50" s="19" t="n">
        <v>1500</v>
      </c>
      <c r="I50" s="23" t="n">
        <f aca="false">F50*G50*H50</f>
        <v>15000</v>
      </c>
      <c r="J50" s="12" t="s">
        <v>3664</v>
      </c>
      <c r="K50" s="12" t="s">
        <v>3017</v>
      </c>
      <c r="L50" s="12" t="s">
        <v>2796</v>
      </c>
      <c r="M50" s="4" t="s">
        <v>3687</v>
      </c>
    </row>
    <row r="51" customFormat="false" ht="23.85" hidden="false" customHeight="false" outlineLevel="0" collapsed="false">
      <c r="A51" s="4" t="s">
        <v>3640</v>
      </c>
      <c r="B51" s="12" t="s">
        <v>2765</v>
      </c>
      <c r="C51" s="4" t="s">
        <v>3688</v>
      </c>
      <c r="D51" s="12" t="s">
        <v>2808</v>
      </c>
      <c r="E51" s="12" t="s">
        <v>2497</v>
      </c>
      <c r="F51" s="29" t="n">
        <v>1</v>
      </c>
      <c r="G51" s="29" t="n">
        <v>10</v>
      </c>
      <c r="H51" s="19" t="n">
        <v>1000</v>
      </c>
      <c r="I51" s="23" t="n">
        <f aca="false">F51*G51*H51</f>
        <v>10000</v>
      </c>
      <c r="J51" s="12" t="s">
        <v>3664</v>
      </c>
      <c r="K51" s="12" t="s">
        <v>2810</v>
      </c>
      <c r="L51" s="12" t="s">
        <v>2796</v>
      </c>
      <c r="M51" s="4" t="s">
        <v>3689</v>
      </c>
    </row>
    <row r="52" customFormat="false" ht="23.85" hidden="false" customHeight="false" outlineLevel="0" collapsed="false">
      <c r="A52" s="4" t="s">
        <v>3640</v>
      </c>
      <c r="B52" s="12" t="s">
        <v>2765</v>
      </c>
      <c r="C52" s="4" t="s">
        <v>3593</v>
      </c>
      <c r="D52" s="12" t="s">
        <v>2808</v>
      </c>
      <c r="E52" s="12" t="s">
        <v>3165</v>
      </c>
      <c r="F52" s="29" t="n">
        <v>16</v>
      </c>
      <c r="G52" s="29" t="n">
        <v>10</v>
      </c>
      <c r="H52" s="19" t="n">
        <v>80</v>
      </c>
      <c r="I52" s="23" t="n">
        <f aca="false">F52*G52*H52</f>
        <v>12800</v>
      </c>
      <c r="J52" s="12" t="s">
        <v>3664</v>
      </c>
      <c r="K52" s="12" t="s">
        <v>3169</v>
      </c>
      <c r="L52" s="12" t="s">
        <v>2796</v>
      </c>
      <c r="M52" s="4" t="s">
        <v>3690</v>
      </c>
    </row>
    <row r="53" customFormat="false" ht="23.85" hidden="false" customHeight="false" outlineLevel="0" collapsed="false">
      <c r="A53" s="4" t="s">
        <v>3640</v>
      </c>
      <c r="B53" s="12" t="s">
        <v>2765</v>
      </c>
      <c r="C53" s="4" t="s">
        <v>3691</v>
      </c>
      <c r="D53" s="12" t="s">
        <v>2808</v>
      </c>
      <c r="E53" s="12" t="s">
        <v>3165</v>
      </c>
      <c r="F53" s="29" t="n">
        <v>16</v>
      </c>
      <c r="G53" s="29" t="n">
        <v>1</v>
      </c>
      <c r="H53" s="19" t="n">
        <v>200</v>
      </c>
      <c r="I53" s="23" t="n">
        <f aca="false">F53*G53*H53</f>
        <v>3200</v>
      </c>
      <c r="J53" s="12" t="s">
        <v>3664</v>
      </c>
      <c r="K53" s="12" t="s">
        <v>3166</v>
      </c>
      <c r="L53" s="12" t="s">
        <v>2796</v>
      </c>
      <c r="M53" s="4" t="s">
        <v>3692</v>
      </c>
    </row>
    <row r="54" customFormat="false" ht="23.85" hidden="false" customHeight="false" outlineLevel="0" collapsed="false">
      <c r="A54" s="4" t="s">
        <v>3640</v>
      </c>
      <c r="B54" s="12" t="s">
        <v>2765</v>
      </c>
      <c r="C54" s="4" t="s">
        <v>3505</v>
      </c>
      <c r="D54" s="12" t="s">
        <v>2808</v>
      </c>
      <c r="E54" s="12" t="s">
        <v>3506</v>
      </c>
      <c r="F54" s="29" t="n">
        <v>3</v>
      </c>
      <c r="G54" s="29" t="n">
        <v>10</v>
      </c>
      <c r="H54" s="19" t="n">
        <v>220</v>
      </c>
      <c r="I54" s="23" t="n">
        <f aca="false">F54*G54*H54</f>
        <v>6600</v>
      </c>
      <c r="J54" s="12" t="s">
        <v>3664</v>
      </c>
      <c r="K54" s="12" t="s">
        <v>3507</v>
      </c>
      <c r="L54" s="12" t="s">
        <v>2796</v>
      </c>
      <c r="M54" s="4" t="s">
        <v>3693</v>
      </c>
    </row>
    <row r="55" customFormat="false" ht="23.85" hidden="false" customHeight="false" outlineLevel="0" collapsed="false">
      <c r="A55" s="4" t="s">
        <v>3640</v>
      </c>
      <c r="B55" s="12" t="s">
        <v>2765</v>
      </c>
      <c r="C55" s="4" t="s">
        <v>3325</v>
      </c>
      <c r="D55" s="12" t="s">
        <v>2808</v>
      </c>
      <c r="E55" s="12" t="s">
        <v>2497</v>
      </c>
      <c r="F55" s="29" t="n">
        <v>2</v>
      </c>
      <c r="G55" s="29" t="n">
        <v>10</v>
      </c>
      <c r="H55" s="19" t="n">
        <v>300</v>
      </c>
      <c r="I55" s="23" t="n">
        <f aca="false">F55*G55*H55</f>
        <v>6000</v>
      </c>
      <c r="J55" s="12" t="s">
        <v>3664</v>
      </c>
      <c r="K55" s="12" t="s">
        <v>2875</v>
      </c>
      <c r="L55" s="12" t="s">
        <v>2796</v>
      </c>
      <c r="M55" s="4" t="s">
        <v>3694</v>
      </c>
    </row>
    <row r="56" customFormat="false" ht="23.85" hidden="false" customHeight="false" outlineLevel="0" collapsed="false">
      <c r="A56" s="4" t="s">
        <v>3640</v>
      </c>
      <c r="B56" s="12" t="s">
        <v>2765</v>
      </c>
      <c r="C56" s="4" t="s">
        <v>3323</v>
      </c>
      <c r="D56" s="12" t="s">
        <v>2808</v>
      </c>
      <c r="E56" s="12" t="s">
        <v>2497</v>
      </c>
      <c r="F56" s="29" t="n">
        <v>3</v>
      </c>
      <c r="G56" s="29" t="n">
        <v>10</v>
      </c>
      <c r="H56" s="19" t="n">
        <v>250</v>
      </c>
      <c r="I56" s="23" t="n">
        <f aca="false">F56*G56*H56</f>
        <v>7500</v>
      </c>
      <c r="J56" s="12" t="s">
        <v>3664</v>
      </c>
      <c r="K56" s="12" t="s">
        <v>3324</v>
      </c>
      <c r="L56" s="12" t="s">
        <v>2950</v>
      </c>
      <c r="M56" s="4" t="s">
        <v>3695</v>
      </c>
    </row>
    <row r="57" customFormat="false" ht="23.85" hidden="false" customHeight="false" outlineLevel="0" collapsed="false">
      <c r="A57" s="4" t="s">
        <v>3640</v>
      </c>
      <c r="B57" s="12" t="s">
        <v>2765</v>
      </c>
      <c r="C57" s="4" t="s">
        <v>3696</v>
      </c>
      <c r="D57" s="12" t="s">
        <v>2882</v>
      </c>
      <c r="E57" s="12" t="s">
        <v>2601</v>
      </c>
      <c r="F57" s="29" t="n">
        <v>10</v>
      </c>
      <c r="G57" s="29" t="n">
        <v>1</v>
      </c>
      <c r="H57" s="19" t="n">
        <v>1000</v>
      </c>
      <c r="I57" s="23" t="n">
        <f aca="false">F57*G57*H57</f>
        <v>10000</v>
      </c>
      <c r="J57" s="12" t="s">
        <v>3664</v>
      </c>
      <c r="K57" s="12" t="s">
        <v>3327</v>
      </c>
      <c r="L57" s="12" t="s">
        <v>2796</v>
      </c>
      <c r="M57" s="4" t="s">
        <v>3697</v>
      </c>
    </row>
    <row r="58" customFormat="false" ht="23.85" hidden="false" customHeight="false" outlineLevel="0" collapsed="false">
      <c r="A58" s="4" t="s">
        <v>3640</v>
      </c>
      <c r="B58" s="12" t="s">
        <v>2765</v>
      </c>
      <c r="C58" s="4" t="s">
        <v>3513</v>
      </c>
      <c r="D58" s="12" t="s">
        <v>2808</v>
      </c>
      <c r="E58" s="12" t="s">
        <v>2683</v>
      </c>
      <c r="F58" s="29" t="n">
        <v>1</v>
      </c>
      <c r="G58" s="29" t="n">
        <v>1</v>
      </c>
      <c r="H58" s="19" t="n">
        <v>3500</v>
      </c>
      <c r="I58" s="23" t="n">
        <f aca="false">F58*G58*H58</f>
        <v>3500</v>
      </c>
      <c r="J58" s="12" t="s">
        <v>3664</v>
      </c>
      <c r="K58" s="12" t="s">
        <v>2845</v>
      </c>
      <c r="L58" s="12" t="s">
        <v>2796</v>
      </c>
      <c r="M58" s="4" t="s">
        <v>3698</v>
      </c>
    </row>
    <row r="59" customFormat="false" ht="23.85" hidden="false" customHeight="false" outlineLevel="0" collapsed="false">
      <c r="A59" s="4" t="s">
        <v>3640</v>
      </c>
      <c r="B59" s="12" t="s">
        <v>2765</v>
      </c>
      <c r="C59" s="4" t="s">
        <v>3699</v>
      </c>
      <c r="D59" s="12" t="s">
        <v>2882</v>
      </c>
      <c r="E59" s="12" t="s">
        <v>2601</v>
      </c>
      <c r="F59" s="29" t="n">
        <v>1</v>
      </c>
      <c r="G59" s="29" t="n">
        <v>1</v>
      </c>
      <c r="H59" s="19" t="n">
        <v>2000</v>
      </c>
      <c r="I59" s="23" t="n">
        <f aca="false">F59*G59*H59</f>
        <v>2000</v>
      </c>
      <c r="J59" s="12" t="s">
        <v>3664</v>
      </c>
      <c r="K59" s="12" t="s">
        <v>2805</v>
      </c>
      <c r="L59" s="12"/>
      <c r="M59" s="4" t="s">
        <v>3700</v>
      </c>
    </row>
    <row r="60" customFormat="false" ht="23.85" hidden="false" customHeight="false" outlineLevel="0" collapsed="false">
      <c r="A60" s="4" t="s">
        <v>3640</v>
      </c>
      <c r="B60" s="12" t="s">
        <v>2765</v>
      </c>
      <c r="C60" s="4" t="s">
        <v>2613</v>
      </c>
      <c r="D60" s="12" t="s">
        <v>2808</v>
      </c>
      <c r="E60" s="12" t="s">
        <v>2497</v>
      </c>
      <c r="F60" s="29" t="n">
        <v>1</v>
      </c>
      <c r="G60" s="29" t="n">
        <v>10</v>
      </c>
      <c r="H60" s="19" t="n">
        <v>700</v>
      </c>
      <c r="I60" s="23" t="n">
        <f aca="false">F60*G60*H60</f>
        <v>7000</v>
      </c>
      <c r="J60" s="12" t="s">
        <v>3664</v>
      </c>
      <c r="K60" s="12" t="s">
        <v>2848</v>
      </c>
      <c r="L60" s="12" t="s">
        <v>2796</v>
      </c>
      <c r="M60" s="4" t="s">
        <v>3701</v>
      </c>
    </row>
    <row r="61" customFormat="false" ht="23.85" hidden="false" customHeight="false" outlineLevel="0" collapsed="false">
      <c r="A61" s="4" t="s">
        <v>3702</v>
      </c>
      <c r="B61" s="12" t="s">
        <v>2765</v>
      </c>
      <c r="C61" s="4" t="s">
        <v>3703</v>
      </c>
      <c r="D61" s="12" t="s">
        <v>2808</v>
      </c>
      <c r="E61" s="12" t="s">
        <v>2497</v>
      </c>
      <c r="F61" s="29" t="n">
        <v>1</v>
      </c>
      <c r="G61" s="29" t="n">
        <v>3</v>
      </c>
      <c r="H61" s="19" t="n">
        <v>1800</v>
      </c>
      <c r="I61" s="23" t="n">
        <f aca="false">F61*G61*H61</f>
        <v>5400</v>
      </c>
      <c r="J61" s="12" t="s">
        <v>3664</v>
      </c>
      <c r="K61" s="12" t="s">
        <v>2851</v>
      </c>
      <c r="L61" s="12" t="s">
        <v>2796</v>
      </c>
      <c r="M61" s="4" t="s">
        <v>3704</v>
      </c>
    </row>
    <row r="62" customFormat="false" ht="23.85" hidden="false" customHeight="false" outlineLevel="0" collapsed="false">
      <c r="A62" s="4" t="s">
        <v>3702</v>
      </c>
      <c r="B62" s="12" t="s">
        <v>2766</v>
      </c>
      <c r="C62" s="4" t="s">
        <v>3705</v>
      </c>
      <c r="D62" s="12" t="s">
        <v>2804</v>
      </c>
      <c r="E62" s="12" t="s">
        <v>2597</v>
      </c>
      <c r="F62" s="29" t="n">
        <v>1</v>
      </c>
      <c r="G62" s="29" t="n">
        <v>1</v>
      </c>
      <c r="H62" s="19" t="n">
        <v>6000</v>
      </c>
      <c r="I62" s="23" t="n">
        <f aca="false">F62*G62*H62</f>
        <v>6000</v>
      </c>
      <c r="J62" s="12" t="s">
        <v>2794</v>
      </c>
      <c r="K62" s="12" t="s">
        <v>2891</v>
      </c>
      <c r="L62" s="12" t="s">
        <v>3221</v>
      </c>
      <c r="M62" s="4" t="s">
        <v>3706</v>
      </c>
    </row>
    <row r="63" customFormat="false" ht="23.85" hidden="false" customHeight="false" outlineLevel="0" collapsed="false">
      <c r="A63" s="4" t="s">
        <v>3702</v>
      </c>
      <c r="B63" s="12" t="s">
        <v>2766</v>
      </c>
      <c r="C63" s="4" t="s">
        <v>3707</v>
      </c>
      <c r="D63" s="12" t="s">
        <v>2804</v>
      </c>
      <c r="E63" s="12" t="s">
        <v>2597</v>
      </c>
      <c r="F63" s="29" t="n">
        <v>1</v>
      </c>
      <c r="G63" s="29" t="n">
        <v>1</v>
      </c>
      <c r="H63" s="19" t="n">
        <v>3000</v>
      </c>
      <c r="I63" s="23" t="n">
        <f aca="false">F63*G63*H63</f>
        <v>3000</v>
      </c>
      <c r="J63" s="12" t="s">
        <v>2794</v>
      </c>
      <c r="K63" s="12" t="s">
        <v>2891</v>
      </c>
      <c r="L63" s="12" t="s">
        <v>2796</v>
      </c>
      <c r="M63" s="4" t="s">
        <v>3708</v>
      </c>
    </row>
    <row r="64" customFormat="false" ht="23.85" hidden="false" customHeight="false" outlineLevel="0" collapsed="false">
      <c r="A64" s="4" t="s">
        <v>3640</v>
      </c>
      <c r="B64" s="12" t="s">
        <v>2766</v>
      </c>
      <c r="C64" s="4" t="s">
        <v>3709</v>
      </c>
      <c r="D64" s="12" t="s">
        <v>2793</v>
      </c>
      <c r="E64" s="12" t="s">
        <v>2484</v>
      </c>
      <c r="F64" s="29" t="n">
        <v>1</v>
      </c>
      <c r="G64" s="29" t="n">
        <v>1</v>
      </c>
      <c r="H64" s="19" t="n">
        <v>6000</v>
      </c>
      <c r="I64" s="23" t="n">
        <f aca="false">F64*G64*H64</f>
        <v>6000</v>
      </c>
      <c r="J64" s="12" t="s">
        <v>2794</v>
      </c>
      <c r="K64" s="12" t="s">
        <v>2795</v>
      </c>
      <c r="L64" s="12" t="s">
        <v>2796</v>
      </c>
      <c r="M64" s="4" t="s">
        <v>3710</v>
      </c>
    </row>
    <row r="65" customFormat="false" ht="23.85" hidden="false" customHeight="false" outlineLevel="0" collapsed="false">
      <c r="A65" s="4" t="s">
        <v>3640</v>
      </c>
      <c r="B65" s="12" t="s">
        <v>2767</v>
      </c>
      <c r="C65" s="4" t="s">
        <v>2893</v>
      </c>
      <c r="D65" s="12" t="s">
        <v>2793</v>
      </c>
      <c r="E65" s="12" t="s">
        <v>2484</v>
      </c>
      <c r="F65" s="29" t="n">
        <v>1</v>
      </c>
      <c r="G65" s="29" t="n">
        <v>6</v>
      </c>
      <c r="H65" s="19" t="n">
        <v>1800</v>
      </c>
      <c r="I65" s="23" t="n">
        <f aca="false">F65*G65*H65</f>
        <v>10800</v>
      </c>
      <c r="J65" s="12" t="s">
        <v>2794</v>
      </c>
      <c r="K65" s="12" t="s">
        <v>2894</v>
      </c>
      <c r="L65" s="12" t="s">
        <v>2796</v>
      </c>
      <c r="M65" s="4" t="s">
        <v>3711</v>
      </c>
    </row>
    <row r="66" customFormat="false" ht="23.85" hidden="false" customHeight="false" outlineLevel="0" collapsed="false">
      <c r="A66" s="4" t="s">
        <v>3640</v>
      </c>
      <c r="B66" s="12" t="s">
        <v>2767</v>
      </c>
      <c r="C66" s="4" t="s">
        <v>3712</v>
      </c>
      <c r="D66" s="12" t="s">
        <v>2793</v>
      </c>
      <c r="E66" s="12" t="s">
        <v>2484</v>
      </c>
      <c r="F66" s="29" t="n">
        <v>1</v>
      </c>
      <c r="G66" s="29" t="n">
        <v>2</v>
      </c>
      <c r="H66" s="19" t="n">
        <v>2000</v>
      </c>
      <c r="I66" s="23" t="n">
        <f aca="false">F66*G66*H66</f>
        <v>4000</v>
      </c>
      <c r="J66" s="12" t="s">
        <v>2794</v>
      </c>
      <c r="K66" s="12" t="s">
        <v>2891</v>
      </c>
      <c r="L66" s="12" t="s">
        <v>2796</v>
      </c>
      <c r="M66" s="4" t="s">
        <v>3713</v>
      </c>
    </row>
    <row r="67" customFormat="false" ht="23.85" hidden="false" customHeight="false" outlineLevel="0" collapsed="false">
      <c r="A67" s="4" t="s">
        <v>3640</v>
      </c>
      <c r="B67" s="12" t="s">
        <v>2765</v>
      </c>
      <c r="C67" s="4" t="s">
        <v>3714</v>
      </c>
      <c r="D67" s="12" t="s">
        <v>2808</v>
      </c>
      <c r="E67" s="12" t="s">
        <v>2497</v>
      </c>
      <c r="F67" s="29" t="n">
        <v>1</v>
      </c>
      <c r="G67" s="29" t="n">
        <v>10</v>
      </c>
      <c r="H67" s="19" t="n">
        <v>1300</v>
      </c>
      <c r="I67" s="23" t="n">
        <f aca="false">F67*G67*H67</f>
        <v>13000</v>
      </c>
      <c r="J67" s="12" t="s">
        <v>3664</v>
      </c>
      <c r="K67" s="12" t="s">
        <v>2805</v>
      </c>
      <c r="L67" s="12"/>
      <c r="M67" s="4" t="s">
        <v>3715</v>
      </c>
    </row>
    <row r="68" customFormat="false" ht="35.05" hidden="false" customHeight="false" outlineLevel="0" collapsed="false">
      <c r="A68" s="4" t="s">
        <v>3640</v>
      </c>
      <c r="B68" s="12" t="s">
        <v>2765</v>
      </c>
      <c r="C68" s="4" t="s">
        <v>3716</v>
      </c>
      <c r="D68" s="12" t="s">
        <v>2804</v>
      </c>
      <c r="E68" s="12" t="s">
        <v>2597</v>
      </c>
      <c r="F68" s="29" t="n">
        <v>1</v>
      </c>
      <c r="G68" s="29" t="n">
        <v>10</v>
      </c>
      <c r="H68" s="19" t="n">
        <v>2000</v>
      </c>
      <c r="I68" s="23" t="n">
        <f aca="false">F68*G68*H68</f>
        <v>20000</v>
      </c>
      <c r="J68" s="12" t="s">
        <v>3664</v>
      </c>
      <c r="K68" s="12" t="s">
        <v>2902</v>
      </c>
      <c r="L68" s="12" t="s">
        <v>2950</v>
      </c>
      <c r="M68" s="4" t="s">
        <v>3717</v>
      </c>
    </row>
    <row r="69" customFormat="false" ht="23.85" hidden="false" customHeight="false" outlineLevel="0" collapsed="false">
      <c r="A69" s="4" t="s">
        <v>3640</v>
      </c>
      <c r="B69" s="12" t="s">
        <v>2765</v>
      </c>
      <c r="C69" s="4" t="s">
        <v>3718</v>
      </c>
      <c r="D69" s="12" t="s">
        <v>2808</v>
      </c>
      <c r="E69" s="12" t="s">
        <v>2477</v>
      </c>
      <c r="F69" s="29" t="n">
        <v>100</v>
      </c>
      <c r="G69" s="29" t="n">
        <v>1</v>
      </c>
      <c r="H69" s="19" t="n">
        <v>25</v>
      </c>
      <c r="I69" s="23" t="n">
        <f aca="false">F69*G69*H69</f>
        <v>2500</v>
      </c>
      <c r="J69" s="12" t="s">
        <v>3664</v>
      </c>
      <c r="K69" s="12" t="s">
        <v>2805</v>
      </c>
      <c r="L69" s="12"/>
      <c r="M69" s="4" t="s">
        <v>3719</v>
      </c>
    </row>
    <row r="70" customFormat="false" ht="23.85" hidden="false" customHeight="false" outlineLevel="0" collapsed="false">
      <c r="A70" s="4" t="s">
        <v>3640</v>
      </c>
      <c r="B70" s="12" t="s">
        <v>2765</v>
      </c>
      <c r="C70" s="4" t="s">
        <v>3720</v>
      </c>
      <c r="D70" s="12" t="s">
        <v>2808</v>
      </c>
      <c r="E70" s="12" t="s">
        <v>2702</v>
      </c>
      <c r="F70" s="29" t="n">
        <v>8</v>
      </c>
      <c r="G70" s="29" t="n">
        <v>1</v>
      </c>
      <c r="H70" s="19" t="n">
        <v>180</v>
      </c>
      <c r="I70" s="23" t="n">
        <f aca="false">F70*G70*H70</f>
        <v>1440</v>
      </c>
      <c r="J70" s="12" t="s">
        <v>2794</v>
      </c>
      <c r="K70" s="12" t="s">
        <v>2899</v>
      </c>
      <c r="L70" s="12" t="s">
        <v>2796</v>
      </c>
      <c r="M70" s="4" t="s">
        <v>3721</v>
      </c>
    </row>
    <row r="71" customFormat="false" ht="23.85" hidden="false" customHeight="false" outlineLevel="0" collapsed="false">
      <c r="A71" s="4" t="s">
        <v>3640</v>
      </c>
      <c r="B71" s="12" t="s">
        <v>2765</v>
      </c>
      <c r="C71" s="4" t="s">
        <v>3722</v>
      </c>
      <c r="D71" s="12" t="s">
        <v>2804</v>
      </c>
      <c r="E71" s="12" t="s">
        <v>2597</v>
      </c>
      <c r="F71" s="29" t="n">
        <v>1</v>
      </c>
      <c r="G71" s="29" t="n">
        <v>1</v>
      </c>
      <c r="H71" s="19" t="n">
        <v>3000</v>
      </c>
      <c r="I71" s="23" t="n">
        <f aca="false">F71*G71*H71</f>
        <v>3000</v>
      </c>
      <c r="J71" s="12" t="s">
        <v>2794</v>
      </c>
      <c r="K71" s="12" t="s">
        <v>2902</v>
      </c>
      <c r="L71" s="12" t="s">
        <v>2796</v>
      </c>
      <c r="M71" s="4" t="s">
        <v>3723</v>
      </c>
    </row>
    <row r="72" customFormat="false" ht="35.05" hidden="false" customHeight="false" outlineLevel="0" collapsed="false">
      <c r="A72" s="4" t="s">
        <v>3640</v>
      </c>
      <c r="B72" s="12" t="s">
        <v>2765</v>
      </c>
      <c r="C72" s="4" t="s">
        <v>3724</v>
      </c>
      <c r="D72" s="12" t="s">
        <v>2804</v>
      </c>
      <c r="E72" s="12" t="s">
        <v>2597</v>
      </c>
      <c r="F72" s="29" t="n">
        <v>1</v>
      </c>
      <c r="G72" s="29" t="n">
        <v>1</v>
      </c>
      <c r="H72" s="19" t="n">
        <v>1500</v>
      </c>
      <c r="I72" s="23" t="n">
        <f aca="false">F72*G72*H72</f>
        <v>1500</v>
      </c>
      <c r="J72" s="12" t="s">
        <v>2794</v>
      </c>
      <c r="K72" s="12" t="s">
        <v>2805</v>
      </c>
      <c r="L72" s="12"/>
      <c r="M72" s="4" t="s">
        <v>3725</v>
      </c>
    </row>
    <row r="73" customFormat="false" ht="35.05" hidden="false" customHeight="false" outlineLevel="0" collapsed="false">
      <c r="A73" s="4" t="s">
        <v>3640</v>
      </c>
      <c r="B73" s="12" t="s">
        <v>2768</v>
      </c>
      <c r="C73" s="4" t="s">
        <v>2911</v>
      </c>
      <c r="D73" s="12" t="s">
        <v>2882</v>
      </c>
      <c r="E73" s="12" t="s">
        <v>2601</v>
      </c>
      <c r="F73" s="29" t="n">
        <v>1</v>
      </c>
      <c r="G73" s="29" t="n">
        <v>1</v>
      </c>
      <c r="H73" s="19" t="n">
        <v>16320</v>
      </c>
      <c r="I73" s="23" t="n">
        <f aca="false">F73*G73*H73</f>
        <v>16320</v>
      </c>
      <c r="J73" s="12" t="s">
        <v>2794</v>
      </c>
      <c r="K73" s="12" t="s">
        <v>2805</v>
      </c>
      <c r="L73" s="12"/>
      <c r="M73" s="4" t="s">
        <v>3726</v>
      </c>
    </row>
    <row r="74" customFormat="false" ht="15" hidden="false" customHeight="false" outlineLevel="0" collapsed="false">
      <c r="H74" s="10" t="s">
        <v>134</v>
      </c>
      <c r="I74" s="11" t="n">
        <f aca="false">SUM(I26:I73)</f>
        <v>564516</v>
      </c>
    </row>
    <row r="76" customFormat="false" ht="15" hidden="false" customHeight="false" outlineLevel="0" collapsed="false">
      <c r="A76" s="22" t="s">
        <v>2913</v>
      </c>
    </row>
    <row r="77" customFormat="false" ht="23.85" hidden="false" customHeight="false" outlineLevel="0" collapsed="false">
      <c r="A77" s="3" t="s">
        <v>2914</v>
      </c>
      <c r="B77" s="3" t="s">
        <v>2915</v>
      </c>
      <c r="C77" s="3" t="s">
        <v>2780</v>
      </c>
      <c r="D77" s="3" t="s">
        <v>2781</v>
      </c>
      <c r="E77" s="3" t="s">
        <v>2782</v>
      </c>
      <c r="F77" s="3" t="s">
        <v>2783</v>
      </c>
      <c r="G77" s="3" t="s">
        <v>2784</v>
      </c>
      <c r="H77" s="3" t="s">
        <v>2785</v>
      </c>
      <c r="I77" s="3" t="s">
        <v>2786</v>
      </c>
      <c r="J77" s="3" t="s">
        <v>1393</v>
      </c>
      <c r="K77" s="3" t="s">
        <v>2916</v>
      </c>
      <c r="L77" s="3" t="s">
        <v>2789</v>
      </c>
      <c r="M77" s="3" t="s">
        <v>368</v>
      </c>
    </row>
    <row r="78" customFormat="false" ht="23.85" hidden="false" customHeight="false" outlineLevel="0" collapsed="false">
      <c r="A78" s="4" t="s">
        <v>3640</v>
      </c>
      <c r="B78" s="12" t="s">
        <v>2918</v>
      </c>
      <c r="C78" s="4" t="s">
        <v>3358</v>
      </c>
      <c r="D78" s="12" t="s">
        <v>2804</v>
      </c>
      <c r="E78" s="12" t="s">
        <v>2597</v>
      </c>
      <c r="F78" s="30" t="n">
        <v>1</v>
      </c>
      <c r="G78" s="30" t="n">
        <v>1</v>
      </c>
      <c r="H78" s="19" t="n">
        <v>14000</v>
      </c>
      <c r="I78" s="23" t="n">
        <f aca="false">F78*G78*H78</f>
        <v>14000</v>
      </c>
      <c r="J78" s="12" t="s">
        <v>2794</v>
      </c>
      <c r="K78" s="12" t="s">
        <v>2920</v>
      </c>
      <c r="L78" s="12" t="s">
        <v>2796</v>
      </c>
      <c r="M78" s="4" t="s">
        <v>3727</v>
      </c>
    </row>
    <row r="79" customFormat="false" ht="23.85" hidden="false" customHeight="false" outlineLevel="0" collapsed="false">
      <c r="A79" s="4" t="s">
        <v>3640</v>
      </c>
      <c r="B79" s="12" t="s">
        <v>2918</v>
      </c>
      <c r="C79" s="4" t="s">
        <v>2922</v>
      </c>
      <c r="D79" s="12" t="s">
        <v>2804</v>
      </c>
      <c r="E79" s="12" t="s">
        <v>2597</v>
      </c>
      <c r="F79" s="30" t="n">
        <v>1</v>
      </c>
      <c r="G79" s="30" t="n">
        <v>1</v>
      </c>
      <c r="H79" s="19" t="n">
        <v>8000</v>
      </c>
      <c r="I79" s="23" t="n">
        <f aca="false">F79*G79*H79</f>
        <v>8000</v>
      </c>
      <c r="J79" s="12" t="s">
        <v>2794</v>
      </c>
      <c r="K79" s="12" t="s">
        <v>2805</v>
      </c>
      <c r="L79" s="12"/>
      <c r="M79" s="4" t="s">
        <v>3728</v>
      </c>
    </row>
    <row r="80" customFormat="false" ht="23.85" hidden="false" customHeight="false" outlineLevel="0" collapsed="false">
      <c r="A80" s="4" t="s">
        <v>3640</v>
      </c>
      <c r="B80" s="12" t="s">
        <v>2918</v>
      </c>
      <c r="C80" s="4" t="s">
        <v>2924</v>
      </c>
      <c r="D80" s="12" t="s">
        <v>2793</v>
      </c>
      <c r="E80" s="12" t="s">
        <v>2484</v>
      </c>
      <c r="F80" s="30" t="n">
        <v>1</v>
      </c>
      <c r="G80" s="30" t="n">
        <v>4</v>
      </c>
      <c r="H80" s="19" t="n">
        <v>3500</v>
      </c>
      <c r="I80" s="23" t="n">
        <f aca="false">F80*G80*H80</f>
        <v>14000</v>
      </c>
      <c r="J80" s="12" t="s">
        <v>2794</v>
      </c>
      <c r="K80" s="12" t="s">
        <v>2805</v>
      </c>
      <c r="L80" s="12"/>
      <c r="M80" s="4" t="s">
        <v>3729</v>
      </c>
    </row>
    <row r="81" customFormat="false" ht="23.85" hidden="false" customHeight="false" outlineLevel="0" collapsed="false">
      <c r="A81" s="4" t="s">
        <v>3640</v>
      </c>
      <c r="B81" s="12" t="s">
        <v>2918</v>
      </c>
      <c r="C81" s="4" t="s">
        <v>2926</v>
      </c>
      <c r="D81" s="12" t="s">
        <v>2793</v>
      </c>
      <c r="E81" s="12" t="s">
        <v>2484</v>
      </c>
      <c r="F81" s="30" t="n">
        <v>1</v>
      </c>
      <c r="G81" s="30" t="n">
        <v>6</v>
      </c>
      <c r="H81" s="19" t="n">
        <v>80</v>
      </c>
      <c r="I81" s="23" t="n">
        <f aca="false">F81*G81*H81</f>
        <v>480</v>
      </c>
      <c r="J81" s="12" t="s">
        <v>2794</v>
      </c>
      <c r="K81" s="12" t="s">
        <v>2805</v>
      </c>
      <c r="L81" s="12"/>
      <c r="M81" s="4" t="s">
        <v>3730</v>
      </c>
    </row>
    <row r="82" customFormat="false" ht="23.85" hidden="false" customHeight="false" outlineLevel="0" collapsed="false">
      <c r="A82" s="4" t="s">
        <v>3640</v>
      </c>
      <c r="B82" s="12" t="s">
        <v>2918</v>
      </c>
      <c r="C82" s="4" t="s">
        <v>2928</v>
      </c>
      <c r="D82" s="12" t="s">
        <v>2882</v>
      </c>
      <c r="E82" s="12" t="s">
        <v>2601</v>
      </c>
      <c r="F82" s="30" t="n">
        <v>1</v>
      </c>
      <c r="G82" s="30" t="n">
        <v>1</v>
      </c>
      <c r="H82" s="19" t="n">
        <v>1000</v>
      </c>
      <c r="I82" s="23" t="n">
        <f aca="false">F82*G82*H82</f>
        <v>1000</v>
      </c>
      <c r="J82" s="12" t="s">
        <v>2794</v>
      </c>
      <c r="K82" s="12" t="s">
        <v>2805</v>
      </c>
      <c r="L82" s="12"/>
      <c r="M82" s="4"/>
    </row>
    <row r="83" customFormat="false" ht="23.85" hidden="false" customHeight="false" outlineLevel="0" collapsed="false">
      <c r="A83" s="4" t="s">
        <v>3640</v>
      </c>
      <c r="B83" s="12" t="s">
        <v>2930</v>
      </c>
      <c r="C83" s="4" t="s">
        <v>3237</v>
      </c>
      <c r="D83" s="12" t="s">
        <v>2793</v>
      </c>
      <c r="E83" s="12" t="s">
        <v>2484</v>
      </c>
      <c r="F83" s="30" t="n">
        <v>1</v>
      </c>
      <c r="G83" s="30" t="n">
        <v>2</v>
      </c>
      <c r="H83" s="19" t="n">
        <v>4000</v>
      </c>
      <c r="I83" s="23" t="n">
        <f aca="false">F83*G83*H83</f>
        <v>8000</v>
      </c>
      <c r="J83" s="12" t="s">
        <v>3664</v>
      </c>
      <c r="K83" s="12" t="s">
        <v>2805</v>
      </c>
      <c r="L83" s="12"/>
      <c r="M83" s="4" t="s">
        <v>3731</v>
      </c>
    </row>
    <row r="84" customFormat="false" ht="23.85" hidden="false" customHeight="false" outlineLevel="0" collapsed="false">
      <c r="A84" s="4" t="s">
        <v>3640</v>
      </c>
      <c r="B84" s="12" t="s">
        <v>2930</v>
      </c>
      <c r="C84" s="4" t="s">
        <v>3456</v>
      </c>
      <c r="D84" s="12" t="s">
        <v>2808</v>
      </c>
      <c r="E84" s="12" t="s">
        <v>2497</v>
      </c>
      <c r="F84" s="30" t="n">
        <v>2</v>
      </c>
      <c r="G84" s="30" t="n">
        <v>10</v>
      </c>
      <c r="H84" s="19" t="n">
        <v>250</v>
      </c>
      <c r="I84" s="23" t="n">
        <f aca="false">F84*G84*H84</f>
        <v>5000</v>
      </c>
      <c r="J84" s="12" t="s">
        <v>3664</v>
      </c>
      <c r="K84" s="12" t="s">
        <v>2934</v>
      </c>
      <c r="L84" s="12" t="s">
        <v>2796</v>
      </c>
      <c r="M84" s="4" t="s">
        <v>3732</v>
      </c>
    </row>
    <row r="85" customFormat="false" ht="23.85" hidden="false" customHeight="false" outlineLevel="0" collapsed="false">
      <c r="A85" s="4" t="s">
        <v>3640</v>
      </c>
      <c r="B85" s="12" t="s">
        <v>2930</v>
      </c>
      <c r="C85" s="4" t="s">
        <v>3733</v>
      </c>
      <c r="D85" s="12" t="s">
        <v>2804</v>
      </c>
      <c r="E85" s="12" t="s">
        <v>2597</v>
      </c>
      <c r="F85" s="30" t="n">
        <v>1</v>
      </c>
      <c r="G85" s="30" t="n">
        <v>1</v>
      </c>
      <c r="H85" s="19" t="n">
        <v>5000</v>
      </c>
      <c r="I85" s="23" t="n">
        <f aca="false">F85*G85*H85</f>
        <v>5000</v>
      </c>
      <c r="J85" s="12" t="s">
        <v>2794</v>
      </c>
      <c r="K85" s="12" t="s">
        <v>2937</v>
      </c>
      <c r="L85" s="12" t="s">
        <v>2796</v>
      </c>
      <c r="M85" s="4" t="s">
        <v>3734</v>
      </c>
    </row>
    <row r="86" customFormat="false" ht="23.85" hidden="false" customHeight="false" outlineLevel="0" collapsed="false">
      <c r="A86" s="4" t="s">
        <v>3640</v>
      </c>
      <c r="B86" s="12" t="s">
        <v>2930</v>
      </c>
      <c r="C86" s="4" t="s">
        <v>2651</v>
      </c>
      <c r="D86" s="12" t="s">
        <v>2793</v>
      </c>
      <c r="E86" s="12" t="s">
        <v>2484</v>
      </c>
      <c r="F86" s="30" t="n">
        <v>1</v>
      </c>
      <c r="G86" s="30" t="n">
        <v>1</v>
      </c>
      <c r="H86" s="19" t="n">
        <v>4500</v>
      </c>
      <c r="I86" s="23" t="n">
        <f aca="false">F86*G86*H86</f>
        <v>4500</v>
      </c>
      <c r="J86" s="12" t="s">
        <v>2794</v>
      </c>
      <c r="K86" s="12" t="s">
        <v>2939</v>
      </c>
      <c r="L86" s="12" t="s">
        <v>2796</v>
      </c>
      <c r="M86" s="4" t="s">
        <v>3735</v>
      </c>
    </row>
    <row r="87" customFormat="false" ht="23.85" hidden="false" customHeight="false" outlineLevel="0" collapsed="false">
      <c r="A87" s="4" t="s">
        <v>3640</v>
      </c>
      <c r="B87" s="12" t="s">
        <v>2930</v>
      </c>
      <c r="C87" s="4" t="s">
        <v>3365</v>
      </c>
      <c r="D87" s="12" t="s">
        <v>2793</v>
      </c>
      <c r="E87" s="12" t="s">
        <v>2484</v>
      </c>
      <c r="F87" s="30" t="n">
        <v>1</v>
      </c>
      <c r="G87" s="30" t="n">
        <v>2</v>
      </c>
      <c r="H87" s="19" t="n">
        <v>3500</v>
      </c>
      <c r="I87" s="23" t="n">
        <f aca="false">F87*G87*H87</f>
        <v>7000</v>
      </c>
      <c r="J87" s="12" t="s">
        <v>2794</v>
      </c>
      <c r="K87" s="12" t="s">
        <v>2909</v>
      </c>
      <c r="L87" s="12" t="s">
        <v>2796</v>
      </c>
      <c r="M87" s="4" t="s">
        <v>3736</v>
      </c>
    </row>
    <row r="88" customFormat="false" ht="23.85" hidden="false" customHeight="false" outlineLevel="0" collapsed="false">
      <c r="A88" s="4" t="s">
        <v>3640</v>
      </c>
      <c r="B88" s="12" t="s">
        <v>2930</v>
      </c>
      <c r="C88" s="4" t="s">
        <v>3063</v>
      </c>
      <c r="D88" s="12" t="s">
        <v>2882</v>
      </c>
      <c r="E88" s="12" t="s">
        <v>2601</v>
      </c>
      <c r="F88" s="30" t="n">
        <v>1</v>
      </c>
      <c r="G88" s="30" t="n">
        <v>1</v>
      </c>
      <c r="H88" s="19" t="n">
        <v>5000</v>
      </c>
      <c r="I88" s="23" t="n">
        <f aca="false">F88*G88*H88</f>
        <v>5000</v>
      </c>
      <c r="J88" s="12" t="s">
        <v>3664</v>
      </c>
      <c r="K88" s="12" t="s">
        <v>2942</v>
      </c>
      <c r="L88" s="12" t="s">
        <v>2796</v>
      </c>
      <c r="M88" s="4" t="s">
        <v>3246</v>
      </c>
    </row>
    <row r="89" customFormat="false" ht="23.85" hidden="false" customHeight="false" outlineLevel="0" collapsed="false">
      <c r="A89" s="4" t="s">
        <v>3640</v>
      </c>
      <c r="B89" s="12" t="s">
        <v>2930</v>
      </c>
      <c r="C89" s="4" t="s">
        <v>2944</v>
      </c>
      <c r="D89" s="12" t="s">
        <v>2808</v>
      </c>
      <c r="E89" s="12" t="s">
        <v>2477</v>
      </c>
      <c r="F89" s="30" t="n">
        <v>400</v>
      </c>
      <c r="G89" s="30" t="n">
        <v>1</v>
      </c>
      <c r="H89" s="19" t="n">
        <v>2.5</v>
      </c>
      <c r="I89" s="23" t="n">
        <f aca="false">F89*G89*H89</f>
        <v>1000</v>
      </c>
      <c r="J89" s="12" t="s">
        <v>3664</v>
      </c>
      <c r="K89" s="12" t="s">
        <v>2805</v>
      </c>
      <c r="L89" s="12"/>
      <c r="M89" s="4" t="s">
        <v>3737</v>
      </c>
    </row>
    <row r="90" customFormat="false" ht="23.85" hidden="false" customHeight="false" outlineLevel="0" collapsed="false">
      <c r="A90" s="4" t="s">
        <v>3640</v>
      </c>
      <c r="B90" s="12" t="s">
        <v>2930</v>
      </c>
      <c r="C90" s="4" t="s">
        <v>3738</v>
      </c>
      <c r="D90" s="12" t="s">
        <v>2808</v>
      </c>
      <c r="E90" s="12" t="s">
        <v>2528</v>
      </c>
      <c r="F90" s="30" t="n">
        <v>20</v>
      </c>
      <c r="G90" s="30" t="n">
        <v>1</v>
      </c>
      <c r="H90" s="19" t="n">
        <v>65</v>
      </c>
      <c r="I90" s="23" t="n">
        <f aca="false">F90*G90*H90</f>
        <v>1300</v>
      </c>
      <c r="J90" s="12" t="s">
        <v>3664</v>
      </c>
      <c r="K90" s="12" t="s">
        <v>2949</v>
      </c>
      <c r="L90" s="12" t="s">
        <v>2950</v>
      </c>
      <c r="M90" s="4" t="s">
        <v>3739</v>
      </c>
    </row>
    <row r="92" customFormat="false" ht="15" hidden="false" customHeight="false" outlineLevel="0" collapsed="false">
      <c r="A92" s="10" t="s">
        <v>2952</v>
      </c>
      <c r="B92" s="23" t="n">
        <f aca="false">SUMIFS($I$78:$I$90,$B$78:$B$90,"Custos de administração")</f>
        <v>37480</v>
      </c>
      <c r="C92" s="13" t="n">
        <f aca="false">B17</f>
        <v>39516.12</v>
      </c>
      <c r="D92" s="23" t="n">
        <f aca="false">C92-B92</f>
        <v>2036.12</v>
      </c>
      <c r="E92" s="12" t="str">
        <f aca="false">IF(D92&gt;=0,"OK","EXCEDE")</f>
        <v>OK</v>
      </c>
    </row>
    <row r="93" customFormat="false" ht="15" hidden="false" customHeight="false" outlineLevel="0" collapsed="false">
      <c r="A93" s="10" t="s">
        <v>2953</v>
      </c>
      <c r="B93" s="23" t="n">
        <f aca="false">SUMIFS($I$78:$I$90,$B$78:$B$90,"Custos de acessibilidade, comunicação e divulgação")</f>
        <v>36800</v>
      </c>
      <c r="C93" s="13" t="n">
        <f aca="false">B18</f>
        <v>39516.12</v>
      </c>
      <c r="D93" s="23" t="n">
        <f aca="false">C93-B93</f>
        <v>2716.12</v>
      </c>
      <c r="E93" s="12" t="str">
        <f aca="false">IF(D93&gt;=0,"OK","EXCEDE")</f>
        <v>OK</v>
      </c>
    </row>
    <row r="94" customFormat="false" ht="15" hidden="false" customHeight="false" outlineLevel="0" collapsed="false">
      <c r="A94" s="14" t="s">
        <v>2954</v>
      </c>
    </row>
    <row r="96" customFormat="false" ht="15" hidden="false" customHeight="false" outlineLevel="0" collapsed="false">
      <c r="A96" s="22" t="s">
        <v>2955</v>
      </c>
    </row>
    <row r="97" customFormat="false" ht="30" hidden="false" customHeight="true" outlineLevel="0" collapsed="false">
      <c r="A97" s="21" t="s">
        <v>3740</v>
      </c>
      <c r="B97" s="21"/>
      <c r="C97" s="21"/>
      <c r="D97" s="21"/>
      <c r="E97" s="21"/>
      <c r="F97" s="21"/>
      <c r="G97" s="21"/>
      <c r="H97" s="21"/>
      <c r="I97" s="21"/>
      <c r="J97" s="21"/>
      <c r="K97" s="21"/>
      <c r="L97" s="21"/>
      <c r="M97" s="21"/>
    </row>
    <row r="98" customFormat="false" ht="30" hidden="false" customHeight="true" outlineLevel="0" collapsed="false">
      <c r="A98" s="21" t="s">
        <v>3741</v>
      </c>
      <c r="B98" s="21"/>
      <c r="C98" s="21"/>
      <c r="D98" s="21"/>
      <c r="E98" s="21"/>
      <c r="F98" s="21"/>
      <c r="G98" s="21"/>
      <c r="H98" s="21"/>
      <c r="I98" s="21"/>
      <c r="J98" s="21"/>
      <c r="K98" s="21"/>
      <c r="L98" s="21"/>
      <c r="M98" s="21"/>
    </row>
    <row r="99" customFormat="false" ht="30" hidden="false" customHeight="true" outlineLevel="0" collapsed="false">
      <c r="A99" s="21" t="s">
        <v>3742</v>
      </c>
      <c r="B99" s="21"/>
      <c r="C99" s="21"/>
      <c r="D99" s="21"/>
      <c r="E99" s="21"/>
      <c r="F99" s="21"/>
      <c r="G99" s="21"/>
      <c r="H99" s="21"/>
      <c r="I99" s="21"/>
      <c r="J99" s="21"/>
      <c r="K99" s="21"/>
      <c r="L99" s="21"/>
      <c r="M99" s="21"/>
    </row>
    <row r="100" customFormat="false" ht="30" hidden="false" customHeight="true" outlineLevel="0" collapsed="false">
      <c r="A100" s="21" t="s">
        <v>3743</v>
      </c>
      <c r="B100" s="21"/>
      <c r="C100" s="21"/>
      <c r="D100" s="21"/>
      <c r="E100" s="21"/>
      <c r="F100" s="21"/>
      <c r="G100" s="21"/>
      <c r="H100" s="21"/>
      <c r="I100" s="21"/>
      <c r="J100" s="21"/>
      <c r="K100" s="21"/>
      <c r="L100" s="21"/>
      <c r="M100" s="21"/>
    </row>
    <row r="101" customFormat="false" ht="30" hidden="false" customHeight="true" outlineLevel="0" collapsed="false">
      <c r="A101" s="21" t="s">
        <v>3744</v>
      </c>
      <c r="B101" s="21"/>
      <c r="C101" s="21"/>
      <c r="D101" s="21"/>
      <c r="E101" s="21"/>
      <c r="F101" s="21"/>
      <c r="G101" s="21"/>
      <c r="H101" s="21"/>
      <c r="I101" s="21"/>
      <c r="J101" s="21"/>
      <c r="K101" s="21"/>
      <c r="L101" s="21"/>
      <c r="M101" s="21"/>
    </row>
    <row r="102" customFormat="false" ht="30" hidden="false" customHeight="true" outlineLevel="0" collapsed="false">
      <c r="A102" s="21" t="s">
        <v>3745</v>
      </c>
      <c r="B102" s="21"/>
      <c r="C102" s="21"/>
      <c r="D102" s="21"/>
      <c r="E102" s="21"/>
      <c r="F102" s="21"/>
      <c r="G102" s="21"/>
      <c r="H102" s="21"/>
      <c r="I102" s="21"/>
      <c r="J102" s="21"/>
      <c r="K102" s="21"/>
      <c r="L102" s="21"/>
      <c r="M102" s="21"/>
    </row>
    <row r="103" customFormat="false" ht="30" hidden="false" customHeight="true" outlineLevel="0" collapsed="false">
      <c r="A103" s="21" t="s">
        <v>3746</v>
      </c>
      <c r="B103" s="21"/>
      <c r="C103" s="21"/>
      <c r="D103" s="21"/>
      <c r="E103" s="21"/>
      <c r="F103" s="21"/>
      <c r="G103" s="21"/>
      <c r="H103" s="21"/>
      <c r="I103" s="21"/>
      <c r="J103" s="21"/>
      <c r="K103" s="21"/>
      <c r="L103" s="21"/>
      <c r="M103" s="21"/>
    </row>
    <row r="104" customFormat="false" ht="30" hidden="false" customHeight="true" outlineLevel="0" collapsed="false">
      <c r="A104" s="21" t="s">
        <v>3747</v>
      </c>
      <c r="B104" s="21"/>
      <c r="C104" s="21"/>
      <c r="D104" s="21"/>
      <c r="E104" s="21"/>
      <c r="F104" s="21"/>
      <c r="G104" s="21"/>
      <c r="H104" s="21"/>
      <c r="I104" s="21"/>
      <c r="J104" s="21"/>
      <c r="K104" s="21"/>
      <c r="L104" s="21"/>
      <c r="M104" s="21"/>
    </row>
    <row r="105" customFormat="false" ht="30" hidden="false" customHeight="true" outlineLevel="0" collapsed="false">
      <c r="A105" s="21" t="s">
        <v>3748</v>
      </c>
      <c r="B105" s="21"/>
      <c r="C105" s="21"/>
      <c r="D105" s="21"/>
      <c r="E105" s="21"/>
      <c r="F105" s="21"/>
      <c r="G105" s="21"/>
      <c r="H105" s="21"/>
      <c r="I105" s="21"/>
      <c r="J105" s="21"/>
      <c r="K105" s="21"/>
      <c r="L105" s="21"/>
      <c r="M105" s="21"/>
    </row>
    <row r="106" customFormat="false" ht="15" hidden="false" customHeight="true" outlineLevel="0" collapsed="false">
      <c r="A106" s="21" t="s">
        <v>3749</v>
      </c>
      <c r="B106" s="21"/>
      <c r="C106" s="21"/>
      <c r="D106" s="21"/>
      <c r="E106" s="21"/>
      <c r="F106" s="21"/>
      <c r="G106" s="21"/>
      <c r="H106" s="21"/>
      <c r="I106" s="21"/>
      <c r="J106" s="21"/>
      <c r="K106" s="21"/>
      <c r="L106" s="21"/>
      <c r="M106" s="21"/>
    </row>
    <row r="108" customFormat="false" ht="15" hidden="false" customHeight="false" outlineLevel="0" collapsed="false">
      <c r="A108" s="22" t="s">
        <v>2964</v>
      </c>
      <c r="B108" s="19" t="n">
        <v>140000</v>
      </c>
    </row>
    <row r="109" customFormat="false" ht="75" hidden="false" customHeight="true" outlineLevel="0" collapsed="false">
      <c r="A109" s="21" t="s">
        <v>3750</v>
      </c>
      <c r="B109" s="21"/>
      <c r="C109" s="21"/>
      <c r="D109" s="21"/>
      <c r="E109" s="21"/>
      <c r="F109" s="21"/>
      <c r="G109" s="21"/>
      <c r="H109" s="21"/>
      <c r="I109" s="21"/>
      <c r="J109" s="21"/>
      <c r="K109" s="21"/>
      <c r="L109" s="21"/>
      <c r="M109" s="21"/>
    </row>
  </sheetData>
  <mergeCells count="16">
    <mergeCell ref="B2:M2"/>
    <mergeCell ref="B3:M3"/>
    <mergeCell ref="B4:M4"/>
    <mergeCell ref="B5:M5"/>
    <mergeCell ref="B6:M6"/>
    <mergeCell ref="A97:M97"/>
    <mergeCell ref="A98:M98"/>
    <mergeCell ref="A99:M99"/>
    <mergeCell ref="A100:M100"/>
    <mergeCell ref="A101:M101"/>
    <mergeCell ref="A102:M102"/>
    <mergeCell ref="A103:M103"/>
    <mergeCell ref="A104:M104"/>
    <mergeCell ref="A105:M105"/>
    <mergeCell ref="A106:M106"/>
    <mergeCell ref="A109:M109"/>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3">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8:L90">
    <cfRule type="expression" priority="11" aboveAverage="0" equalAverage="0" bottom="0" percent="0" rank="0" text="" dxfId="2">
      <formula>LEFT(L78,5)="ACIMA"</formula>
    </cfRule>
  </conditionalFormatting>
  <conditionalFormatting sqref="E92:E93">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3751</v>
      </c>
    </row>
    <row r="2" customFormat="false" ht="30" hidden="false" customHeight="true" outlineLevel="0" collapsed="false">
      <c r="A2" s="22" t="s">
        <v>2748</v>
      </c>
      <c r="B2" s="21" t="s">
        <v>3752</v>
      </c>
      <c r="C2" s="21"/>
      <c r="D2" s="21"/>
      <c r="E2" s="21"/>
      <c r="F2" s="21"/>
      <c r="G2" s="21"/>
      <c r="H2" s="21"/>
      <c r="I2" s="21"/>
      <c r="J2" s="21"/>
      <c r="K2" s="21"/>
      <c r="L2" s="21"/>
      <c r="M2" s="21"/>
    </row>
    <row r="3" customFormat="false" ht="30" hidden="false" customHeight="true" outlineLevel="0" collapsed="false">
      <c r="A3" s="22" t="s">
        <v>2750</v>
      </c>
      <c r="B3" s="21" t="s">
        <v>3753</v>
      </c>
      <c r="C3" s="21"/>
      <c r="D3" s="21"/>
      <c r="E3" s="21"/>
      <c r="F3" s="21"/>
      <c r="G3" s="21"/>
      <c r="H3" s="21"/>
      <c r="I3" s="21"/>
      <c r="J3" s="21"/>
      <c r="K3" s="21"/>
      <c r="L3" s="21"/>
      <c r="M3" s="21"/>
    </row>
    <row r="4" customFormat="false" ht="30" hidden="false" customHeight="true" outlineLevel="0" collapsed="false">
      <c r="A4" s="22" t="s">
        <v>2752</v>
      </c>
      <c r="B4" s="21" t="s">
        <v>3754</v>
      </c>
      <c r="C4" s="21"/>
      <c r="D4" s="21"/>
      <c r="E4" s="21"/>
      <c r="F4" s="21"/>
      <c r="G4" s="21"/>
      <c r="H4" s="21"/>
      <c r="I4" s="21"/>
      <c r="J4" s="21"/>
      <c r="K4" s="21"/>
      <c r="L4" s="21"/>
      <c r="M4" s="21"/>
    </row>
    <row r="5" customFormat="false" ht="30" hidden="false" customHeight="true" outlineLevel="0" collapsed="false">
      <c r="A5" s="22" t="s">
        <v>2754</v>
      </c>
      <c r="B5" s="21" t="s">
        <v>3755</v>
      </c>
      <c r="C5" s="21"/>
      <c r="D5" s="21"/>
      <c r="E5" s="21"/>
      <c r="F5" s="21"/>
      <c r="G5" s="21"/>
      <c r="H5" s="21"/>
      <c r="I5" s="21"/>
      <c r="J5" s="21"/>
      <c r="K5" s="21"/>
      <c r="L5" s="21"/>
      <c r="M5" s="21"/>
    </row>
    <row r="6" customFormat="false" ht="30" hidden="false" customHeight="true" outlineLevel="0" collapsed="false">
      <c r="A6" s="22" t="s">
        <v>2756</v>
      </c>
      <c r="B6" s="21" t="s">
        <v>3756</v>
      </c>
      <c r="C6" s="21"/>
      <c r="D6" s="21"/>
      <c r="E6" s="21"/>
      <c r="F6" s="21"/>
      <c r="G6" s="21"/>
      <c r="H6" s="21"/>
      <c r="I6" s="21"/>
      <c r="J6" s="21"/>
      <c r="K6" s="21"/>
      <c r="L6" s="21"/>
      <c r="M6" s="21"/>
    </row>
    <row r="7" customFormat="false" ht="15" hidden="false" customHeight="false" outlineLevel="0" collapsed="false">
      <c r="A7" s="22" t="s">
        <v>2758</v>
      </c>
      <c r="B7" s="19" t="n">
        <v>500000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SUMIFS($I$26:$I$71,$B$26:$B$71,A11)</f>
        <v>103850</v>
      </c>
      <c r="C11" s="24" t="n">
        <f aca="false">IF($B$16=0,0,B11/$B$16)</f>
        <v>0.265858041789761</v>
      </c>
    </row>
    <row r="12" customFormat="false" ht="15" hidden="false" customHeight="false" outlineLevel="0" collapsed="false">
      <c r="A12" s="12" t="s">
        <v>2765</v>
      </c>
      <c r="B12" s="23" t="n">
        <f aca="false">SUMIFS($I$26:$I$71,$B$26:$B$71,A12)</f>
        <v>249872</v>
      </c>
      <c r="C12" s="24" t="n">
        <f aca="false">IF($B$16=0,0,B12/$B$16)</f>
        <v>0.639677232721147</v>
      </c>
    </row>
    <row r="13" customFormat="false" ht="15" hidden="false" customHeight="false" outlineLevel="0" collapsed="false">
      <c r="A13" s="12" t="s">
        <v>2766</v>
      </c>
      <c r="B13" s="23" t="n">
        <f aca="false">SUMIFS($I$26:$I$71,$B$26:$B$71,A13)</f>
        <v>12000</v>
      </c>
      <c r="C13" s="24" t="n">
        <f aca="false">IF($B$16=0,0,B13/$B$16)</f>
        <v>0.030720235931412</v>
      </c>
    </row>
    <row r="14" customFormat="false" ht="15" hidden="false" customHeight="false" outlineLevel="0" collapsed="false">
      <c r="A14" s="12" t="s">
        <v>2767</v>
      </c>
      <c r="B14" s="23" t="n">
        <f aca="false">SUMIFS($I$26:$I$71,$B$26:$B$71,A14)</f>
        <v>14800</v>
      </c>
      <c r="C14" s="24" t="n">
        <f aca="false">IF($B$16=0,0,B14/$B$16)</f>
        <v>0.0378882909820747</v>
      </c>
    </row>
    <row r="15" customFormat="false" ht="15" hidden="false" customHeight="false" outlineLevel="0" collapsed="false">
      <c r="A15" s="12" t="s">
        <v>2768</v>
      </c>
      <c r="B15" s="23" t="n">
        <f aca="false">SUMIFS($I$26:$I$71,$B$26:$B$71,A15)</f>
        <v>10100</v>
      </c>
      <c r="C15" s="24" t="n">
        <f aca="false">IF($B$16=0,0,B15/$B$16)</f>
        <v>0.0258561985756051</v>
      </c>
    </row>
    <row r="16" customFormat="false" ht="15" hidden="false" customHeight="false" outlineLevel="0" collapsed="false">
      <c r="A16" s="25" t="s">
        <v>2769</v>
      </c>
      <c r="B16" s="26" t="n">
        <f aca="false">SUM(B11:B15)</f>
        <v>390622</v>
      </c>
    </row>
    <row r="17" customFormat="false" ht="23.85" hidden="false" customHeight="false" outlineLevel="0" collapsed="false">
      <c r="A17" s="4" t="s">
        <v>2770</v>
      </c>
      <c r="B17" s="23" t="n">
        <f aca="false">$B$16*C17</f>
        <v>31249.76</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39062.2</v>
      </c>
      <c r="C18" s="27" t="n">
        <v>0.1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39062.2</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499996.16</v>
      </c>
    </row>
    <row r="21" customFormat="false" ht="15" hidden="false" customHeight="false" outlineLevel="0" collapsed="false">
      <c r="A21" s="12" t="s">
        <v>2774</v>
      </c>
      <c r="B21" s="23" t="n">
        <f aca="false">B20-B7</f>
        <v>-3.8399999999674</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3757</v>
      </c>
      <c r="B26" s="12" t="s">
        <v>2764</v>
      </c>
      <c r="C26" s="4" t="s">
        <v>3641</v>
      </c>
      <c r="D26" s="12" t="s">
        <v>2793</v>
      </c>
      <c r="E26" s="12" t="s">
        <v>2484</v>
      </c>
      <c r="F26" s="29" t="n">
        <v>1</v>
      </c>
      <c r="G26" s="29" t="n">
        <v>1</v>
      </c>
      <c r="H26" s="19" t="n">
        <v>8000</v>
      </c>
      <c r="I26" s="23" t="n">
        <f aca="false">F26*G26*H26</f>
        <v>8000</v>
      </c>
      <c r="J26" s="12" t="s">
        <v>2794</v>
      </c>
      <c r="K26" s="12" t="s">
        <v>2795</v>
      </c>
      <c r="L26" s="12" t="s">
        <v>2796</v>
      </c>
      <c r="M26" s="4" t="s">
        <v>3758</v>
      </c>
    </row>
    <row r="27" customFormat="false" ht="23.85" hidden="false" customHeight="false" outlineLevel="0" collapsed="false">
      <c r="A27" s="4" t="s">
        <v>3757</v>
      </c>
      <c r="B27" s="12" t="s">
        <v>2764</v>
      </c>
      <c r="C27" s="4" t="s">
        <v>2801</v>
      </c>
      <c r="D27" s="12" t="s">
        <v>2793</v>
      </c>
      <c r="E27" s="12" t="s">
        <v>2484</v>
      </c>
      <c r="F27" s="29" t="n">
        <v>1</v>
      </c>
      <c r="G27" s="29" t="n">
        <v>1</v>
      </c>
      <c r="H27" s="19" t="n">
        <v>6000</v>
      </c>
      <c r="I27" s="23" t="n">
        <f aca="false">F27*G27*H27</f>
        <v>6000</v>
      </c>
      <c r="J27" s="12" t="s">
        <v>2794</v>
      </c>
      <c r="K27" s="12" t="s">
        <v>2795</v>
      </c>
      <c r="L27" s="12" t="s">
        <v>2796</v>
      </c>
      <c r="M27" s="4" t="s">
        <v>3759</v>
      </c>
    </row>
    <row r="28" customFormat="false" ht="23.85" hidden="false" customHeight="false" outlineLevel="0" collapsed="false">
      <c r="A28" s="4" t="s">
        <v>3757</v>
      </c>
      <c r="B28" s="12" t="s">
        <v>2764</v>
      </c>
      <c r="C28" s="4" t="s">
        <v>3760</v>
      </c>
      <c r="D28" s="12" t="s">
        <v>2804</v>
      </c>
      <c r="E28" s="12" t="s">
        <v>2597</v>
      </c>
      <c r="F28" s="29" t="n">
        <v>1</v>
      </c>
      <c r="G28" s="29" t="n">
        <v>1</v>
      </c>
      <c r="H28" s="19" t="n">
        <v>10000</v>
      </c>
      <c r="I28" s="23" t="n">
        <f aca="false">F28*G28*H28</f>
        <v>10000</v>
      </c>
      <c r="J28" s="12" t="s">
        <v>2794</v>
      </c>
      <c r="K28" s="12" t="s">
        <v>2805</v>
      </c>
      <c r="L28" s="12"/>
      <c r="M28" s="4" t="s">
        <v>3761</v>
      </c>
    </row>
    <row r="29" customFormat="false" ht="23.85" hidden="false" customHeight="false" outlineLevel="0" collapsed="false">
      <c r="A29" s="4" t="s">
        <v>3757</v>
      </c>
      <c r="B29" s="12" t="s">
        <v>2764</v>
      </c>
      <c r="C29" s="4" t="s">
        <v>3762</v>
      </c>
      <c r="D29" s="12" t="s">
        <v>2855</v>
      </c>
      <c r="E29" s="12" t="s">
        <v>2516</v>
      </c>
      <c r="F29" s="29" t="n">
        <v>1</v>
      </c>
      <c r="G29" s="29" t="n">
        <v>1</v>
      </c>
      <c r="H29" s="19" t="n">
        <v>15000</v>
      </c>
      <c r="I29" s="23" t="n">
        <f aca="false">F29*G29*H29</f>
        <v>15000</v>
      </c>
      <c r="J29" s="12" t="s">
        <v>2794</v>
      </c>
      <c r="K29" s="12" t="s">
        <v>2805</v>
      </c>
      <c r="L29" s="12"/>
      <c r="M29" s="4" t="s">
        <v>3763</v>
      </c>
    </row>
    <row r="30" customFormat="false" ht="23.85" hidden="false" customHeight="false" outlineLevel="0" collapsed="false">
      <c r="A30" s="4" t="s">
        <v>3757</v>
      </c>
      <c r="B30" s="12" t="s">
        <v>2764</v>
      </c>
      <c r="C30" s="4" t="s">
        <v>3764</v>
      </c>
      <c r="D30" s="12" t="s">
        <v>2804</v>
      </c>
      <c r="E30" s="12" t="s">
        <v>2597</v>
      </c>
      <c r="F30" s="29" t="n">
        <v>1</v>
      </c>
      <c r="G30" s="29" t="n">
        <v>1</v>
      </c>
      <c r="H30" s="19" t="n">
        <v>8000</v>
      </c>
      <c r="I30" s="23" t="n">
        <f aca="false">F30*G30*H30</f>
        <v>8000</v>
      </c>
      <c r="J30" s="12" t="s">
        <v>2794</v>
      </c>
      <c r="K30" s="12" t="s">
        <v>2805</v>
      </c>
      <c r="L30" s="12"/>
      <c r="M30" s="4" t="s">
        <v>3765</v>
      </c>
    </row>
    <row r="31" customFormat="false" ht="23.85" hidden="false" customHeight="false" outlineLevel="0" collapsed="false">
      <c r="A31" s="4" t="s">
        <v>3757</v>
      </c>
      <c r="B31" s="12" t="s">
        <v>2764</v>
      </c>
      <c r="C31" s="4" t="s">
        <v>3766</v>
      </c>
      <c r="D31" s="12" t="s">
        <v>2882</v>
      </c>
      <c r="E31" s="12" t="s">
        <v>2601</v>
      </c>
      <c r="F31" s="29" t="n">
        <v>1</v>
      </c>
      <c r="G31" s="29" t="n">
        <v>1</v>
      </c>
      <c r="H31" s="19" t="n">
        <v>24750</v>
      </c>
      <c r="I31" s="23" t="n">
        <f aca="false">F31*G31*H31</f>
        <v>24750</v>
      </c>
      <c r="J31" s="12" t="s">
        <v>2794</v>
      </c>
      <c r="K31" s="12" t="s">
        <v>2805</v>
      </c>
      <c r="L31" s="12"/>
      <c r="M31" s="4" t="s">
        <v>3767</v>
      </c>
    </row>
    <row r="32" customFormat="false" ht="23.85" hidden="false" customHeight="false" outlineLevel="0" collapsed="false">
      <c r="A32" s="4" t="s">
        <v>3757</v>
      </c>
      <c r="B32" s="12" t="s">
        <v>2764</v>
      </c>
      <c r="C32" s="4" t="s">
        <v>3768</v>
      </c>
      <c r="D32" s="12" t="s">
        <v>2808</v>
      </c>
      <c r="E32" s="12" t="s">
        <v>2477</v>
      </c>
      <c r="F32" s="29" t="n">
        <v>6</v>
      </c>
      <c r="G32" s="29" t="n">
        <v>1</v>
      </c>
      <c r="H32" s="19" t="n">
        <v>600</v>
      </c>
      <c r="I32" s="23" t="n">
        <f aca="false">F32*G32*H32</f>
        <v>3600</v>
      </c>
      <c r="J32" s="12" t="s">
        <v>2794</v>
      </c>
      <c r="K32" s="12" t="s">
        <v>3655</v>
      </c>
      <c r="L32" s="12" t="s">
        <v>2796</v>
      </c>
      <c r="M32" s="4" t="s">
        <v>3769</v>
      </c>
    </row>
    <row r="33" customFormat="false" ht="23.85" hidden="false" customHeight="false" outlineLevel="0" collapsed="false">
      <c r="A33" s="4" t="s">
        <v>3757</v>
      </c>
      <c r="B33" s="12" t="s">
        <v>2764</v>
      </c>
      <c r="C33" s="4" t="s">
        <v>3770</v>
      </c>
      <c r="D33" s="12" t="s">
        <v>2804</v>
      </c>
      <c r="E33" s="12" t="s">
        <v>2597</v>
      </c>
      <c r="F33" s="29" t="n">
        <v>1</v>
      </c>
      <c r="G33" s="29" t="n">
        <v>1</v>
      </c>
      <c r="H33" s="19" t="n">
        <v>4000</v>
      </c>
      <c r="I33" s="23" t="n">
        <f aca="false">F33*G33*H33</f>
        <v>4000</v>
      </c>
      <c r="J33" s="12" t="s">
        <v>2794</v>
      </c>
      <c r="K33" s="12" t="s">
        <v>2805</v>
      </c>
      <c r="L33" s="12"/>
      <c r="M33" s="4" t="s">
        <v>3771</v>
      </c>
    </row>
    <row r="34" customFormat="false" ht="23.85" hidden="false" customHeight="false" outlineLevel="0" collapsed="false">
      <c r="A34" s="4" t="s">
        <v>3757</v>
      </c>
      <c r="B34" s="12" t="s">
        <v>2764</v>
      </c>
      <c r="C34" s="4" t="s">
        <v>3772</v>
      </c>
      <c r="D34" s="12" t="s">
        <v>2793</v>
      </c>
      <c r="E34" s="12" t="s">
        <v>2484</v>
      </c>
      <c r="F34" s="29" t="n">
        <v>4</v>
      </c>
      <c r="G34" s="29" t="n">
        <v>1</v>
      </c>
      <c r="H34" s="19" t="n">
        <v>3500</v>
      </c>
      <c r="I34" s="23" t="n">
        <f aca="false">F34*G34*H34</f>
        <v>14000</v>
      </c>
      <c r="J34" s="12" t="s">
        <v>2794</v>
      </c>
      <c r="K34" s="12" t="s">
        <v>2805</v>
      </c>
      <c r="L34" s="12"/>
      <c r="M34" s="4" t="s">
        <v>3773</v>
      </c>
    </row>
    <row r="35" customFormat="false" ht="23.85" hidden="false" customHeight="false" outlineLevel="0" collapsed="false">
      <c r="A35" s="4" t="s">
        <v>3757</v>
      </c>
      <c r="B35" s="12" t="s">
        <v>2764</v>
      </c>
      <c r="C35" s="4" t="s">
        <v>3661</v>
      </c>
      <c r="D35" s="12" t="s">
        <v>2793</v>
      </c>
      <c r="E35" s="12" t="s">
        <v>2484</v>
      </c>
      <c r="F35" s="29" t="n">
        <v>1</v>
      </c>
      <c r="G35" s="29" t="n">
        <v>2</v>
      </c>
      <c r="H35" s="19" t="n">
        <v>1500</v>
      </c>
      <c r="I35" s="23" t="n">
        <f aca="false">F35*G35*H35</f>
        <v>3000</v>
      </c>
      <c r="J35" s="12" t="s">
        <v>2794</v>
      </c>
      <c r="K35" s="12" t="s">
        <v>2805</v>
      </c>
      <c r="L35" s="12"/>
      <c r="M35" s="4" t="s">
        <v>3774</v>
      </c>
    </row>
    <row r="36" customFormat="false" ht="23.85" hidden="false" customHeight="false" outlineLevel="0" collapsed="false">
      <c r="A36" s="4" t="s">
        <v>3757</v>
      </c>
      <c r="B36" s="12" t="s">
        <v>2764</v>
      </c>
      <c r="C36" s="4" t="s">
        <v>3775</v>
      </c>
      <c r="D36" s="12" t="s">
        <v>2808</v>
      </c>
      <c r="E36" s="12" t="s">
        <v>2497</v>
      </c>
      <c r="F36" s="29" t="n">
        <v>1</v>
      </c>
      <c r="G36" s="29" t="n">
        <v>3</v>
      </c>
      <c r="H36" s="19" t="n">
        <v>1000</v>
      </c>
      <c r="I36" s="23" t="n">
        <f aca="false">F36*G36*H36</f>
        <v>3000</v>
      </c>
      <c r="J36" s="12" t="s">
        <v>3776</v>
      </c>
      <c r="K36" s="12" t="s">
        <v>2810</v>
      </c>
      <c r="L36" s="12" t="s">
        <v>2796</v>
      </c>
      <c r="M36" s="4" t="s">
        <v>3777</v>
      </c>
    </row>
    <row r="37" customFormat="false" ht="23.85" hidden="false" customHeight="false" outlineLevel="0" collapsed="false">
      <c r="A37" s="4" t="s">
        <v>3778</v>
      </c>
      <c r="B37" s="12" t="s">
        <v>2764</v>
      </c>
      <c r="C37" s="4" t="s">
        <v>3779</v>
      </c>
      <c r="D37" s="12" t="s">
        <v>2808</v>
      </c>
      <c r="E37" s="12" t="s">
        <v>2497</v>
      </c>
      <c r="F37" s="29" t="n">
        <v>5</v>
      </c>
      <c r="G37" s="29" t="n">
        <v>2</v>
      </c>
      <c r="H37" s="19" t="n">
        <v>450</v>
      </c>
      <c r="I37" s="23" t="n">
        <f aca="false">F37*G37*H37</f>
        <v>4500</v>
      </c>
      <c r="J37" s="12" t="s">
        <v>3776</v>
      </c>
      <c r="K37" s="12" t="s">
        <v>3180</v>
      </c>
      <c r="L37" s="12" t="s">
        <v>2796</v>
      </c>
      <c r="M37" s="4" t="s">
        <v>3780</v>
      </c>
    </row>
    <row r="38" customFormat="false" ht="23.85" hidden="false" customHeight="false" outlineLevel="0" collapsed="false">
      <c r="A38" s="4" t="s">
        <v>3757</v>
      </c>
      <c r="B38" s="12" t="s">
        <v>2765</v>
      </c>
      <c r="C38" s="4" t="s">
        <v>3641</v>
      </c>
      <c r="D38" s="12" t="s">
        <v>2793</v>
      </c>
      <c r="E38" s="12" t="s">
        <v>2484</v>
      </c>
      <c r="F38" s="29" t="n">
        <v>1</v>
      </c>
      <c r="G38" s="29" t="n">
        <v>2</v>
      </c>
      <c r="H38" s="19" t="n">
        <v>8000</v>
      </c>
      <c r="I38" s="23" t="n">
        <f aca="false">F38*G38*H38</f>
        <v>16000</v>
      </c>
      <c r="J38" s="12" t="s">
        <v>3776</v>
      </c>
      <c r="K38" s="12" t="s">
        <v>2795</v>
      </c>
      <c r="L38" s="12" t="s">
        <v>2796</v>
      </c>
      <c r="M38" s="4" t="s">
        <v>3781</v>
      </c>
    </row>
    <row r="39" customFormat="false" ht="23.85" hidden="false" customHeight="false" outlineLevel="0" collapsed="false">
      <c r="A39" s="4" t="s">
        <v>3757</v>
      </c>
      <c r="B39" s="12" t="s">
        <v>2765</v>
      </c>
      <c r="C39" s="4" t="s">
        <v>2801</v>
      </c>
      <c r="D39" s="12" t="s">
        <v>2793</v>
      </c>
      <c r="E39" s="12" t="s">
        <v>2484</v>
      </c>
      <c r="F39" s="29" t="n">
        <v>1</v>
      </c>
      <c r="G39" s="29" t="n">
        <v>2</v>
      </c>
      <c r="H39" s="19" t="n">
        <v>6000</v>
      </c>
      <c r="I39" s="23" t="n">
        <f aca="false">F39*G39*H39</f>
        <v>12000</v>
      </c>
      <c r="J39" s="12" t="s">
        <v>3776</v>
      </c>
      <c r="K39" s="12" t="s">
        <v>2795</v>
      </c>
      <c r="L39" s="12" t="s">
        <v>2796</v>
      </c>
      <c r="M39" s="4" t="s">
        <v>3782</v>
      </c>
    </row>
    <row r="40" customFormat="false" ht="35.05" hidden="false" customHeight="false" outlineLevel="0" collapsed="false">
      <c r="A40" s="4" t="s">
        <v>3757</v>
      </c>
      <c r="B40" s="12" t="s">
        <v>2765</v>
      </c>
      <c r="C40" s="4" t="s">
        <v>3783</v>
      </c>
      <c r="D40" s="12" t="s">
        <v>2793</v>
      </c>
      <c r="E40" s="12" t="s">
        <v>2484</v>
      </c>
      <c r="F40" s="29" t="n">
        <v>4</v>
      </c>
      <c r="G40" s="29" t="n">
        <v>2</v>
      </c>
      <c r="H40" s="19" t="n">
        <v>2834</v>
      </c>
      <c r="I40" s="23" t="n">
        <f aca="false">F40*G40*H40</f>
        <v>22672</v>
      </c>
      <c r="J40" s="12" t="s">
        <v>3776</v>
      </c>
      <c r="K40" s="12" t="s">
        <v>2805</v>
      </c>
      <c r="L40" s="12"/>
      <c r="M40" s="4" t="s">
        <v>3784</v>
      </c>
    </row>
    <row r="41" customFormat="false" ht="23.85" hidden="false" customHeight="false" outlineLevel="0" collapsed="false">
      <c r="A41" s="4" t="s">
        <v>3757</v>
      </c>
      <c r="B41" s="12" t="s">
        <v>2765</v>
      </c>
      <c r="C41" s="4" t="s">
        <v>3785</v>
      </c>
      <c r="D41" s="12" t="s">
        <v>2855</v>
      </c>
      <c r="E41" s="12" t="s">
        <v>2516</v>
      </c>
      <c r="F41" s="29" t="n">
        <v>2</v>
      </c>
      <c r="G41" s="29" t="n">
        <v>5</v>
      </c>
      <c r="H41" s="19" t="n">
        <v>900</v>
      </c>
      <c r="I41" s="23" t="n">
        <f aca="false">F41*G41*H41</f>
        <v>9000</v>
      </c>
      <c r="J41" s="12" t="s">
        <v>3776</v>
      </c>
      <c r="K41" s="12" t="s">
        <v>2848</v>
      </c>
      <c r="L41" s="12" t="s">
        <v>2796</v>
      </c>
      <c r="M41" s="4" t="s">
        <v>3786</v>
      </c>
    </row>
    <row r="42" customFormat="false" ht="23.85" hidden="false" customHeight="false" outlineLevel="0" collapsed="false">
      <c r="A42" s="4" t="s">
        <v>3778</v>
      </c>
      <c r="B42" s="12" t="s">
        <v>2765</v>
      </c>
      <c r="C42" s="4" t="s">
        <v>3787</v>
      </c>
      <c r="D42" s="12" t="s">
        <v>2855</v>
      </c>
      <c r="E42" s="12" t="s">
        <v>2516</v>
      </c>
      <c r="F42" s="29" t="n">
        <v>5</v>
      </c>
      <c r="G42" s="29" t="n">
        <v>1</v>
      </c>
      <c r="H42" s="19" t="n">
        <v>3500</v>
      </c>
      <c r="I42" s="23" t="n">
        <f aca="false">F42*G42*H42</f>
        <v>17500</v>
      </c>
      <c r="J42" s="12" t="s">
        <v>3776</v>
      </c>
      <c r="K42" s="12" t="s">
        <v>2805</v>
      </c>
      <c r="L42" s="12"/>
      <c r="M42" s="4" t="s">
        <v>3788</v>
      </c>
    </row>
    <row r="43" customFormat="false" ht="23.85" hidden="false" customHeight="false" outlineLevel="0" collapsed="false">
      <c r="A43" s="4" t="s">
        <v>3757</v>
      </c>
      <c r="B43" s="12" t="s">
        <v>2765</v>
      </c>
      <c r="C43" s="4" t="s">
        <v>3499</v>
      </c>
      <c r="D43" s="12" t="s">
        <v>2808</v>
      </c>
      <c r="E43" s="12" t="s">
        <v>2497</v>
      </c>
      <c r="F43" s="29" t="n">
        <v>1</v>
      </c>
      <c r="G43" s="29" t="n">
        <v>5</v>
      </c>
      <c r="H43" s="19" t="n">
        <v>3500</v>
      </c>
      <c r="I43" s="23" t="n">
        <f aca="false">F43*G43*H43</f>
        <v>17500</v>
      </c>
      <c r="J43" s="12" t="s">
        <v>3776</v>
      </c>
      <c r="K43" s="12" t="s">
        <v>3500</v>
      </c>
      <c r="L43" s="12" t="s">
        <v>2950</v>
      </c>
      <c r="M43" s="4" t="s">
        <v>3789</v>
      </c>
    </row>
    <row r="44" customFormat="false" ht="23.85" hidden="false" customHeight="false" outlineLevel="0" collapsed="false">
      <c r="A44" s="4" t="s">
        <v>3757</v>
      </c>
      <c r="B44" s="12" t="s">
        <v>2765</v>
      </c>
      <c r="C44" s="4" t="s">
        <v>3676</v>
      </c>
      <c r="D44" s="12" t="s">
        <v>2808</v>
      </c>
      <c r="E44" s="12" t="s">
        <v>2497</v>
      </c>
      <c r="F44" s="29" t="n">
        <v>1</v>
      </c>
      <c r="G44" s="29" t="n">
        <v>5</v>
      </c>
      <c r="H44" s="19" t="n">
        <v>3500</v>
      </c>
      <c r="I44" s="23" t="n">
        <f aca="false">F44*G44*H44</f>
        <v>17500</v>
      </c>
      <c r="J44" s="12" t="s">
        <v>3776</v>
      </c>
      <c r="K44" s="12" t="s">
        <v>2863</v>
      </c>
      <c r="L44" s="12" t="s">
        <v>2796</v>
      </c>
      <c r="M44" s="4" t="s">
        <v>3790</v>
      </c>
    </row>
    <row r="45" customFormat="false" ht="23.85" hidden="false" customHeight="false" outlineLevel="0" collapsed="false">
      <c r="A45" s="4" t="s">
        <v>3757</v>
      </c>
      <c r="B45" s="12" t="s">
        <v>2765</v>
      </c>
      <c r="C45" s="4" t="s">
        <v>3678</v>
      </c>
      <c r="D45" s="12" t="s">
        <v>2808</v>
      </c>
      <c r="E45" s="12" t="s">
        <v>2497</v>
      </c>
      <c r="F45" s="29" t="n">
        <v>1</v>
      </c>
      <c r="G45" s="29" t="n">
        <v>5</v>
      </c>
      <c r="H45" s="19" t="n">
        <v>2500</v>
      </c>
      <c r="I45" s="23" t="n">
        <f aca="false">F45*G45*H45</f>
        <v>12500</v>
      </c>
      <c r="J45" s="12" t="s">
        <v>3776</v>
      </c>
      <c r="K45" s="12" t="s">
        <v>2834</v>
      </c>
      <c r="L45" s="12" t="s">
        <v>2796</v>
      </c>
      <c r="M45" s="4" t="s">
        <v>3791</v>
      </c>
    </row>
    <row r="46" customFormat="false" ht="23.85" hidden="false" customHeight="false" outlineLevel="0" collapsed="false">
      <c r="A46" s="4" t="s">
        <v>3792</v>
      </c>
      <c r="B46" s="12" t="s">
        <v>2765</v>
      </c>
      <c r="C46" s="4" t="s">
        <v>3793</v>
      </c>
      <c r="D46" s="12" t="s">
        <v>2808</v>
      </c>
      <c r="E46" s="12" t="s">
        <v>2497</v>
      </c>
      <c r="F46" s="29" t="n">
        <v>1</v>
      </c>
      <c r="G46" s="29" t="n">
        <v>5</v>
      </c>
      <c r="H46" s="19" t="n">
        <v>1500</v>
      </c>
      <c r="I46" s="23" t="n">
        <f aca="false">F46*G46*H46</f>
        <v>7500</v>
      </c>
      <c r="J46" s="12" t="s">
        <v>3776</v>
      </c>
      <c r="K46" s="12" t="s">
        <v>2834</v>
      </c>
      <c r="L46" s="12" t="s">
        <v>2796</v>
      </c>
      <c r="M46" s="4" t="s">
        <v>3794</v>
      </c>
    </row>
    <row r="47" customFormat="false" ht="23.85" hidden="false" customHeight="false" outlineLevel="0" collapsed="false">
      <c r="A47" s="4" t="s">
        <v>3757</v>
      </c>
      <c r="B47" s="12" t="s">
        <v>2765</v>
      </c>
      <c r="C47" s="4" t="s">
        <v>3680</v>
      </c>
      <c r="D47" s="12" t="s">
        <v>2808</v>
      </c>
      <c r="E47" s="12" t="s">
        <v>2497</v>
      </c>
      <c r="F47" s="29" t="n">
        <v>1</v>
      </c>
      <c r="G47" s="29" t="n">
        <v>5</v>
      </c>
      <c r="H47" s="19" t="n">
        <v>2000</v>
      </c>
      <c r="I47" s="23" t="n">
        <f aca="false">F47*G47*H47</f>
        <v>10000</v>
      </c>
      <c r="J47" s="12" t="s">
        <v>3776</v>
      </c>
      <c r="K47" s="12" t="s">
        <v>3681</v>
      </c>
      <c r="L47" s="12" t="s">
        <v>2950</v>
      </c>
      <c r="M47" s="4" t="s">
        <v>3795</v>
      </c>
    </row>
    <row r="48" customFormat="false" ht="23.85" hidden="false" customHeight="false" outlineLevel="0" collapsed="false">
      <c r="A48" s="4" t="s">
        <v>3757</v>
      </c>
      <c r="B48" s="12" t="s">
        <v>2765</v>
      </c>
      <c r="C48" s="4" t="s">
        <v>3321</v>
      </c>
      <c r="D48" s="12" t="s">
        <v>2808</v>
      </c>
      <c r="E48" s="12" t="s">
        <v>2497</v>
      </c>
      <c r="F48" s="29" t="n">
        <v>1</v>
      </c>
      <c r="G48" s="29" t="n">
        <v>5</v>
      </c>
      <c r="H48" s="19" t="n">
        <v>700</v>
      </c>
      <c r="I48" s="23" t="n">
        <f aca="false">F48*G48*H48</f>
        <v>3500</v>
      </c>
      <c r="J48" s="12" t="s">
        <v>3776</v>
      </c>
      <c r="K48" s="12" t="s">
        <v>2866</v>
      </c>
      <c r="L48" s="12" t="s">
        <v>2796</v>
      </c>
      <c r="M48" s="4"/>
    </row>
    <row r="49" customFormat="false" ht="23.85" hidden="false" customHeight="false" outlineLevel="0" collapsed="false">
      <c r="A49" s="4" t="s">
        <v>3757</v>
      </c>
      <c r="B49" s="12" t="s">
        <v>2765</v>
      </c>
      <c r="C49" s="4" t="s">
        <v>3796</v>
      </c>
      <c r="D49" s="12" t="s">
        <v>2808</v>
      </c>
      <c r="E49" s="12" t="s">
        <v>2497</v>
      </c>
      <c r="F49" s="29" t="n">
        <v>1</v>
      </c>
      <c r="G49" s="29" t="n">
        <v>5</v>
      </c>
      <c r="H49" s="19" t="n">
        <v>650</v>
      </c>
      <c r="I49" s="23" t="n">
        <f aca="false">F49*G49*H49</f>
        <v>3250</v>
      </c>
      <c r="J49" s="12" t="s">
        <v>3776</v>
      </c>
      <c r="K49" s="12" t="s">
        <v>2866</v>
      </c>
      <c r="L49" s="12" t="s">
        <v>2796</v>
      </c>
      <c r="M49" s="4"/>
    </row>
    <row r="50" customFormat="false" ht="23.85" hidden="false" customHeight="false" outlineLevel="0" collapsed="false">
      <c r="A50" s="4" t="s">
        <v>3757</v>
      </c>
      <c r="B50" s="12" t="s">
        <v>2765</v>
      </c>
      <c r="C50" s="4" t="s">
        <v>3684</v>
      </c>
      <c r="D50" s="12" t="s">
        <v>2808</v>
      </c>
      <c r="E50" s="12" t="s">
        <v>2497</v>
      </c>
      <c r="F50" s="29" t="n">
        <v>2</v>
      </c>
      <c r="G50" s="29" t="n">
        <v>10</v>
      </c>
      <c r="H50" s="19" t="n">
        <v>300</v>
      </c>
      <c r="I50" s="23" t="n">
        <f aca="false">F50*G50*H50</f>
        <v>6000</v>
      </c>
      <c r="J50" s="12" t="s">
        <v>3776</v>
      </c>
      <c r="K50" s="12" t="s">
        <v>2870</v>
      </c>
      <c r="L50" s="12" t="s">
        <v>2796</v>
      </c>
      <c r="M50" s="4" t="s">
        <v>3797</v>
      </c>
    </row>
    <row r="51" customFormat="false" ht="23.85" hidden="false" customHeight="false" outlineLevel="0" collapsed="false">
      <c r="A51" s="4" t="s">
        <v>3757</v>
      </c>
      <c r="B51" s="12" t="s">
        <v>2765</v>
      </c>
      <c r="C51" s="4" t="s">
        <v>3686</v>
      </c>
      <c r="D51" s="12" t="s">
        <v>2808</v>
      </c>
      <c r="E51" s="12" t="s">
        <v>2497</v>
      </c>
      <c r="F51" s="29" t="n">
        <v>1</v>
      </c>
      <c r="G51" s="29" t="n">
        <v>6</v>
      </c>
      <c r="H51" s="19" t="n">
        <v>2000</v>
      </c>
      <c r="I51" s="23" t="n">
        <f aca="false">F51*G51*H51</f>
        <v>12000</v>
      </c>
      <c r="J51" s="12" t="s">
        <v>3776</v>
      </c>
      <c r="K51" s="12" t="s">
        <v>3017</v>
      </c>
      <c r="L51" s="12" t="s">
        <v>2796</v>
      </c>
      <c r="M51" s="4" t="s">
        <v>3798</v>
      </c>
    </row>
    <row r="52" customFormat="false" ht="23.85" hidden="false" customHeight="false" outlineLevel="0" collapsed="false">
      <c r="A52" s="4" t="s">
        <v>3757</v>
      </c>
      <c r="B52" s="12" t="s">
        <v>2765</v>
      </c>
      <c r="C52" s="4" t="s">
        <v>3688</v>
      </c>
      <c r="D52" s="12" t="s">
        <v>2808</v>
      </c>
      <c r="E52" s="12" t="s">
        <v>2497</v>
      </c>
      <c r="F52" s="29" t="n">
        <v>1</v>
      </c>
      <c r="G52" s="29" t="n">
        <v>9</v>
      </c>
      <c r="H52" s="19" t="n">
        <v>1000</v>
      </c>
      <c r="I52" s="23" t="n">
        <f aca="false">F52*G52*H52</f>
        <v>9000</v>
      </c>
      <c r="J52" s="12" t="s">
        <v>3776</v>
      </c>
      <c r="K52" s="12" t="s">
        <v>2810</v>
      </c>
      <c r="L52" s="12" t="s">
        <v>2796</v>
      </c>
      <c r="M52" s="4" t="s">
        <v>3799</v>
      </c>
    </row>
    <row r="53" customFormat="false" ht="23.85" hidden="false" customHeight="false" outlineLevel="0" collapsed="false">
      <c r="A53" s="4" t="s">
        <v>3757</v>
      </c>
      <c r="B53" s="12" t="s">
        <v>2765</v>
      </c>
      <c r="C53" s="4" t="s">
        <v>3800</v>
      </c>
      <c r="D53" s="12" t="s">
        <v>2808</v>
      </c>
      <c r="E53" s="12" t="s">
        <v>3165</v>
      </c>
      <c r="F53" s="29" t="n">
        <v>12</v>
      </c>
      <c r="G53" s="29" t="n">
        <v>4</v>
      </c>
      <c r="H53" s="19" t="n">
        <v>200</v>
      </c>
      <c r="I53" s="23" t="n">
        <f aca="false">F53*G53*H53</f>
        <v>9600</v>
      </c>
      <c r="J53" s="12" t="s">
        <v>3776</v>
      </c>
      <c r="K53" s="12" t="s">
        <v>3166</v>
      </c>
      <c r="L53" s="12" t="s">
        <v>2796</v>
      </c>
      <c r="M53" s="4" t="s">
        <v>3801</v>
      </c>
    </row>
    <row r="54" customFormat="false" ht="23.85" hidden="false" customHeight="false" outlineLevel="0" collapsed="false">
      <c r="A54" s="4" t="s">
        <v>3757</v>
      </c>
      <c r="B54" s="12" t="s">
        <v>2765</v>
      </c>
      <c r="C54" s="4" t="s">
        <v>3593</v>
      </c>
      <c r="D54" s="12" t="s">
        <v>2808</v>
      </c>
      <c r="E54" s="12" t="s">
        <v>3165</v>
      </c>
      <c r="F54" s="29" t="n">
        <v>12</v>
      </c>
      <c r="G54" s="29" t="n">
        <v>10</v>
      </c>
      <c r="H54" s="19" t="n">
        <v>85</v>
      </c>
      <c r="I54" s="23" t="n">
        <f aca="false">F54*G54*H54</f>
        <v>10200</v>
      </c>
      <c r="J54" s="12" t="s">
        <v>3776</v>
      </c>
      <c r="K54" s="12" t="s">
        <v>3169</v>
      </c>
      <c r="L54" s="12" t="s">
        <v>2796</v>
      </c>
      <c r="M54" s="4" t="s">
        <v>3802</v>
      </c>
    </row>
    <row r="55" customFormat="false" ht="23.85" hidden="false" customHeight="false" outlineLevel="0" collapsed="false">
      <c r="A55" s="4" t="s">
        <v>3757</v>
      </c>
      <c r="B55" s="12" t="s">
        <v>2765</v>
      </c>
      <c r="C55" s="4" t="s">
        <v>3505</v>
      </c>
      <c r="D55" s="12" t="s">
        <v>2808</v>
      </c>
      <c r="E55" s="12" t="s">
        <v>3506</v>
      </c>
      <c r="F55" s="29" t="n">
        <v>3</v>
      </c>
      <c r="G55" s="29" t="n">
        <v>5</v>
      </c>
      <c r="H55" s="19" t="n">
        <v>220</v>
      </c>
      <c r="I55" s="23" t="n">
        <f aca="false">F55*G55*H55</f>
        <v>3300</v>
      </c>
      <c r="J55" s="12" t="s">
        <v>3776</v>
      </c>
      <c r="K55" s="12" t="s">
        <v>3507</v>
      </c>
      <c r="L55" s="12" t="s">
        <v>2796</v>
      </c>
      <c r="M55" s="4" t="s">
        <v>3803</v>
      </c>
    </row>
    <row r="56" customFormat="false" ht="23.85" hidden="false" customHeight="false" outlineLevel="0" collapsed="false">
      <c r="A56" s="4" t="s">
        <v>3757</v>
      </c>
      <c r="B56" s="12" t="s">
        <v>2765</v>
      </c>
      <c r="C56" s="4" t="s">
        <v>3325</v>
      </c>
      <c r="D56" s="12" t="s">
        <v>2808</v>
      </c>
      <c r="E56" s="12" t="s">
        <v>2497</v>
      </c>
      <c r="F56" s="29" t="n">
        <v>2</v>
      </c>
      <c r="G56" s="29" t="n">
        <v>5</v>
      </c>
      <c r="H56" s="19" t="n">
        <v>300</v>
      </c>
      <c r="I56" s="23" t="n">
        <f aca="false">F56*G56*H56</f>
        <v>3000</v>
      </c>
      <c r="J56" s="12" t="s">
        <v>3776</v>
      </c>
      <c r="K56" s="12" t="s">
        <v>2875</v>
      </c>
      <c r="L56" s="12" t="s">
        <v>2796</v>
      </c>
      <c r="M56" s="4"/>
    </row>
    <row r="57" customFormat="false" ht="23.85" hidden="false" customHeight="false" outlineLevel="0" collapsed="false">
      <c r="A57" s="4" t="s">
        <v>3757</v>
      </c>
      <c r="B57" s="12" t="s">
        <v>2765</v>
      </c>
      <c r="C57" s="4" t="s">
        <v>3323</v>
      </c>
      <c r="D57" s="12" t="s">
        <v>2808</v>
      </c>
      <c r="E57" s="12" t="s">
        <v>2497</v>
      </c>
      <c r="F57" s="29" t="n">
        <v>3</v>
      </c>
      <c r="G57" s="29" t="n">
        <v>5</v>
      </c>
      <c r="H57" s="19" t="n">
        <v>280</v>
      </c>
      <c r="I57" s="23" t="n">
        <f aca="false">F57*G57*H57</f>
        <v>4200</v>
      </c>
      <c r="J57" s="12" t="s">
        <v>3776</v>
      </c>
      <c r="K57" s="12" t="s">
        <v>3324</v>
      </c>
      <c r="L57" s="12" t="s">
        <v>2950</v>
      </c>
      <c r="M57" s="4"/>
    </row>
    <row r="58" customFormat="false" ht="23.85" hidden="false" customHeight="false" outlineLevel="0" collapsed="false">
      <c r="A58" s="4" t="s">
        <v>3757</v>
      </c>
      <c r="B58" s="12" t="s">
        <v>2765</v>
      </c>
      <c r="C58" s="4" t="s">
        <v>3804</v>
      </c>
      <c r="D58" s="12" t="s">
        <v>2882</v>
      </c>
      <c r="E58" s="12" t="s">
        <v>2601</v>
      </c>
      <c r="F58" s="29" t="n">
        <v>5</v>
      </c>
      <c r="G58" s="29" t="n">
        <v>1</v>
      </c>
      <c r="H58" s="19" t="n">
        <v>1500</v>
      </c>
      <c r="I58" s="23" t="n">
        <f aca="false">F58*G58*H58</f>
        <v>7500</v>
      </c>
      <c r="J58" s="12" t="s">
        <v>3776</v>
      </c>
      <c r="K58" s="12" t="s">
        <v>3327</v>
      </c>
      <c r="L58" s="12" t="s">
        <v>2796</v>
      </c>
      <c r="M58" s="4" t="s">
        <v>3805</v>
      </c>
    </row>
    <row r="59" customFormat="false" ht="23.85" hidden="false" customHeight="false" outlineLevel="0" collapsed="false">
      <c r="A59" s="4" t="s">
        <v>3757</v>
      </c>
      <c r="B59" s="12" t="s">
        <v>2765</v>
      </c>
      <c r="C59" s="4" t="s">
        <v>3513</v>
      </c>
      <c r="D59" s="12" t="s">
        <v>2808</v>
      </c>
      <c r="E59" s="12" t="s">
        <v>2683</v>
      </c>
      <c r="F59" s="29" t="n">
        <v>1</v>
      </c>
      <c r="G59" s="29" t="n">
        <v>1</v>
      </c>
      <c r="H59" s="19" t="n">
        <v>3500</v>
      </c>
      <c r="I59" s="23" t="n">
        <f aca="false">F59*G59*H59</f>
        <v>3500</v>
      </c>
      <c r="J59" s="12" t="s">
        <v>3776</v>
      </c>
      <c r="K59" s="12" t="s">
        <v>2845</v>
      </c>
      <c r="L59" s="12" t="s">
        <v>2796</v>
      </c>
      <c r="M59" s="4"/>
    </row>
    <row r="60" customFormat="false" ht="23.85" hidden="false" customHeight="false" outlineLevel="0" collapsed="false">
      <c r="A60" s="4" t="s">
        <v>3757</v>
      </c>
      <c r="B60" s="12" t="s">
        <v>2765</v>
      </c>
      <c r="C60" s="4" t="s">
        <v>3699</v>
      </c>
      <c r="D60" s="12" t="s">
        <v>2882</v>
      </c>
      <c r="E60" s="12" t="s">
        <v>2601</v>
      </c>
      <c r="F60" s="29" t="n">
        <v>1</v>
      </c>
      <c r="G60" s="29" t="n">
        <v>1</v>
      </c>
      <c r="H60" s="19" t="n">
        <v>2000</v>
      </c>
      <c r="I60" s="23" t="n">
        <f aca="false">F60*G60*H60</f>
        <v>2000</v>
      </c>
      <c r="J60" s="12" t="s">
        <v>3776</v>
      </c>
      <c r="K60" s="12" t="s">
        <v>2805</v>
      </c>
      <c r="L60" s="12"/>
      <c r="M60" s="4" t="s">
        <v>3806</v>
      </c>
    </row>
    <row r="61" customFormat="false" ht="23.85" hidden="false" customHeight="false" outlineLevel="0" collapsed="false">
      <c r="A61" s="4" t="s">
        <v>3757</v>
      </c>
      <c r="B61" s="12" t="s">
        <v>2765</v>
      </c>
      <c r="C61" s="4" t="s">
        <v>2613</v>
      </c>
      <c r="D61" s="12" t="s">
        <v>2808</v>
      </c>
      <c r="E61" s="12" t="s">
        <v>2497</v>
      </c>
      <c r="F61" s="29" t="n">
        <v>1</v>
      </c>
      <c r="G61" s="29" t="n">
        <v>5</v>
      </c>
      <c r="H61" s="19" t="n">
        <v>900</v>
      </c>
      <c r="I61" s="23" t="n">
        <f aca="false">F61*G61*H61</f>
        <v>4500</v>
      </c>
      <c r="J61" s="12" t="s">
        <v>3776</v>
      </c>
      <c r="K61" s="12" t="s">
        <v>2848</v>
      </c>
      <c r="L61" s="12" t="s">
        <v>2796</v>
      </c>
      <c r="M61" s="4" t="s">
        <v>3807</v>
      </c>
    </row>
    <row r="62" customFormat="false" ht="23.85" hidden="false" customHeight="false" outlineLevel="0" collapsed="false">
      <c r="A62" s="4" t="s">
        <v>3808</v>
      </c>
      <c r="B62" s="12" t="s">
        <v>2765</v>
      </c>
      <c r="C62" s="4" t="s">
        <v>3809</v>
      </c>
      <c r="D62" s="12" t="s">
        <v>2808</v>
      </c>
      <c r="E62" s="12" t="s">
        <v>2497</v>
      </c>
      <c r="F62" s="29" t="n">
        <v>1</v>
      </c>
      <c r="G62" s="29" t="n">
        <v>3</v>
      </c>
      <c r="H62" s="19" t="n">
        <v>1800</v>
      </c>
      <c r="I62" s="23" t="n">
        <f aca="false">F62*G62*H62</f>
        <v>5400</v>
      </c>
      <c r="J62" s="12" t="s">
        <v>3776</v>
      </c>
      <c r="K62" s="12" t="s">
        <v>2851</v>
      </c>
      <c r="L62" s="12" t="s">
        <v>2796</v>
      </c>
      <c r="M62" s="4" t="s">
        <v>3810</v>
      </c>
    </row>
    <row r="63" customFormat="false" ht="23.85" hidden="false" customHeight="false" outlineLevel="0" collapsed="false">
      <c r="A63" s="4" t="s">
        <v>3808</v>
      </c>
      <c r="B63" s="12" t="s">
        <v>2766</v>
      </c>
      <c r="C63" s="4" t="s">
        <v>3811</v>
      </c>
      <c r="D63" s="12" t="s">
        <v>2804</v>
      </c>
      <c r="E63" s="12" t="s">
        <v>2597</v>
      </c>
      <c r="F63" s="29" t="n">
        <v>1</v>
      </c>
      <c r="G63" s="29" t="n">
        <v>1</v>
      </c>
      <c r="H63" s="19" t="n">
        <v>6000</v>
      </c>
      <c r="I63" s="23" t="n">
        <f aca="false">F63*G63*H63</f>
        <v>6000</v>
      </c>
      <c r="J63" s="12" t="s">
        <v>2794</v>
      </c>
      <c r="K63" s="12" t="s">
        <v>2891</v>
      </c>
      <c r="L63" s="12" t="s">
        <v>3221</v>
      </c>
      <c r="M63" s="4" t="s">
        <v>3812</v>
      </c>
    </row>
    <row r="64" customFormat="false" ht="23.85" hidden="false" customHeight="false" outlineLevel="0" collapsed="false">
      <c r="A64" s="4" t="s">
        <v>3757</v>
      </c>
      <c r="B64" s="12" t="s">
        <v>2766</v>
      </c>
      <c r="C64" s="4" t="s">
        <v>2888</v>
      </c>
      <c r="D64" s="12" t="s">
        <v>2793</v>
      </c>
      <c r="E64" s="12" t="s">
        <v>2484</v>
      </c>
      <c r="F64" s="29" t="n">
        <v>1</v>
      </c>
      <c r="G64" s="29" t="n">
        <v>1</v>
      </c>
      <c r="H64" s="19" t="n">
        <v>6000</v>
      </c>
      <c r="I64" s="23" t="n">
        <f aca="false">F64*G64*H64</f>
        <v>6000</v>
      </c>
      <c r="J64" s="12" t="s">
        <v>2794</v>
      </c>
      <c r="K64" s="12" t="s">
        <v>2795</v>
      </c>
      <c r="L64" s="12" t="s">
        <v>2796</v>
      </c>
      <c r="M64" s="4" t="s">
        <v>3813</v>
      </c>
    </row>
    <row r="65" customFormat="false" ht="23.85" hidden="false" customHeight="false" outlineLevel="0" collapsed="false">
      <c r="A65" s="4" t="s">
        <v>3757</v>
      </c>
      <c r="B65" s="12" t="s">
        <v>2767</v>
      </c>
      <c r="C65" s="4" t="s">
        <v>2893</v>
      </c>
      <c r="D65" s="12" t="s">
        <v>2793</v>
      </c>
      <c r="E65" s="12" t="s">
        <v>2484</v>
      </c>
      <c r="F65" s="29" t="n">
        <v>1</v>
      </c>
      <c r="G65" s="29" t="n">
        <v>6</v>
      </c>
      <c r="H65" s="19" t="n">
        <v>1800</v>
      </c>
      <c r="I65" s="23" t="n">
        <f aca="false">F65*G65*H65</f>
        <v>10800</v>
      </c>
      <c r="J65" s="12" t="s">
        <v>2794</v>
      </c>
      <c r="K65" s="12" t="s">
        <v>2894</v>
      </c>
      <c r="L65" s="12" t="s">
        <v>2796</v>
      </c>
      <c r="M65" s="4" t="s">
        <v>3814</v>
      </c>
    </row>
    <row r="66" customFormat="false" ht="23.85" hidden="false" customHeight="false" outlineLevel="0" collapsed="false">
      <c r="A66" s="4" t="s">
        <v>3757</v>
      </c>
      <c r="B66" s="12" t="s">
        <v>2767</v>
      </c>
      <c r="C66" s="4" t="s">
        <v>3815</v>
      </c>
      <c r="D66" s="12" t="s">
        <v>2793</v>
      </c>
      <c r="E66" s="12" t="s">
        <v>2484</v>
      </c>
      <c r="F66" s="29" t="n">
        <v>1</v>
      </c>
      <c r="G66" s="29" t="n">
        <v>2</v>
      </c>
      <c r="H66" s="19" t="n">
        <v>2000</v>
      </c>
      <c r="I66" s="23" t="n">
        <f aca="false">F66*G66*H66</f>
        <v>4000</v>
      </c>
      <c r="J66" s="12" t="s">
        <v>2794</v>
      </c>
      <c r="K66" s="12" t="s">
        <v>2891</v>
      </c>
      <c r="L66" s="12" t="s">
        <v>2796</v>
      </c>
      <c r="M66" s="4" t="s">
        <v>3816</v>
      </c>
    </row>
    <row r="67" customFormat="false" ht="23.85" hidden="false" customHeight="false" outlineLevel="0" collapsed="false">
      <c r="A67" s="4" t="s">
        <v>3757</v>
      </c>
      <c r="B67" s="12" t="s">
        <v>2765</v>
      </c>
      <c r="C67" s="4" t="s">
        <v>3618</v>
      </c>
      <c r="D67" s="12" t="s">
        <v>2808</v>
      </c>
      <c r="E67" s="12" t="s">
        <v>2497</v>
      </c>
      <c r="F67" s="29" t="n">
        <v>1</v>
      </c>
      <c r="G67" s="29" t="n">
        <v>5</v>
      </c>
      <c r="H67" s="19" t="n">
        <v>1300</v>
      </c>
      <c r="I67" s="23" t="n">
        <f aca="false">F67*G67*H67</f>
        <v>6500</v>
      </c>
      <c r="J67" s="12" t="s">
        <v>3776</v>
      </c>
      <c r="K67" s="12" t="s">
        <v>2805</v>
      </c>
      <c r="L67" s="12"/>
      <c r="M67" s="4" t="s">
        <v>3817</v>
      </c>
    </row>
    <row r="68" customFormat="false" ht="23.85" hidden="false" customHeight="false" outlineLevel="0" collapsed="false">
      <c r="A68" s="4" t="s">
        <v>3757</v>
      </c>
      <c r="B68" s="12" t="s">
        <v>2765</v>
      </c>
      <c r="C68" s="4" t="s">
        <v>3818</v>
      </c>
      <c r="D68" s="12" t="s">
        <v>2804</v>
      </c>
      <c r="E68" s="12" t="s">
        <v>2597</v>
      </c>
      <c r="F68" s="29" t="n">
        <v>1</v>
      </c>
      <c r="G68" s="29" t="n">
        <v>5</v>
      </c>
      <c r="H68" s="19" t="n">
        <v>2000</v>
      </c>
      <c r="I68" s="23" t="n">
        <f aca="false">F68*G68*H68</f>
        <v>10000</v>
      </c>
      <c r="J68" s="12" t="s">
        <v>3776</v>
      </c>
      <c r="K68" s="12" t="s">
        <v>2902</v>
      </c>
      <c r="L68" s="12" t="s">
        <v>2950</v>
      </c>
      <c r="M68" s="4" t="s">
        <v>3819</v>
      </c>
    </row>
    <row r="69" customFormat="false" ht="23.85" hidden="false" customHeight="false" outlineLevel="0" collapsed="false">
      <c r="A69" s="4" t="s">
        <v>3757</v>
      </c>
      <c r="B69" s="12" t="s">
        <v>2765</v>
      </c>
      <c r="C69" s="4" t="s">
        <v>3718</v>
      </c>
      <c r="D69" s="12" t="s">
        <v>2808</v>
      </c>
      <c r="E69" s="12" t="s">
        <v>2477</v>
      </c>
      <c r="F69" s="29" t="n">
        <v>50</v>
      </c>
      <c r="G69" s="29" t="n">
        <v>1</v>
      </c>
      <c r="H69" s="19" t="n">
        <v>25</v>
      </c>
      <c r="I69" s="23" t="n">
        <f aca="false">F69*G69*H69</f>
        <v>1250</v>
      </c>
      <c r="J69" s="12" t="s">
        <v>3776</v>
      </c>
      <c r="K69" s="12" t="s">
        <v>2805</v>
      </c>
      <c r="L69" s="12"/>
      <c r="M69" s="4" t="s">
        <v>3234</v>
      </c>
    </row>
    <row r="70" customFormat="false" ht="23.85" hidden="false" customHeight="false" outlineLevel="0" collapsed="false">
      <c r="A70" s="4" t="s">
        <v>3757</v>
      </c>
      <c r="B70" s="12" t="s">
        <v>2765</v>
      </c>
      <c r="C70" s="4" t="s">
        <v>3820</v>
      </c>
      <c r="D70" s="12" t="s">
        <v>2804</v>
      </c>
      <c r="E70" s="12" t="s">
        <v>2597</v>
      </c>
      <c r="F70" s="29" t="n">
        <v>1</v>
      </c>
      <c r="G70" s="29" t="n">
        <v>1</v>
      </c>
      <c r="H70" s="19" t="n">
        <v>3000</v>
      </c>
      <c r="I70" s="23" t="n">
        <f aca="false">F70*G70*H70</f>
        <v>3000</v>
      </c>
      <c r="J70" s="12" t="s">
        <v>2794</v>
      </c>
      <c r="K70" s="12" t="s">
        <v>2902</v>
      </c>
      <c r="L70" s="12" t="s">
        <v>2796</v>
      </c>
      <c r="M70" s="4" t="s">
        <v>3821</v>
      </c>
    </row>
    <row r="71" customFormat="false" ht="23.85" hidden="false" customHeight="false" outlineLevel="0" collapsed="false">
      <c r="A71" s="4" t="s">
        <v>3757</v>
      </c>
      <c r="B71" s="12" t="s">
        <v>2768</v>
      </c>
      <c r="C71" s="4" t="s">
        <v>2911</v>
      </c>
      <c r="D71" s="12" t="s">
        <v>2882</v>
      </c>
      <c r="E71" s="12" t="s">
        <v>2601</v>
      </c>
      <c r="F71" s="29" t="n">
        <v>1</v>
      </c>
      <c r="G71" s="29" t="n">
        <v>1</v>
      </c>
      <c r="H71" s="19" t="n">
        <v>10100</v>
      </c>
      <c r="I71" s="23" t="n">
        <f aca="false">F71*G71*H71</f>
        <v>10100</v>
      </c>
      <c r="J71" s="12" t="s">
        <v>2794</v>
      </c>
      <c r="K71" s="12" t="s">
        <v>2805</v>
      </c>
      <c r="L71" s="12"/>
      <c r="M71" s="4" t="s">
        <v>3822</v>
      </c>
    </row>
    <row r="72" customFormat="false" ht="15" hidden="false" customHeight="false" outlineLevel="0" collapsed="false">
      <c r="H72" s="10" t="s">
        <v>134</v>
      </c>
      <c r="I72" s="11" t="n">
        <f aca="false">SUM(I26:I71)</f>
        <v>390622</v>
      </c>
    </row>
    <row r="74" customFormat="false" ht="15" hidden="false" customHeight="false" outlineLevel="0" collapsed="false">
      <c r="A74" s="22" t="s">
        <v>2913</v>
      </c>
    </row>
    <row r="75" customFormat="false" ht="23.85" hidden="false" customHeight="false" outlineLevel="0" collapsed="false">
      <c r="A75" s="3" t="s">
        <v>2914</v>
      </c>
      <c r="B75" s="3" t="s">
        <v>2915</v>
      </c>
      <c r="C75" s="3" t="s">
        <v>2780</v>
      </c>
      <c r="D75" s="3" t="s">
        <v>2781</v>
      </c>
      <c r="E75" s="3" t="s">
        <v>2782</v>
      </c>
      <c r="F75" s="3" t="s">
        <v>2783</v>
      </c>
      <c r="G75" s="3" t="s">
        <v>2784</v>
      </c>
      <c r="H75" s="3" t="s">
        <v>2785</v>
      </c>
      <c r="I75" s="3" t="s">
        <v>2786</v>
      </c>
      <c r="J75" s="3" t="s">
        <v>1393</v>
      </c>
      <c r="K75" s="3" t="s">
        <v>2916</v>
      </c>
      <c r="L75" s="3" t="s">
        <v>2789</v>
      </c>
      <c r="M75" s="3" t="s">
        <v>368</v>
      </c>
    </row>
    <row r="76" customFormat="false" ht="23.85" hidden="false" customHeight="false" outlineLevel="0" collapsed="false">
      <c r="A76" s="4" t="s">
        <v>3757</v>
      </c>
      <c r="B76" s="12" t="s">
        <v>2918</v>
      </c>
      <c r="C76" s="4" t="s">
        <v>2919</v>
      </c>
      <c r="D76" s="12" t="s">
        <v>2804</v>
      </c>
      <c r="E76" s="12" t="s">
        <v>2597</v>
      </c>
      <c r="F76" s="30" t="n">
        <v>1</v>
      </c>
      <c r="G76" s="30" t="n">
        <v>1</v>
      </c>
      <c r="H76" s="19" t="n">
        <v>10000</v>
      </c>
      <c r="I76" s="23" t="n">
        <f aca="false">F76*G76*H76</f>
        <v>10000</v>
      </c>
      <c r="J76" s="12" t="s">
        <v>2794</v>
      </c>
      <c r="K76" s="12" t="s">
        <v>2920</v>
      </c>
      <c r="L76" s="12" t="s">
        <v>2796</v>
      </c>
      <c r="M76" s="4" t="s">
        <v>3454</v>
      </c>
    </row>
    <row r="77" customFormat="false" ht="23.85" hidden="false" customHeight="false" outlineLevel="0" collapsed="false">
      <c r="A77" s="4" t="s">
        <v>3757</v>
      </c>
      <c r="B77" s="12" t="s">
        <v>2918</v>
      </c>
      <c r="C77" s="4" t="s">
        <v>2922</v>
      </c>
      <c r="D77" s="12" t="s">
        <v>2804</v>
      </c>
      <c r="E77" s="12" t="s">
        <v>2597</v>
      </c>
      <c r="F77" s="30" t="n">
        <v>1</v>
      </c>
      <c r="G77" s="30" t="n">
        <v>1</v>
      </c>
      <c r="H77" s="19" t="n">
        <v>7000</v>
      </c>
      <c r="I77" s="23" t="n">
        <f aca="false">F77*G77*H77</f>
        <v>7000</v>
      </c>
      <c r="J77" s="12" t="s">
        <v>2794</v>
      </c>
      <c r="K77" s="12" t="s">
        <v>2805</v>
      </c>
      <c r="L77" s="12"/>
      <c r="M77" s="4"/>
    </row>
    <row r="78" customFormat="false" ht="23.85" hidden="false" customHeight="false" outlineLevel="0" collapsed="false">
      <c r="A78" s="4" t="s">
        <v>3757</v>
      </c>
      <c r="B78" s="12" t="s">
        <v>2918</v>
      </c>
      <c r="C78" s="4" t="s">
        <v>2924</v>
      </c>
      <c r="D78" s="12" t="s">
        <v>2793</v>
      </c>
      <c r="E78" s="12" t="s">
        <v>2484</v>
      </c>
      <c r="F78" s="30" t="n">
        <v>1</v>
      </c>
      <c r="G78" s="30" t="n">
        <v>3</v>
      </c>
      <c r="H78" s="19" t="n">
        <v>3500</v>
      </c>
      <c r="I78" s="23" t="n">
        <f aca="false">F78*G78*H78</f>
        <v>10500</v>
      </c>
      <c r="J78" s="12" t="s">
        <v>2794</v>
      </c>
      <c r="K78" s="12" t="s">
        <v>2805</v>
      </c>
      <c r="L78" s="12"/>
      <c r="M78" s="4" t="s">
        <v>3736</v>
      </c>
    </row>
    <row r="79" customFormat="false" ht="23.85" hidden="false" customHeight="false" outlineLevel="0" collapsed="false">
      <c r="A79" s="4" t="s">
        <v>3757</v>
      </c>
      <c r="B79" s="12" t="s">
        <v>2918</v>
      </c>
      <c r="C79" s="4" t="s">
        <v>2926</v>
      </c>
      <c r="D79" s="12" t="s">
        <v>2793</v>
      </c>
      <c r="E79" s="12" t="s">
        <v>2484</v>
      </c>
      <c r="F79" s="30" t="n">
        <v>1</v>
      </c>
      <c r="G79" s="30" t="n">
        <v>6</v>
      </c>
      <c r="H79" s="19" t="n">
        <v>80</v>
      </c>
      <c r="I79" s="23" t="n">
        <f aca="false">F79*G79*H79</f>
        <v>480</v>
      </c>
      <c r="J79" s="12" t="s">
        <v>2794</v>
      </c>
      <c r="K79" s="12" t="s">
        <v>2805</v>
      </c>
      <c r="L79" s="12"/>
      <c r="M79" s="4"/>
    </row>
    <row r="80" customFormat="false" ht="23.85" hidden="false" customHeight="false" outlineLevel="0" collapsed="false">
      <c r="A80" s="4" t="s">
        <v>3757</v>
      </c>
      <c r="B80" s="12" t="s">
        <v>2918</v>
      </c>
      <c r="C80" s="4" t="s">
        <v>2928</v>
      </c>
      <c r="D80" s="12" t="s">
        <v>2882</v>
      </c>
      <c r="E80" s="12" t="s">
        <v>2601</v>
      </c>
      <c r="F80" s="30" t="n">
        <v>1</v>
      </c>
      <c r="G80" s="30" t="n">
        <v>1</v>
      </c>
      <c r="H80" s="19" t="n">
        <v>1000</v>
      </c>
      <c r="I80" s="23" t="n">
        <f aca="false">F80*G80*H80</f>
        <v>1000</v>
      </c>
      <c r="J80" s="12" t="s">
        <v>2794</v>
      </c>
      <c r="K80" s="12" t="s">
        <v>2805</v>
      </c>
      <c r="L80" s="12"/>
      <c r="M80" s="4"/>
    </row>
    <row r="81" customFormat="false" ht="23.85" hidden="false" customHeight="false" outlineLevel="0" collapsed="false">
      <c r="A81" s="4" t="s">
        <v>3757</v>
      </c>
      <c r="B81" s="12" t="s">
        <v>2930</v>
      </c>
      <c r="C81" s="4" t="s">
        <v>3823</v>
      </c>
      <c r="D81" s="12" t="s">
        <v>2793</v>
      </c>
      <c r="E81" s="12" t="s">
        <v>2484</v>
      </c>
      <c r="F81" s="30" t="n">
        <v>1</v>
      </c>
      <c r="G81" s="30" t="n">
        <v>2</v>
      </c>
      <c r="H81" s="19" t="n">
        <v>4000</v>
      </c>
      <c r="I81" s="23" t="n">
        <f aca="false">F81*G81*H81</f>
        <v>8000</v>
      </c>
      <c r="J81" s="12" t="s">
        <v>3776</v>
      </c>
      <c r="K81" s="12" t="s">
        <v>2805</v>
      </c>
      <c r="L81" s="12"/>
      <c r="M81" s="4" t="s">
        <v>3824</v>
      </c>
    </row>
    <row r="82" customFormat="false" ht="23.85" hidden="false" customHeight="false" outlineLevel="0" collapsed="false">
      <c r="A82" s="4" t="s">
        <v>3757</v>
      </c>
      <c r="B82" s="12" t="s">
        <v>2930</v>
      </c>
      <c r="C82" s="4" t="s">
        <v>3456</v>
      </c>
      <c r="D82" s="12" t="s">
        <v>2808</v>
      </c>
      <c r="E82" s="12" t="s">
        <v>2497</v>
      </c>
      <c r="F82" s="30" t="n">
        <v>2</v>
      </c>
      <c r="G82" s="30" t="n">
        <v>5</v>
      </c>
      <c r="H82" s="19" t="n">
        <v>250</v>
      </c>
      <c r="I82" s="23" t="n">
        <f aca="false">F82*G82*H82</f>
        <v>2500</v>
      </c>
      <c r="J82" s="12" t="s">
        <v>3776</v>
      </c>
      <c r="K82" s="12" t="s">
        <v>2934</v>
      </c>
      <c r="L82" s="12" t="s">
        <v>2796</v>
      </c>
      <c r="M82" s="4" t="s">
        <v>3825</v>
      </c>
    </row>
    <row r="83" customFormat="false" ht="23.85" hidden="false" customHeight="false" outlineLevel="0" collapsed="false">
      <c r="A83" s="4" t="s">
        <v>3757</v>
      </c>
      <c r="B83" s="12" t="s">
        <v>2930</v>
      </c>
      <c r="C83" s="4" t="s">
        <v>3362</v>
      </c>
      <c r="D83" s="12" t="s">
        <v>2808</v>
      </c>
      <c r="E83" s="12" t="s">
        <v>2497</v>
      </c>
      <c r="F83" s="30" t="n">
        <v>1</v>
      </c>
      <c r="G83" s="30" t="n">
        <v>5</v>
      </c>
      <c r="H83" s="19" t="n">
        <v>600</v>
      </c>
      <c r="I83" s="23" t="n">
        <f aca="false">F83*G83*H83</f>
        <v>3000</v>
      </c>
      <c r="J83" s="12" t="s">
        <v>3776</v>
      </c>
      <c r="K83" s="12" t="s">
        <v>2805</v>
      </c>
      <c r="L83" s="12"/>
      <c r="M83" s="4" t="s">
        <v>3826</v>
      </c>
    </row>
    <row r="84" customFormat="false" ht="23.85" hidden="false" customHeight="false" outlineLevel="0" collapsed="false">
      <c r="A84" s="4" t="s">
        <v>3757</v>
      </c>
      <c r="B84" s="12" t="s">
        <v>2930</v>
      </c>
      <c r="C84" s="4" t="s">
        <v>3827</v>
      </c>
      <c r="D84" s="12" t="s">
        <v>2804</v>
      </c>
      <c r="E84" s="12" t="s">
        <v>2597</v>
      </c>
      <c r="F84" s="30" t="n">
        <v>1</v>
      </c>
      <c r="G84" s="30" t="n">
        <v>1</v>
      </c>
      <c r="H84" s="19" t="n">
        <v>5000</v>
      </c>
      <c r="I84" s="23" t="n">
        <f aca="false">F84*G84*H84</f>
        <v>5000</v>
      </c>
      <c r="J84" s="12" t="s">
        <v>2794</v>
      </c>
      <c r="K84" s="12" t="s">
        <v>2937</v>
      </c>
      <c r="L84" s="12" t="s">
        <v>2796</v>
      </c>
      <c r="M84" s="4" t="s">
        <v>3828</v>
      </c>
    </row>
    <row r="85" customFormat="false" ht="23.85" hidden="false" customHeight="false" outlineLevel="0" collapsed="false">
      <c r="A85" s="4" t="s">
        <v>3757</v>
      </c>
      <c r="B85" s="12" t="s">
        <v>2930</v>
      </c>
      <c r="C85" s="4" t="s">
        <v>2651</v>
      </c>
      <c r="D85" s="12" t="s">
        <v>2793</v>
      </c>
      <c r="E85" s="12" t="s">
        <v>2484</v>
      </c>
      <c r="F85" s="30" t="n">
        <v>1</v>
      </c>
      <c r="G85" s="30" t="n">
        <v>1</v>
      </c>
      <c r="H85" s="19" t="n">
        <v>4500</v>
      </c>
      <c r="I85" s="23" t="n">
        <f aca="false">F85*G85*H85</f>
        <v>4500</v>
      </c>
      <c r="J85" s="12" t="s">
        <v>2794</v>
      </c>
      <c r="K85" s="12" t="s">
        <v>2939</v>
      </c>
      <c r="L85" s="12" t="s">
        <v>2796</v>
      </c>
      <c r="M85" s="4" t="s">
        <v>3829</v>
      </c>
    </row>
    <row r="86" customFormat="false" ht="23.85" hidden="false" customHeight="false" outlineLevel="0" collapsed="false">
      <c r="A86" s="4" t="s">
        <v>3757</v>
      </c>
      <c r="B86" s="12" t="s">
        <v>2930</v>
      </c>
      <c r="C86" s="4" t="s">
        <v>2654</v>
      </c>
      <c r="D86" s="12" t="s">
        <v>2793</v>
      </c>
      <c r="E86" s="12" t="s">
        <v>2484</v>
      </c>
      <c r="F86" s="30" t="n">
        <v>1</v>
      </c>
      <c r="G86" s="30" t="n">
        <v>2</v>
      </c>
      <c r="H86" s="19" t="n">
        <v>3500</v>
      </c>
      <c r="I86" s="23" t="n">
        <f aca="false">F86*G86*H86</f>
        <v>7000</v>
      </c>
      <c r="J86" s="12" t="s">
        <v>2794</v>
      </c>
      <c r="K86" s="12" t="s">
        <v>2909</v>
      </c>
      <c r="L86" s="12" t="s">
        <v>2796</v>
      </c>
      <c r="M86" s="4"/>
    </row>
    <row r="87" customFormat="false" ht="23.85" hidden="false" customHeight="false" outlineLevel="0" collapsed="false">
      <c r="A87" s="4" t="s">
        <v>3757</v>
      </c>
      <c r="B87" s="12" t="s">
        <v>2930</v>
      </c>
      <c r="C87" s="4" t="s">
        <v>3063</v>
      </c>
      <c r="D87" s="12" t="s">
        <v>2882</v>
      </c>
      <c r="E87" s="12" t="s">
        <v>2601</v>
      </c>
      <c r="F87" s="30" t="n">
        <v>1</v>
      </c>
      <c r="G87" s="30" t="n">
        <v>1</v>
      </c>
      <c r="H87" s="19" t="n">
        <v>5000</v>
      </c>
      <c r="I87" s="23" t="n">
        <f aca="false">F87*G87*H87</f>
        <v>5000</v>
      </c>
      <c r="J87" s="12" t="s">
        <v>3776</v>
      </c>
      <c r="K87" s="12" t="s">
        <v>2942</v>
      </c>
      <c r="L87" s="12" t="s">
        <v>2796</v>
      </c>
      <c r="M87" s="4"/>
    </row>
    <row r="88" customFormat="false" ht="23.85" hidden="false" customHeight="false" outlineLevel="0" collapsed="false">
      <c r="A88" s="4" t="s">
        <v>3757</v>
      </c>
      <c r="B88" s="12" t="s">
        <v>2930</v>
      </c>
      <c r="C88" s="4" t="s">
        <v>2944</v>
      </c>
      <c r="D88" s="12" t="s">
        <v>2808</v>
      </c>
      <c r="E88" s="12" t="s">
        <v>2477</v>
      </c>
      <c r="F88" s="30" t="n">
        <v>500</v>
      </c>
      <c r="G88" s="30" t="n">
        <v>1</v>
      </c>
      <c r="H88" s="19" t="n">
        <v>2.5</v>
      </c>
      <c r="I88" s="23" t="n">
        <f aca="false">F88*G88*H88</f>
        <v>1250</v>
      </c>
      <c r="J88" s="12" t="s">
        <v>3776</v>
      </c>
      <c r="K88" s="12" t="s">
        <v>2805</v>
      </c>
      <c r="L88" s="12"/>
      <c r="M88" s="4"/>
    </row>
    <row r="89" customFormat="false" ht="23.85" hidden="false" customHeight="false" outlineLevel="0" collapsed="false">
      <c r="A89" s="4" t="s">
        <v>3757</v>
      </c>
      <c r="B89" s="12" t="s">
        <v>2930</v>
      </c>
      <c r="C89" s="4" t="s">
        <v>3738</v>
      </c>
      <c r="D89" s="12" t="s">
        <v>2808</v>
      </c>
      <c r="E89" s="12" t="s">
        <v>2528</v>
      </c>
      <c r="F89" s="30" t="n">
        <v>20</v>
      </c>
      <c r="G89" s="30" t="n">
        <v>1</v>
      </c>
      <c r="H89" s="19" t="n">
        <v>65</v>
      </c>
      <c r="I89" s="23" t="n">
        <f aca="false">F89*G89*H89</f>
        <v>1300</v>
      </c>
      <c r="J89" s="12" t="s">
        <v>3776</v>
      </c>
      <c r="K89" s="12" t="s">
        <v>2949</v>
      </c>
      <c r="L89" s="12" t="s">
        <v>2950</v>
      </c>
      <c r="M89" s="4"/>
    </row>
    <row r="91" customFormat="false" ht="15" hidden="false" customHeight="false" outlineLevel="0" collapsed="false">
      <c r="A91" s="10" t="s">
        <v>2952</v>
      </c>
      <c r="B91" s="23" t="n">
        <f aca="false">SUMIFS($I$76:$I$89,$B$76:$B$89,"Custos de administração")</f>
        <v>28980</v>
      </c>
      <c r="C91" s="13" t="n">
        <f aca="false">B17</f>
        <v>31249.76</v>
      </c>
      <c r="D91" s="23" t="n">
        <f aca="false">C91-B91</f>
        <v>2269.76</v>
      </c>
      <c r="E91" s="12" t="str">
        <f aca="false">IF(D91&gt;=0,"OK","EXCEDE")</f>
        <v>OK</v>
      </c>
    </row>
    <row r="92" customFormat="false" ht="15" hidden="false" customHeight="false" outlineLevel="0" collapsed="false">
      <c r="A92" s="10" t="s">
        <v>2953</v>
      </c>
      <c r="B92" s="23" t="n">
        <f aca="false">SUMIFS($I$76:$I$89,$B$76:$B$89,"Custos de acessibilidade, comunicação e divulgação")</f>
        <v>37550</v>
      </c>
      <c r="C92" s="13" t="n">
        <f aca="false">B18</f>
        <v>39062.2</v>
      </c>
      <c r="D92" s="23" t="n">
        <f aca="false">C92-B92</f>
        <v>1512.2</v>
      </c>
      <c r="E92" s="12" t="str">
        <f aca="false">IF(D92&gt;=0,"OK","EXCEDE")</f>
        <v>OK</v>
      </c>
    </row>
    <row r="93" customFormat="false" ht="15" hidden="false" customHeight="false" outlineLevel="0" collapsed="false">
      <c r="A93" s="14" t="s">
        <v>2954</v>
      </c>
    </row>
    <row r="95" customFormat="false" ht="15" hidden="false" customHeight="false" outlineLevel="0" collapsed="false">
      <c r="A95" s="22" t="s">
        <v>2955</v>
      </c>
    </row>
    <row r="96" customFormat="false" ht="30" hidden="false" customHeight="true" outlineLevel="0" collapsed="false">
      <c r="A96" s="21" t="s">
        <v>3830</v>
      </c>
      <c r="B96" s="21"/>
      <c r="C96" s="21"/>
      <c r="D96" s="21"/>
      <c r="E96" s="21"/>
      <c r="F96" s="21"/>
      <c r="G96" s="21"/>
      <c r="H96" s="21"/>
      <c r="I96" s="21"/>
      <c r="J96" s="21"/>
      <c r="K96" s="21"/>
      <c r="L96" s="21"/>
      <c r="M96" s="21"/>
    </row>
    <row r="97" customFormat="false" ht="30" hidden="false" customHeight="true" outlineLevel="0" collapsed="false">
      <c r="A97" s="21" t="s">
        <v>3831</v>
      </c>
      <c r="B97" s="21"/>
      <c r="C97" s="21"/>
      <c r="D97" s="21"/>
      <c r="E97" s="21"/>
      <c r="F97" s="21"/>
      <c r="G97" s="21"/>
      <c r="H97" s="21"/>
      <c r="I97" s="21"/>
      <c r="J97" s="21"/>
      <c r="K97" s="21"/>
      <c r="L97" s="21"/>
      <c r="M97" s="21"/>
    </row>
    <row r="98" customFormat="false" ht="30" hidden="false" customHeight="true" outlineLevel="0" collapsed="false">
      <c r="A98" s="21" t="s">
        <v>3832</v>
      </c>
      <c r="B98" s="21"/>
      <c r="C98" s="21"/>
      <c r="D98" s="21"/>
      <c r="E98" s="21"/>
      <c r="F98" s="21"/>
      <c r="G98" s="21"/>
      <c r="H98" s="21"/>
      <c r="I98" s="21"/>
      <c r="J98" s="21"/>
      <c r="K98" s="21"/>
      <c r="L98" s="21"/>
      <c r="M98" s="21"/>
    </row>
    <row r="99" customFormat="false" ht="30" hidden="false" customHeight="true" outlineLevel="0" collapsed="false">
      <c r="A99" s="21" t="s">
        <v>3833</v>
      </c>
      <c r="B99" s="21"/>
      <c r="C99" s="21"/>
      <c r="D99" s="21"/>
      <c r="E99" s="21"/>
      <c r="F99" s="21"/>
      <c r="G99" s="21"/>
      <c r="H99" s="21"/>
      <c r="I99" s="21"/>
      <c r="J99" s="21"/>
      <c r="K99" s="21"/>
      <c r="L99" s="21"/>
      <c r="M99" s="21"/>
    </row>
    <row r="100" customFormat="false" ht="30" hidden="false" customHeight="true" outlineLevel="0" collapsed="false">
      <c r="A100" s="21" t="s">
        <v>3834</v>
      </c>
      <c r="B100" s="21"/>
      <c r="C100" s="21"/>
      <c r="D100" s="21"/>
      <c r="E100" s="21"/>
      <c r="F100" s="21"/>
      <c r="G100" s="21"/>
      <c r="H100" s="21"/>
      <c r="I100" s="21"/>
      <c r="J100" s="21"/>
      <c r="K100" s="21"/>
      <c r="L100" s="21"/>
      <c r="M100" s="21"/>
    </row>
    <row r="101" customFormat="false" ht="30" hidden="false" customHeight="true" outlineLevel="0" collapsed="false">
      <c r="A101" s="21" t="s">
        <v>3835</v>
      </c>
      <c r="B101" s="21"/>
      <c r="C101" s="21"/>
      <c r="D101" s="21"/>
      <c r="E101" s="21"/>
      <c r="F101" s="21"/>
      <c r="G101" s="21"/>
      <c r="H101" s="21"/>
      <c r="I101" s="21"/>
      <c r="J101" s="21"/>
      <c r="K101" s="21"/>
      <c r="L101" s="21"/>
      <c r="M101" s="21"/>
    </row>
    <row r="102" customFormat="false" ht="30" hidden="false" customHeight="true" outlineLevel="0" collapsed="false">
      <c r="A102" s="21" t="s">
        <v>3836</v>
      </c>
      <c r="B102" s="21"/>
      <c r="C102" s="21"/>
      <c r="D102" s="21"/>
      <c r="E102" s="21"/>
      <c r="F102" s="21"/>
      <c r="G102" s="21"/>
      <c r="H102" s="21"/>
      <c r="I102" s="21"/>
      <c r="J102" s="21"/>
      <c r="K102" s="21"/>
      <c r="L102" s="21"/>
      <c r="M102" s="21"/>
    </row>
    <row r="103" customFormat="false" ht="30" hidden="false" customHeight="true" outlineLevel="0" collapsed="false">
      <c r="A103" s="21" t="s">
        <v>3837</v>
      </c>
      <c r="B103" s="21"/>
      <c r="C103" s="21"/>
      <c r="D103" s="21"/>
      <c r="E103" s="21"/>
      <c r="F103" s="21"/>
      <c r="G103" s="21"/>
      <c r="H103" s="21"/>
      <c r="I103" s="21"/>
      <c r="J103" s="21"/>
      <c r="K103" s="21"/>
      <c r="L103" s="21"/>
      <c r="M103" s="21"/>
    </row>
    <row r="104" customFormat="false" ht="15" hidden="false" customHeight="true" outlineLevel="0" collapsed="false">
      <c r="A104" s="21" t="s">
        <v>3838</v>
      </c>
      <c r="B104" s="21"/>
      <c r="C104" s="21"/>
      <c r="D104" s="21"/>
      <c r="E104" s="21"/>
      <c r="F104" s="21"/>
      <c r="G104" s="21"/>
      <c r="H104" s="21"/>
      <c r="I104" s="21"/>
      <c r="J104" s="21"/>
      <c r="K104" s="21"/>
      <c r="L104" s="21"/>
      <c r="M104" s="21"/>
    </row>
    <row r="106" customFormat="false" ht="15" hidden="false" customHeight="false" outlineLevel="0" collapsed="false">
      <c r="A106" s="22" t="s">
        <v>2964</v>
      </c>
      <c r="B106" s="19" t="n">
        <v>100000</v>
      </c>
    </row>
    <row r="107" customFormat="false" ht="75" hidden="false" customHeight="true" outlineLevel="0" collapsed="false">
      <c r="A107" s="21" t="s">
        <v>3839</v>
      </c>
      <c r="B107" s="21"/>
      <c r="C107" s="21"/>
      <c r="D107" s="21"/>
      <c r="E107" s="21"/>
      <c r="F107" s="21"/>
      <c r="G107" s="21"/>
      <c r="H107" s="21"/>
      <c r="I107" s="21"/>
      <c r="J107" s="21"/>
      <c r="K107" s="21"/>
      <c r="L107" s="21"/>
      <c r="M107" s="21"/>
    </row>
  </sheetData>
  <mergeCells count="15">
    <mergeCell ref="B2:M2"/>
    <mergeCell ref="B3:M3"/>
    <mergeCell ref="B4:M4"/>
    <mergeCell ref="B5:M5"/>
    <mergeCell ref="B6:M6"/>
    <mergeCell ref="A96:M96"/>
    <mergeCell ref="A97:M97"/>
    <mergeCell ref="A98:M98"/>
    <mergeCell ref="A99:M99"/>
    <mergeCell ref="A100:M100"/>
    <mergeCell ref="A101:M101"/>
    <mergeCell ref="A102:M102"/>
    <mergeCell ref="A103:M103"/>
    <mergeCell ref="A104:M104"/>
    <mergeCell ref="A107:M107"/>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1">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6:L89">
    <cfRule type="expression" priority="11" aboveAverage="0" equalAverage="0" bottom="0" percent="0" rank="0" text="" dxfId="2">
      <formula>LEFT(L76,5)="ACIMA"</formula>
    </cfRule>
  </conditionalFormatting>
  <conditionalFormatting sqref="E91:E92">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3840</v>
      </c>
    </row>
    <row r="2" customFormat="false" ht="30" hidden="false" customHeight="true" outlineLevel="0" collapsed="false">
      <c r="A2" s="22" t="s">
        <v>2748</v>
      </c>
      <c r="B2" s="21" t="s">
        <v>3841</v>
      </c>
      <c r="C2" s="21"/>
      <c r="D2" s="21"/>
      <c r="E2" s="21"/>
      <c r="F2" s="21"/>
      <c r="G2" s="21"/>
      <c r="H2" s="21"/>
      <c r="I2" s="21"/>
      <c r="J2" s="21"/>
      <c r="K2" s="21"/>
      <c r="L2" s="21"/>
      <c r="M2" s="21"/>
    </row>
    <row r="3" customFormat="false" ht="30" hidden="false" customHeight="true" outlineLevel="0" collapsed="false">
      <c r="A3" s="22" t="s">
        <v>2750</v>
      </c>
      <c r="B3" s="21" t="s">
        <v>3842</v>
      </c>
      <c r="C3" s="21"/>
      <c r="D3" s="21"/>
      <c r="E3" s="21"/>
      <c r="F3" s="21"/>
      <c r="G3" s="21"/>
      <c r="H3" s="21"/>
      <c r="I3" s="21"/>
      <c r="J3" s="21"/>
      <c r="K3" s="21"/>
      <c r="L3" s="21"/>
      <c r="M3" s="21"/>
    </row>
    <row r="4" customFormat="false" ht="30" hidden="false" customHeight="true" outlineLevel="0" collapsed="false">
      <c r="A4" s="22" t="s">
        <v>2752</v>
      </c>
      <c r="B4" s="21" t="s">
        <v>3843</v>
      </c>
      <c r="C4" s="21"/>
      <c r="D4" s="21"/>
      <c r="E4" s="21"/>
      <c r="F4" s="21"/>
      <c r="G4" s="21"/>
      <c r="H4" s="21"/>
      <c r="I4" s="21"/>
      <c r="J4" s="21"/>
      <c r="K4" s="21"/>
      <c r="L4" s="21"/>
      <c r="M4" s="21"/>
    </row>
    <row r="5" customFormat="false" ht="30" hidden="false" customHeight="true" outlineLevel="0" collapsed="false">
      <c r="A5" s="22" t="s">
        <v>2754</v>
      </c>
      <c r="B5" s="21" t="s">
        <v>3844</v>
      </c>
      <c r="C5" s="21"/>
      <c r="D5" s="21"/>
      <c r="E5" s="21"/>
      <c r="F5" s="21"/>
      <c r="G5" s="21"/>
      <c r="H5" s="21"/>
      <c r="I5" s="21"/>
      <c r="J5" s="21"/>
      <c r="K5" s="21"/>
      <c r="L5" s="21"/>
      <c r="M5" s="21"/>
    </row>
    <row r="6" customFormat="false" ht="30" hidden="false" customHeight="true" outlineLevel="0" collapsed="false">
      <c r="A6" s="22" t="s">
        <v>2756</v>
      </c>
      <c r="B6" s="21" t="s">
        <v>3845</v>
      </c>
      <c r="C6" s="21"/>
      <c r="D6" s="21"/>
      <c r="E6" s="21"/>
      <c r="F6" s="21"/>
      <c r="G6" s="21"/>
      <c r="H6" s="21"/>
      <c r="I6" s="21"/>
      <c r="J6" s="21"/>
      <c r="K6" s="21"/>
      <c r="L6" s="21"/>
      <c r="M6" s="21"/>
    </row>
    <row r="7" customFormat="false" ht="15" hidden="false" customHeight="false" outlineLevel="0" collapsed="false">
      <c r="A7" s="22" t="s">
        <v>2758</v>
      </c>
      <c r="B7" s="19" t="n">
        <v>800000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SUMIFS($I$26:$I$87,$B$26:$B$87,A11)</f>
        <v>100803</v>
      </c>
      <c r="C11" s="24" t="n">
        <f aca="false">IF($B$16=0,0,B11/$B$16)</f>
        <v>0.157506902440816</v>
      </c>
    </row>
    <row r="12" customFormat="false" ht="15" hidden="false" customHeight="false" outlineLevel="0" collapsed="false">
      <c r="A12" s="12" t="s">
        <v>2765</v>
      </c>
      <c r="B12" s="23" t="n">
        <f aca="false">SUMIFS($I$26:$I$87,$B$26:$B$87,A12)</f>
        <v>484060</v>
      </c>
      <c r="C12" s="24" t="n">
        <f aca="false">IF($B$16=0,0,B12/$B$16)</f>
        <v>0.756354386233556</v>
      </c>
    </row>
    <row r="13" customFormat="false" ht="15" hidden="false" customHeight="false" outlineLevel="0" collapsed="false">
      <c r="A13" s="12" t="s">
        <v>2766</v>
      </c>
      <c r="B13" s="23" t="n">
        <f aca="false">SUMIFS($I$26:$I$87,$B$26:$B$87,A13)</f>
        <v>25000</v>
      </c>
      <c r="C13" s="24" t="n">
        <f aca="false">IF($B$16=0,0,B13/$B$16)</f>
        <v>0.0390630493241311</v>
      </c>
    </row>
    <row r="14" customFormat="false" ht="15" hidden="false" customHeight="false" outlineLevel="0" collapsed="false">
      <c r="A14" s="12" t="s">
        <v>2767</v>
      </c>
      <c r="B14" s="23" t="n">
        <f aca="false">SUMIFS($I$26:$I$87,$B$26:$B$87,A14)</f>
        <v>13000</v>
      </c>
      <c r="C14" s="24" t="n">
        <f aca="false">IF($B$16=0,0,B14/$B$16)</f>
        <v>0.0203127856485482</v>
      </c>
    </row>
    <row r="15" customFormat="false" ht="15" hidden="false" customHeight="false" outlineLevel="0" collapsed="false">
      <c r="A15" s="12" t="s">
        <v>2768</v>
      </c>
      <c r="B15" s="23" t="n">
        <f aca="false">SUMIFS($I$26:$I$87,$B$26:$B$87,A15)</f>
        <v>17128</v>
      </c>
      <c r="C15" s="24" t="n">
        <f aca="false">IF($B$16=0,0,B15/$B$16)</f>
        <v>0.0267628763529487</v>
      </c>
    </row>
    <row r="16" customFormat="false" ht="15" hidden="false" customHeight="false" outlineLevel="0" collapsed="false">
      <c r="A16" s="25" t="s">
        <v>2769</v>
      </c>
      <c r="B16" s="26" t="n">
        <f aca="false">SUM(B11:B15)</f>
        <v>639991</v>
      </c>
    </row>
    <row r="17" customFormat="false" ht="23.85" hidden="false" customHeight="false" outlineLevel="0" collapsed="false">
      <c r="A17" s="4" t="s">
        <v>2770</v>
      </c>
      <c r="B17" s="23" t="n">
        <f aca="false">$B$16*C17</f>
        <v>38399.46</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57599.19</v>
      </c>
      <c r="C18" s="27" t="n">
        <v>0.09</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63999.1</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799988.75</v>
      </c>
    </row>
    <row r="21" customFormat="false" ht="15" hidden="false" customHeight="false" outlineLevel="0" collapsed="false">
      <c r="A21" s="12" t="s">
        <v>2774</v>
      </c>
      <c r="B21" s="23" t="n">
        <f aca="false">B20-B7</f>
        <v>-11.2500000001164</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3846</v>
      </c>
      <c r="B26" s="12" t="s">
        <v>2764</v>
      </c>
      <c r="C26" s="4" t="s">
        <v>3641</v>
      </c>
      <c r="D26" s="12" t="s">
        <v>2793</v>
      </c>
      <c r="E26" s="12" t="s">
        <v>2484</v>
      </c>
      <c r="F26" s="29" t="n">
        <v>1</v>
      </c>
      <c r="G26" s="29" t="n">
        <v>2</v>
      </c>
      <c r="H26" s="19" t="n">
        <v>7000</v>
      </c>
      <c r="I26" s="23" t="n">
        <f aca="false">F26*G26*H26</f>
        <v>14000</v>
      </c>
      <c r="J26" s="12" t="s">
        <v>2794</v>
      </c>
      <c r="K26" s="12" t="s">
        <v>2795</v>
      </c>
      <c r="L26" s="12" t="s">
        <v>2796</v>
      </c>
      <c r="M26" s="4" t="s">
        <v>3847</v>
      </c>
    </row>
    <row r="27" customFormat="false" ht="23.85" hidden="false" customHeight="false" outlineLevel="0" collapsed="false">
      <c r="A27" s="4" t="s">
        <v>3846</v>
      </c>
      <c r="B27" s="12" t="s">
        <v>2764</v>
      </c>
      <c r="C27" s="4" t="s">
        <v>2801</v>
      </c>
      <c r="D27" s="12" t="s">
        <v>2793</v>
      </c>
      <c r="E27" s="12" t="s">
        <v>2484</v>
      </c>
      <c r="F27" s="29" t="n">
        <v>1</v>
      </c>
      <c r="G27" s="29" t="n">
        <v>2</v>
      </c>
      <c r="H27" s="19" t="n">
        <v>6000</v>
      </c>
      <c r="I27" s="23" t="n">
        <f aca="false">F27*G27*H27</f>
        <v>12000</v>
      </c>
      <c r="J27" s="12" t="s">
        <v>2794</v>
      </c>
      <c r="K27" s="12" t="s">
        <v>2795</v>
      </c>
      <c r="L27" s="12" t="s">
        <v>2796</v>
      </c>
      <c r="M27" s="4" t="s">
        <v>3848</v>
      </c>
    </row>
    <row r="28" customFormat="false" ht="35.05" hidden="false" customHeight="false" outlineLevel="0" collapsed="false">
      <c r="A28" s="4" t="s">
        <v>3849</v>
      </c>
      <c r="B28" s="12" t="s">
        <v>2764</v>
      </c>
      <c r="C28" s="4" t="s">
        <v>3850</v>
      </c>
      <c r="D28" s="12" t="s">
        <v>2793</v>
      </c>
      <c r="E28" s="12" t="s">
        <v>2484</v>
      </c>
      <c r="F28" s="29" t="n">
        <v>3</v>
      </c>
      <c r="G28" s="29" t="n">
        <v>2</v>
      </c>
      <c r="H28" s="19" t="n">
        <v>3000</v>
      </c>
      <c r="I28" s="23" t="n">
        <f aca="false">F28*G28*H28</f>
        <v>18000</v>
      </c>
      <c r="J28" s="12" t="s">
        <v>2794</v>
      </c>
      <c r="K28" s="12" t="s">
        <v>2805</v>
      </c>
      <c r="L28" s="12"/>
      <c r="M28" s="4" t="s">
        <v>3851</v>
      </c>
    </row>
    <row r="29" customFormat="false" ht="23.85" hidden="false" customHeight="false" outlineLevel="0" collapsed="false">
      <c r="A29" s="4" t="s">
        <v>3852</v>
      </c>
      <c r="B29" s="12" t="s">
        <v>2764</v>
      </c>
      <c r="C29" s="4" t="s">
        <v>3853</v>
      </c>
      <c r="D29" s="12" t="s">
        <v>2793</v>
      </c>
      <c r="E29" s="12" t="s">
        <v>2484</v>
      </c>
      <c r="F29" s="29" t="n">
        <v>1</v>
      </c>
      <c r="G29" s="29" t="n">
        <v>3</v>
      </c>
      <c r="H29" s="19" t="n">
        <v>4000</v>
      </c>
      <c r="I29" s="23" t="n">
        <f aca="false">F29*G29*H29</f>
        <v>12000</v>
      </c>
      <c r="J29" s="12" t="s">
        <v>3854</v>
      </c>
      <c r="K29" s="12" t="s">
        <v>2805</v>
      </c>
      <c r="L29" s="12"/>
      <c r="M29" s="4" t="s">
        <v>3855</v>
      </c>
    </row>
    <row r="30" customFormat="false" ht="23.85" hidden="false" customHeight="false" outlineLevel="0" collapsed="false">
      <c r="A30" s="4" t="s">
        <v>3856</v>
      </c>
      <c r="B30" s="12" t="s">
        <v>2764</v>
      </c>
      <c r="C30" s="4" t="s">
        <v>3857</v>
      </c>
      <c r="D30" s="12" t="s">
        <v>2793</v>
      </c>
      <c r="E30" s="12" t="s">
        <v>2484</v>
      </c>
      <c r="F30" s="29" t="n">
        <v>1</v>
      </c>
      <c r="G30" s="29" t="n">
        <v>2</v>
      </c>
      <c r="H30" s="19" t="n">
        <v>5000</v>
      </c>
      <c r="I30" s="23" t="n">
        <f aca="false">F30*G30*H30</f>
        <v>10000</v>
      </c>
      <c r="J30" s="12" t="s">
        <v>2794</v>
      </c>
      <c r="K30" s="12" t="s">
        <v>2799</v>
      </c>
      <c r="L30" s="12" t="s">
        <v>2796</v>
      </c>
      <c r="M30" s="4" t="s">
        <v>3858</v>
      </c>
    </row>
    <row r="31" customFormat="false" ht="23.85" hidden="false" customHeight="false" outlineLevel="0" collapsed="false">
      <c r="A31" s="4" t="s">
        <v>3846</v>
      </c>
      <c r="B31" s="12" t="s">
        <v>2764</v>
      </c>
      <c r="C31" s="4" t="s">
        <v>3859</v>
      </c>
      <c r="D31" s="12" t="s">
        <v>2808</v>
      </c>
      <c r="E31" s="12" t="s">
        <v>2497</v>
      </c>
      <c r="F31" s="29" t="n">
        <v>4</v>
      </c>
      <c r="G31" s="29" t="n">
        <v>6</v>
      </c>
      <c r="H31" s="19" t="n">
        <v>400</v>
      </c>
      <c r="I31" s="23" t="n">
        <f aca="false">F31*G31*H31</f>
        <v>9600</v>
      </c>
      <c r="J31" s="12" t="s">
        <v>3854</v>
      </c>
      <c r="K31" s="12" t="s">
        <v>3180</v>
      </c>
      <c r="L31" s="12" t="s">
        <v>2796</v>
      </c>
      <c r="M31" s="4" t="s">
        <v>3860</v>
      </c>
    </row>
    <row r="32" customFormat="false" ht="23.85" hidden="false" customHeight="false" outlineLevel="0" collapsed="false">
      <c r="A32" s="4" t="s">
        <v>3846</v>
      </c>
      <c r="B32" s="12" t="s">
        <v>2764</v>
      </c>
      <c r="C32" s="4" t="s">
        <v>3861</v>
      </c>
      <c r="D32" s="12" t="s">
        <v>2882</v>
      </c>
      <c r="E32" s="12" t="s">
        <v>2601</v>
      </c>
      <c r="F32" s="29" t="n">
        <v>1</v>
      </c>
      <c r="G32" s="29" t="n">
        <v>1</v>
      </c>
      <c r="H32" s="19" t="n">
        <v>21203</v>
      </c>
      <c r="I32" s="23" t="n">
        <f aca="false">F32*G32*H32</f>
        <v>21203</v>
      </c>
      <c r="J32" s="12" t="s">
        <v>3854</v>
      </c>
      <c r="K32" s="12" t="s">
        <v>2805</v>
      </c>
      <c r="L32" s="12"/>
      <c r="M32" s="4" t="s">
        <v>3862</v>
      </c>
    </row>
    <row r="33" customFormat="false" ht="23.85" hidden="false" customHeight="false" outlineLevel="0" collapsed="false">
      <c r="A33" s="4" t="s">
        <v>3846</v>
      </c>
      <c r="B33" s="12" t="s">
        <v>2764</v>
      </c>
      <c r="C33" s="4" t="s">
        <v>3863</v>
      </c>
      <c r="D33" s="12" t="s">
        <v>2808</v>
      </c>
      <c r="E33" s="12" t="s">
        <v>2497</v>
      </c>
      <c r="F33" s="29" t="n">
        <v>1</v>
      </c>
      <c r="G33" s="29" t="n">
        <v>4</v>
      </c>
      <c r="H33" s="19" t="n">
        <v>1000</v>
      </c>
      <c r="I33" s="23" t="n">
        <f aca="false">F33*G33*H33</f>
        <v>4000</v>
      </c>
      <c r="J33" s="12" t="s">
        <v>3854</v>
      </c>
      <c r="K33" s="12" t="s">
        <v>2810</v>
      </c>
      <c r="L33" s="12" t="s">
        <v>2796</v>
      </c>
      <c r="M33" s="4" t="s">
        <v>3864</v>
      </c>
    </row>
    <row r="34" customFormat="false" ht="23.85" hidden="false" customHeight="false" outlineLevel="0" collapsed="false">
      <c r="A34" s="4" t="s">
        <v>3846</v>
      </c>
      <c r="B34" s="12" t="s">
        <v>2765</v>
      </c>
      <c r="C34" s="4" t="s">
        <v>3641</v>
      </c>
      <c r="D34" s="12" t="s">
        <v>2793</v>
      </c>
      <c r="E34" s="12" t="s">
        <v>2484</v>
      </c>
      <c r="F34" s="29" t="n">
        <v>1</v>
      </c>
      <c r="G34" s="29" t="n">
        <v>2</v>
      </c>
      <c r="H34" s="19" t="n">
        <v>7000</v>
      </c>
      <c r="I34" s="23" t="n">
        <f aca="false">F34*G34*H34</f>
        <v>14000</v>
      </c>
      <c r="J34" s="12" t="s">
        <v>3854</v>
      </c>
      <c r="K34" s="12" t="s">
        <v>2795</v>
      </c>
      <c r="L34" s="12" t="s">
        <v>2796</v>
      </c>
      <c r="M34" s="4" t="s">
        <v>3865</v>
      </c>
    </row>
    <row r="35" customFormat="false" ht="23.85" hidden="false" customHeight="false" outlineLevel="0" collapsed="false">
      <c r="A35" s="4" t="s">
        <v>3846</v>
      </c>
      <c r="B35" s="12" t="s">
        <v>2765</v>
      </c>
      <c r="C35" s="4" t="s">
        <v>2801</v>
      </c>
      <c r="D35" s="12" t="s">
        <v>2793</v>
      </c>
      <c r="E35" s="12" t="s">
        <v>2484</v>
      </c>
      <c r="F35" s="29" t="n">
        <v>1</v>
      </c>
      <c r="G35" s="29" t="n">
        <v>2</v>
      </c>
      <c r="H35" s="19" t="n">
        <v>6000</v>
      </c>
      <c r="I35" s="23" t="n">
        <f aca="false">F35*G35*H35</f>
        <v>12000</v>
      </c>
      <c r="J35" s="12" t="s">
        <v>3854</v>
      </c>
      <c r="K35" s="12" t="s">
        <v>2795</v>
      </c>
      <c r="L35" s="12" t="s">
        <v>2796</v>
      </c>
      <c r="M35" s="4"/>
    </row>
    <row r="36" customFormat="false" ht="23.85" hidden="false" customHeight="false" outlineLevel="0" collapsed="false">
      <c r="A36" s="4" t="s">
        <v>3846</v>
      </c>
      <c r="B36" s="12" t="s">
        <v>2765</v>
      </c>
      <c r="C36" s="4" t="s">
        <v>2493</v>
      </c>
      <c r="D36" s="12" t="s">
        <v>2793</v>
      </c>
      <c r="E36" s="12" t="s">
        <v>2484</v>
      </c>
      <c r="F36" s="29" t="n">
        <v>1</v>
      </c>
      <c r="G36" s="29" t="n">
        <v>2</v>
      </c>
      <c r="H36" s="19" t="n">
        <v>3800</v>
      </c>
      <c r="I36" s="23" t="n">
        <f aca="false">F36*G36*H36</f>
        <v>7600</v>
      </c>
      <c r="J36" s="12" t="s">
        <v>3854</v>
      </c>
      <c r="K36" s="12" t="s">
        <v>2818</v>
      </c>
      <c r="L36" s="12" t="s">
        <v>2796</v>
      </c>
      <c r="M36" s="4" t="s">
        <v>3866</v>
      </c>
    </row>
    <row r="37" customFormat="false" ht="35.05" hidden="false" customHeight="false" outlineLevel="0" collapsed="false">
      <c r="A37" s="4" t="s">
        <v>3849</v>
      </c>
      <c r="B37" s="12" t="s">
        <v>2765</v>
      </c>
      <c r="C37" s="4" t="s">
        <v>3867</v>
      </c>
      <c r="D37" s="12" t="s">
        <v>2855</v>
      </c>
      <c r="E37" s="12" t="s">
        <v>2516</v>
      </c>
      <c r="F37" s="29" t="n">
        <v>4</v>
      </c>
      <c r="G37" s="29" t="n">
        <v>1</v>
      </c>
      <c r="H37" s="19" t="n">
        <v>7000</v>
      </c>
      <c r="I37" s="23" t="n">
        <f aca="false">F37*G37*H37</f>
        <v>28000</v>
      </c>
      <c r="J37" s="12" t="s">
        <v>3854</v>
      </c>
      <c r="K37" s="12" t="s">
        <v>2858</v>
      </c>
      <c r="L37" s="12" t="s">
        <v>2796</v>
      </c>
      <c r="M37" s="4" t="s">
        <v>3868</v>
      </c>
    </row>
    <row r="38" customFormat="false" ht="35.05" hidden="false" customHeight="false" outlineLevel="0" collapsed="false">
      <c r="A38" s="4" t="s">
        <v>3849</v>
      </c>
      <c r="B38" s="12" t="s">
        <v>2765</v>
      </c>
      <c r="C38" s="4" t="s">
        <v>3869</v>
      </c>
      <c r="D38" s="12" t="s">
        <v>2855</v>
      </c>
      <c r="E38" s="12" t="s">
        <v>2516</v>
      </c>
      <c r="F38" s="29" t="n">
        <v>12</v>
      </c>
      <c r="G38" s="29" t="n">
        <v>1</v>
      </c>
      <c r="H38" s="19" t="n">
        <v>3165</v>
      </c>
      <c r="I38" s="23" t="n">
        <f aca="false">F38*G38*H38</f>
        <v>37980</v>
      </c>
      <c r="J38" s="12" t="s">
        <v>3854</v>
      </c>
      <c r="K38" s="12" t="s">
        <v>2805</v>
      </c>
      <c r="L38" s="12"/>
      <c r="M38" s="4" t="s">
        <v>3870</v>
      </c>
    </row>
    <row r="39" customFormat="false" ht="35.05" hidden="false" customHeight="false" outlineLevel="0" collapsed="false">
      <c r="A39" s="4" t="s">
        <v>3849</v>
      </c>
      <c r="B39" s="12" t="s">
        <v>2765</v>
      </c>
      <c r="C39" s="4" t="s">
        <v>3499</v>
      </c>
      <c r="D39" s="12" t="s">
        <v>2808</v>
      </c>
      <c r="E39" s="12" t="s">
        <v>2497</v>
      </c>
      <c r="F39" s="29" t="n">
        <v>4</v>
      </c>
      <c r="G39" s="29" t="n">
        <v>1</v>
      </c>
      <c r="H39" s="19" t="n">
        <v>3500</v>
      </c>
      <c r="I39" s="23" t="n">
        <f aca="false">F39*G39*H39</f>
        <v>14000</v>
      </c>
      <c r="J39" s="12" t="s">
        <v>3854</v>
      </c>
      <c r="K39" s="12" t="s">
        <v>3500</v>
      </c>
      <c r="L39" s="12" t="s">
        <v>2950</v>
      </c>
      <c r="M39" s="4" t="s">
        <v>3871</v>
      </c>
    </row>
    <row r="40" customFormat="false" ht="35.05" hidden="false" customHeight="false" outlineLevel="0" collapsed="false">
      <c r="A40" s="4" t="s">
        <v>3849</v>
      </c>
      <c r="B40" s="12" t="s">
        <v>2765</v>
      </c>
      <c r="C40" s="4" t="s">
        <v>3872</v>
      </c>
      <c r="D40" s="12" t="s">
        <v>2808</v>
      </c>
      <c r="E40" s="12" t="s">
        <v>2497</v>
      </c>
      <c r="F40" s="29" t="n">
        <v>4</v>
      </c>
      <c r="G40" s="29" t="n">
        <v>1</v>
      </c>
      <c r="H40" s="19" t="n">
        <v>4500</v>
      </c>
      <c r="I40" s="23" t="n">
        <f aca="false">F40*G40*H40</f>
        <v>18000</v>
      </c>
      <c r="J40" s="12" t="s">
        <v>3854</v>
      </c>
      <c r="K40" s="12" t="s">
        <v>3873</v>
      </c>
      <c r="L40" s="12" t="s">
        <v>2796</v>
      </c>
      <c r="M40" s="4" t="s">
        <v>3874</v>
      </c>
    </row>
    <row r="41" customFormat="false" ht="23.85" hidden="false" customHeight="false" outlineLevel="0" collapsed="false">
      <c r="A41" s="4" t="s">
        <v>3875</v>
      </c>
      <c r="B41" s="12" t="s">
        <v>2765</v>
      </c>
      <c r="C41" s="4" t="s">
        <v>3876</v>
      </c>
      <c r="D41" s="12" t="s">
        <v>2808</v>
      </c>
      <c r="E41" s="12" t="s">
        <v>2497</v>
      </c>
      <c r="F41" s="29" t="n">
        <v>4</v>
      </c>
      <c r="G41" s="29" t="n">
        <v>1</v>
      </c>
      <c r="H41" s="19" t="n">
        <v>2500</v>
      </c>
      <c r="I41" s="23" t="n">
        <f aca="false">F41*G41*H41</f>
        <v>10000</v>
      </c>
      <c r="J41" s="12" t="s">
        <v>3854</v>
      </c>
      <c r="K41" s="12" t="s">
        <v>2863</v>
      </c>
      <c r="L41" s="12" t="s">
        <v>2796</v>
      </c>
      <c r="M41" s="4" t="s">
        <v>3877</v>
      </c>
    </row>
    <row r="42" customFormat="false" ht="35.05" hidden="false" customHeight="false" outlineLevel="0" collapsed="false">
      <c r="A42" s="4" t="s">
        <v>3849</v>
      </c>
      <c r="B42" s="12" t="s">
        <v>2765</v>
      </c>
      <c r="C42" s="4" t="s">
        <v>3878</v>
      </c>
      <c r="D42" s="12" t="s">
        <v>2808</v>
      </c>
      <c r="E42" s="12" t="s">
        <v>2497</v>
      </c>
      <c r="F42" s="29" t="n">
        <v>4</v>
      </c>
      <c r="G42" s="29" t="n">
        <v>1</v>
      </c>
      <c r="H42" s="19" t="n">
        <v>4000</v>
      </c>
      <c r="I42" s="23" t="n">
        <f aca="false">F42*G42*H42</f>
        <v>16000</v>
      </c>
      <c r="J42" s="12" t="s">
        <v>3854</v>
      </c>
      <c r="K42" s="12" t="s">
        <v>2805</v>
      </c>
      <c r="L42" s="12"/>
      <c r="M42" s="4"/>
    </row>
    <row r="43" customFormat="false" ht="35.05" hidden="false" customHeight="false" outlineLevel="0" collapsed="false">
      <c r="A43" s="4" t="s">
        <v>3849</v>
      </c>
      <c r="B43" s="12" t="s">
        <v>2765</v>
      </c>
      <c r="C43" s="4" t="s">
        <v>3321</v>
      </c>
      <c r="D43" s="12" t="s">
        <v>2808</v>
      </c>
      <c r="E43" s="12" t="s">
        <v>2497</v>
      </c>
      <c r="F43" s="29" t="n">
        <v>1</v>
      </c>
      <c r="G43" s="29" t="n">
        <v>8</v>
      </c>
      <c r="H43" s="19" t="n">
        <v>700</v>
      </c>
      <c r="I43" s="23" t="n">
        <f aca="false">F43*G43*H43</f>
        <v>5600</v>
      </c>
      <c r="J43" s="12" t="s">
        <v>3854</v>
      </c>
      <c r="K43" s="12" t="s">
        <v>2866</v>
      </c>
      <c r="L43" s="12" t="s">
        <v>2796</v>
      </c>
      <c r="M43" s="4"/>
    </row>
    <row r="44" customFormat="false" ht="35.05" hidden="false" customHeight="false" outlineLevel="0" collapsed="false">
      <c r="A44" s="4" t="s">
        <v>3849</v>
      </c>
      <c r="B44" s="12" t="s">
        <v>2765</v>
      </c>
      <c r="C44" s="4" t="s">
        <v>3796</v>
      </c>
      <c r="D44" s="12" t="s">
        <v>2808</v>
      </c>
      <c r="E44" s="12" t="s">
        <v>2497</v>
      </c>
      <c r="F44" s="29" t="n">
        <v>1</v>
      </c>
      <c r="G44" s="29" t="n">
        <v>4</v>
      </c>
      <c r="H44" s="19" t="n">
        <v>650</v>
      </c>
      <c r="I44" s="23" t="n">
        <f aca="false">F44*G44*H44</f>
        <v>2600</v>
      </c>
      <c r="J44" s="12" t="s">
        <v>3854</v>
      </c>
      <c r="K44" s="12" t="s">
        <v>2866</v>
      </c>
      <c r="L44" s="12" t="s">
        <v>2796</v>
      </c>
      <c r="M44" s="4" t="s">
        <v>3879</v>
      </c>
    </row>
    <row r="45" customFormat="false" ht="35.05" hidden="false" customHeight="false" outlineLevel="0" collapsed="false">
      <c r="A45" s="4" t="s">
        <v>3849</v>
      </c>
      <c r="B45" s="12" t="s">
        <v>2765</v>
      </c>
      <c r="C45" s="4" t="s">
        <v>3699</v>
      </c>
      <c r="D45" s="12" t="s">
        <v>2882</v>
      </c>
      <c r="E45" s="12" t="s">
        <v>2601</v>
      </c>
      <c r="F45" s="29" t="n">
        <v>4</v>
      </c>
      <c r="G45" s="29" t="n">
        <v>1</v>
      </c>
      <c r="H45" s="19" t="n">
        <v>2000</v>
      </c>
      <c r="I45" s="23" t="n">
        <f aca="false">F45*G45*H45</f>
        <v>8000</v>
      </c>
      <c r="J45" s="12" t="s">
        <v>3854</v>
      </c>
      <c r="K45" s="12" t="s">
        <v>2805</v>
      </c>
      <c r="L45" s="12"/>
      <c r="M45" s="4" t="s">
        <v>3880</v>
      </c>
    </row>
    <row r="46" customFormat="false" ht="23.85" hidden="false" customHeight="false" outlineLevel="0" collapsed="false">
      <c r="A46" s="4" t="s">
        <v>3875</v>
      </c>
      <c r="B46" s="12" t="s">
        <v>2765</v>
      </c>
      <c r="C46" s="4" t="s">
        <v>3881</v>
      </c>
      <c r="D46" s="12" t="s">
        <v>2855</v>
      </c>
      <c r="E46" s="12" t="s">
        <v>2516</v>
      </c>
      <c r="F46" s="29" t="n">
        <v>4</v>
      </c>
      <c r="G46" s="29" t="n">
        <v>1</v>
      </c>
      <c r="H46" s="19" t="n">
        <v>6000</v>
      </c>
      <c r="I46" s="23" t="n">
        <f aca="false">F46*G46*H46</f>
        <v>24000</v>
      </c>
      <c r="J46" s="12" t="s">
        <v>3854</v>
      </c>
      <c r="K46" s="12" t="s">
        <v>2805</v>
      </c>
      <c r="L46" s="12"/>
      <c r="M46" s="4" t="s">
        <v>3882</v>
      </c>
    </row>
    <row r="47" customFormat="false" ht="23.85" hidden="false" customHeight="false" outlineLevel="0" collapsed="false">
      <c r="A47" s="4" t="s">
        <v>3875</v>
      </c>
      <c r="B47" s="12" t="s">
        <v>2765</v>
      </c>
      <c r="C47" s="4" t="s">
        <v>3883</v>
      </c>
      <c r="D47" s="12" t="s">
        <v>2855</v>
      </c>
      <c r="E47" s="12" t="s">
        <v>2516</v>
      </c>
      <c r="F47" s="29" t="n">
        <v>8</v>
      </c>
      <c r="G47" s="29" t="n">
        <v>1</v>
      </c>
      <c r="H47" s="19" t="n">
        <v>2500</v>
      </c>
      <c r="I47" s="23" t="n">
        <f aca="false">F47*G47*H47</f>
        <v>20000</v>
      </c>
      <c r="J47" s="12" t="s">
        <v>3854</v>
      </c>
      <c r="K47" s="12" t="s">
        <v>2805</v>
      </c>
      <c r="L47" s="12"/>
      <c r="M47" s="4" t="s">
        <v>3884</v>
      </c>
    </row>
    <row r="48" customFormat="false" ht="23.85" hidden="false" customHeight="false" outlineLevel="0" collapsed="false">
      <c r="A48" s="4" t="s">
        <v>3875</v>
      </c>
      <c r="B48" s="12" t="s">
        <v>2765</v>
      </c>
      <c r="C48" s="4" t="s">
        <v>3885</v>
      </c>
      <c r="D48" s="12" t="s">
        <v>2808</v>
      </c>
      <c r="E48" s="12" t="s">
        <v>2497</v>
      </c>
      <c r="F48" s="29" t="n">
        <v>4</v>
      </c>
      <c r="G48" s="29" t="n">
        <v>1</v>
      </c>
      <c r="H48" s="19" t="n">
        <v>3000</v>
      </c>
      <c r="I48" s="23" t="n">
        <f aca="false">F48*G48*H48</f>
        <v>12000</v>
      </c>
      <c r="J48" s="12" t="s">
        <v>3854</v>
      </c>
      <c r="K48" s="12" t="s">
        <v>2828</v>
      </c>
      <c r="L48" s="12" t="s">
        <v>2796</v>
      </c>
      <c r="M48" s="4" t="s">
        <v>3886</v>
      </c>
    </row>
    <row r="49" customFormat="false" ht="23.85" hidden="false" customHeight="false" outlineLevel="0" collapsed="false">
      <c r="A49" s="4" t="s">
        <v>3875</v>
      </c>
      <c r="B49" s="12" t="s">
        <v>2765</v>
      </c>
      <c r="C49" s="4" t="s">
        <v>3887</v>
      </c>
      <c r="D49" s="12" t="s">
        <v>2808</v>
      </c>
      <c r="E49" s="12" t="s">
        <v>2497</v>
      </c>
      <c r="F49" s="29" t="n">
        <v>8</v>
      </c>
      <c r="G49" s="29" t="n">
        <v>1</v>
      </c>
      <c r="H49" s="19" t="n">
        <v>1000</v>
      </c>
      <c r="I49" s="23" t="n">
        <f aca="false">F49*G49*H49</f>
        <v>8000</v>
      </c>
      <c r="J49" s="12" t="s">
        <v>3854</v>
      </c>
      <c r="K49" s="12" t="s">
        <v>2810</v>
      </c>
      <c r="L49" s="12" t="s">
        <v>2796</v>
      </c>
      <c r="M49" s="4" t="s">
        <v>3888</v>
      </c>
    </row>
    <row r="50" customFormat="false" ht="23.85" hidden="false" customHeight="false" outlineLevel="0" collapsed="false">
      <c r="A50" s="4" t="s">
        <v>3856</v>
      </c>
      <c r="B50" s="12" t="s">
        <v>2765</v>
      </c>
      <c r="C50" s="4" t="s">
        <v>3889</v>
      </c>
      <c r="D50" s="12" t="s">
        <v>2808</v>
      </c>
      <c r="E50" s="12" t="s">
        <v>2501</v>
      </c>
      <c r="F50" s="29" t="n">
        <v>12</v>
      </c>
      <c r="G50" s="29" t="n">
        <v>9</v>
      </c>
      <c r="H50" s="19" t="n">
        <v>130</v>
      </c>
      <c r="I50" s="23" t="n">
        <f aca="false">F50*G50*H50</f>
        <v>14040</v>
      </c>
      <c r="J50" s="12" t="s">
        <v>3854</v>
      </c>
      <c r="K50" s="12" t="s">
        <v>2821</v>
      </c>
      <c r="L50" s="12" t="s">
        <v>2796</v>
      </c>
      <c r="M50" s="4" t="s">
        <v>3890</v>
      </c>
    </row>
    <row r="51" customFormat="false" ht="23.85" hidden="false" customHeight="false" outlineLevel="0" collapsed="false">
      <c r="A51" s="4" t="s">
        <v>3856</v>
      </c>
      <c r="B51" s="12" t="s">
        <v>2765</v>
      </c>
      <c r="C51" s="4" t="s">
        <v>3891</v>
      </c>
      <c r="D51" s="12" t="s">
        <v>2855</v>
      </c>
      <c r="E51" s="12" t="s">
        <v>2516</v>
      </c>
      <c r="F51" s="29" t="n">
        <v>8</v>
      </c>
      <c r="G51" s="29" t="n">
        <v>1</v>
      </c>
      <c r="H51" s="19" t="n">
        <v>1500</v>
      </c>
      <c r="I51" s="23" t="n">
        <f aca="false">F51*G51*H51</f>
        <v>12000</v>
      </c>
      <c r="J51" s="12" t="s">
        <v>3854</v>
      </c>
      <c r="K51" s="12" t="s">
        <v>2985</v>
      </c>
      <c r="L51" s="12" t="s">
        <v>2796</v>
      </c>
      <c r="M51" s="4" t="s">
        <v>3892</v>
      </c>
    </row>
    <row r="52" customFormat="false" ht="23.85" hidden="false" customHeight="false" outlineLevel="0" collapsed="false">
      <c r="A52" s="4" t="s">
        <v>3856</v>
      </c>
      <c r="B52" s="12" t="s">
        <v>2765</v>
      </c>
      <c r="C52" s="4" t="s">
        <v>3893</v>
      </c>
      <c r="D52" s="12" t="s">
        <v>2808</v>
      </c>
      <c r="E52" s="12" t="s">
        <v>2831</v>
      </c>
      <c r="F52" s="29" t="n">
        <v>360</v>
      </c>
      <c r="G52" s="29" t="n">
        <v>1</v>
      </c>
      <c r="H52" s="19" t="n">
        <v>40</v>
      </c>
      <c r="I52" s="23" t="n">
        <f aca="false">F52*G52*H52</f>
        <v>14400</v>
      </c>
      <c r="J52" s="12" t="s">
        <v>3854</v>
      </c>
      <c r="K52" s="12" t="s">
        <v>2805</v>
      </c>
      <c r="L52" s="12"/>
      <c r="M52" s="4" t="s">
        <v>3894</v>
      </c>
    </row>
    <row r="53" customFormat="false" ht="23.85" hidden="false" customHeight="false" outlineLevel="0" collapsed="false">
      <c r="A53" s="4" t="s">
        <v>3856</v>
      </c>
      <c r="B53" s="12" t="s">
        <v>2765</v>
      </c>
      <c r="C53" s="4" t="s">
        <v>3305</v>
      </c>
      <c r="D53" s="12" t="s">
        <v>2808</v>
      </c>
      <c r="E53" s="12" t="s">
        <v>2477</v>
      </c>
      <c r="F53" s="29" t="n">
        <v>360</v>
      </c>
      <c r="G53" s="29" t="n">
        <v>3</v>
      </c>
      <c r="H53" s="19" t="n">
        <v>8</v>
      </c>
      <c r="I53" s="23" t="n">
        <f aca="false">F53*G53*H53</f>
        <v>8640</v>
      </c>
      <c r="J53" s="12" t="s">
        <v>3854</v>
      </c>
      <c r="K53" s="12" t="s">
        <v>2805</v>
      </c>
      <c r="L53" s="12"/>
      <c r="M53" s="4" t="s">
        <v>3895</v>
      </c>
    </row>
    <row r="54" customFormat="false" ht="23.85" hidden="false" customHeight="false" outlineLevel="0" collapsed="false">
      <c r="A54" s="4" t="s">
        <v>3856</v>
      </c>
      <c r="B54" s="12" t="s">
        <v>2765</v>
      </c>
      <c r="C54" s="4" t="s">
        <v>3430</v>
      </c>
      <c r="D54" s="12" t="s">
        <v>2808</v>
      </c>
      <c r="E54" s="12" t="s">
        <v>2477</v>
      </c>
      <c r="F54" s="29" t="n">
        <v>360</v>
      </c>
      <c r="G54" s="29" t="n">
        <v>1</v>
      </c>
      <c r="H54" s="19" t="n">
        <v>8</v>
      </c>
      <c r="I54" s="23" t="n">
        <f aca="false">F54*G54*H54</f>
        <v>2880</v>
      </c>
      <c r="J54" s="12" t="s">
        <v>3854</v>
      </c>
      <c r="K54" s="12" t="s">
        <v>2805</v>
      </c>
      <c r="L54" s="12"/>
      <c r="M54" s="4"/>
    </row>
    <row r="55" customFormat="false" ht="23.85" hidden="false" customHeight="false" outlineLevel="0" collapsed="false">
      <c r="A55" s="4" t="s">
        <v>3846</v>
      </c>
      <c r="B55" s="12" t="s">
        <v>2765</v>
      </c>
      <c r="C55" s="4" t="s">
        <v>3896</v>
      </c>
      <c r="D55" s="12" t="s">
        <v>2855</v>
      </c>
      <c r="E55" s="12" t="s">
        <v>2516</v>
      </c>
      <c r="F55" s="29" t="n">
        <v>1</v>
      </c>
      <c r="G55" s="29" t="n">
        <v>4</v>
      </c>
      <c r="H55" s="19" t="n">
        <v>1500</v>
      </c>
      <c r="I55" s="23" t="n">
        <f aca="false">F55*G55*H55</f>
        <v>6000</v>
      </c>
      <c r="J55" s="12" t="s">
        <v>3854</v>
      </c>
      <c r="K55" s="12" t="s">
        <v>3114</v>
      </c>
      <c r="L55" s="12" t="s">
        <v>2796</v>
      </c>
      <c r="M55" s="4" t="s">
        <v>3897</v>
      </c>
    </row>
    <row r="56" customFormat="false" ht="23.85" hidden="false" customHeight="false" outlineLevel="0" collapsed="false">
      <c r="A56" s="4" t="s">
        <v>3846</v>
      </c>
      <c r="B56" s="12" t="s">
        <v>2765</v>
      </c>
      <c r="C56" s="4" t="s">
        <v>3680</v>
      </c>
      <c r="D56" s="12" t="s">
        <v>2808</v>
      </c>
      <c r="E56" s="12" t="s">
        <v>2497</v>
      </c>
      <c r="F56" s="29" t="n">
        <v>4</v>
      </c>
      <c r="G56" s="29" t="n">
        <v>1</v>
      </c>
      <c r="H56" s="19" t="n">
        <v>2200</v>
      </c>
      <c r="I56" s="23" t="n">
        <f aca="false">F56*G56*H56</f>
        <v>8800</v>
      </c>
      <c r="J56" s="12" t="s">
        <v>3854</v>
      </c>
      <c r="K56" s="12" t="s">
        <v>3681</v>
      </c>
      <c r="L56" s="12" t="s">
        <v>2950</v>
      </c>
      <c r="M56" s="4" t="s">
        <v>3898</v>
      </c>
    </row>
    <row r="57" customFormat="false" ht="23.85" hidden="false" customHeight="false" outlineLevel="0" collapsed="false">
      <c r="A57" s="4" t="s">
        <v>3846</v>
      </c>
      <c r="B57" s="12" t="s">
        <v>2765</v>
      </c>
      <c r="C57" s="4" t="s">
        <v>3899</v>
      </c>
      <c r="D57" s="12" t="s">
        <v>2808</v>
      </c>
      <c r="E57" s="12" t="s">
        <v>2497</v>
      </c>
      <c r="F57" s="29" t="n">
        <v>2</v>
      </c>
      <c r="G57" s="29" t="n">
        <v>8</v>
      </c>
      <c r="H57" s="19" t="n">
        <v>900</v>
      </c>
      <c r="I57" s="23" t="n">
        <f aca="false">F57*G57*H57</f>
        <v>14400</v>
      </c>
      <c r="J57" s="12" t="s">
        <v>3854</v>
      </c>
      <c r="K57" s="12" t="s">
        <v>3434</v>
      </c>
      <c r="L57" s="12" t="s">
        <v>2796</v>
      </c>
      <c r="M57" s="4" t="s">
        <v>3900</v>
      </c>
    </row>
    <row r="58" customFormat="false" ht="23.85" hidden="false" customHeight="false" outlineLevel="0" collapsed="false">
      <c r="A58" s="4" t="s">
        <v>3846</v>
      </c>
      <c r="B58" s="12" t="s">
        <v>2765</v>
      </c>
      <c r="C58" s="4" t="s">
        <v>3901</v>
      </c>
      <c r="D58" s="12" t="s">
        <v>2808</v>
      </c>
      <c r="E58" s="12" t="s">
        <v>3506</v>
      </c>
      <c r="F58" s="29" t="n">
        <v>6</v>
      </c>
      <c r="G58" s="29" t="n">
        <v>4</v>
      </c>
      <c r="H58" s="19" t="n">
        <v>200</v>
      </c>
      <c r="I58" s="23" t="n">
        <f aca="false">F58*G58*H58</f>
        <v>4800</v>
      </c>
      <c r="J58" s="12" t="s">
        <v>3854</v>
      </c>
      <c r="K58" s="12" t="s">
        <v>3507</v>
      </c>
      <c r="L58" s="12" t="s">
        <v>2796</v>
      </c>
      <c r="M58" s="4" t="s">
        <v>3902</v>
      </c>
    </row>
    <row r="59" customFormat="false" ht="23.85" hidden="false" customHeight="false" outlineLevel="0" collapsed="false">
      <c r="A59" s="4" t="s">
        <v>3846</v>
      </c>
      <c r="B59" s="12" t="s">
        <v>2765</v>
      </c>
      <c r="C59" s="4" t="s">
        <v>3903</v>
      </c>
      <c r="D59" s="12" t="s">
        <v>2808</v>
      </c>
      <c r="E59" s="12" t="s">
        <v>3506</v>
      </c>
      <c r="F59" s="29" t="n">
        <v>4</v>
      </c>
      <c r="G59" s="29" t="n">
        <v>4</v>
      </c>
      <c r="H59" s="19" t="n">
        <v>200</v>
      </c>
      <c r="I59" s="23" t="n">
        <f aca="false">F59*G59*H59</f>
        <v>3200</v>
      </c>
      <c r="J59" s="12" t="s">
        <v>3854</v>
      </c>
      <c r="K59" s="12" t="s">
        <v>3507</v>
      </c>
      <c r="L59" s="12" t="s">
        <v>2796</v>
      </c>
      <c r="M59" s="4" t="s">
        <v>3902</v>
      </c>
    </row>
    <row r="60" customFormat="false" ht="23.85" hidden="false" customHeight="false" outlineLevel="0" collapsed="false">
      <c r="A60" s="4" t="s">
        <v>3846</v>
      </c>
      <c r="B60" s="12" t="s">
        <v>2765</v>
      </c>
      <c r="C60" s="4" t="s">
        <v>3904</v>
      </c>
      <c r="D60" s="12" t="s">
        <v>2808</v>
      </c>
      <c r="E60" s="12" t="s">
        <v>2497</v>
      </c>
      <c r="F60" s="29" t="n">
        <v>4</v>
      </c>
      <c r="G60" s="29" t="n">
        <v>4</v>
      </c>
      <c r="H60" s="19" t="n">
        <v>300</v>
      </c>
      <c r="I60" s="23" t="n">
        <f aca="false">F60*G60*H60</f>
        <v>4800</v>
      </c>
      <c r="J60" s="12" t="s">
        <v>3854</v>
      </c>
      <c r="K60" s="12" t="s">
        <v>2875</v>
      </c>
      <c r="L60" s="12" t="s">
        <v>2796</v>
      </c>
      <c r="M60" s="4"/>
    </row>
    <row r="61" customFormat="false" ht="23.85" hidden="false" customHeight="false" outlineLevel="0" collapsed="false">
      <c r="A61" s="4" t="s">
        <v>3846</v>
      </c>
      <c r="B61" s="12" t="s">
        <v>2765</v>
      </c>
      <c r="C61" s="4" t="s">
        <v>3905</v>
      </c>
      <c r="D61" s="12" t="s">
        <v>2808</v>
      </c>
      <c r="E61" s="12" t="s">
        <v>2497</v>
      </c>
      <c r="F61" s="29" t="n">
        <v>2</v>
      </c>
      <c r="G61" s="29" t="n">
        <v>4</v>
      </c>
      <c r="H61" s="19" t="n">
        <v>300</v>
      </c>
      <c r="I61" s="23" t="n">
        <f aca="false">F61*G61*H61</f>
        <v>2400</v>
      </c>
      <c r="J61" s="12" t="s">
        <v>3854</v>
      </c>
      <c r="K61" s="12" t="s">
        <v>2875</v>
      </c>
      <c r="L61" s="12" t="s">
        <v>2796</v>
      </c>
      <c r="M61" s="4"/>
    </row>
    <row r="62" customFormat="false" ht="23.85" hidden="false" customHeight="false" outlineLevel="0" collapsed="false">
      <c r="A62" s="4" t="s">
        <v>3846</v>
      </c>
      <c r="B62" s="12" t="s">
        <v>2765</v>
      </c>
      <c r="C62" s="4" t="s">
        <v>3906</v>
      </c>
      <c r="D62" s="12" t="s">
        <v>2808</v>
      </c>
      <c r="E62" s="12" t="s">
        <v>2497</v>
      </c>
      <c r="F62" s="29" t="n">
        <v>8</v>
      </c>
      <c r="G62" s="29" t="n">
        <v>4</v>
      </c>
      <c r="H62" s="19" t="n">
        <v>250</v>
      </c>
      <c r="I62" s="23" t="n">
        <f aca="false">F62*G62*H62</f>
        <v>8000</v>
      </c>
      <c r="J62" s="12" t="s">
        <v>3854</v>
      </c>
      <c r="K62" s="12" t="s">
        <v>3324</v>
      </c>
      <c r="L62" s="12" t="s">
        <v>2950</v>
      </c>
      <c r="M62" s="4" t="s">
        <v>3907</v>
      </c>
    </row>
    <row r="63" customFormat="false" ht="23.85" hidden="false" customHeight="false" outlineLevel="0" collapsed="false">
      <c r="A63" s="4" t="s">
        <v>3846</v>
      </c>
      <c r="B63" s="12" t="s">
        <v>2765</v>
      </c>
      <c r="C63" s="4" t="s">
        <v>3908</v>
      </c>
      <c r="D63" s="12" t="s">
        <v>2808</v>
      </c>
      <c r="E63" s="12" t="s">
        <v>2497</v>
      </c>
      <c r="F63" s="29" t="n">
        <v>5</v>
      </c>
      <c r="G63" s="29" t="n">
        <v>4</v>
      </c>
      <c r="H63" s="19" t="n">
        <v>250</v>
      </c>
      <c r="I63" s="23" t="n">
        <f aca="false">F63*G63*H63</f>
        <v>5000</v>
      </c>
      <c r="J63" s="12" t="s">
        <v>3854</v>
      </c>
      <c r="K63" s="12" t="s">
        <v>3324</v>
      </c>
      <c r="L63" s="12" t="s">
        <v>2950</v>
      </c>
      <c r="M63" s="4" t="s">
        <v>3909</v>
      </c>
    </row>
    <row r="64" customFormat="false" ht="23.85" hidden="false" customHeight="false" outlineLevel="0" collapsed="false">
      <c r="A64" s="4" t="s">
        <v>3846</v>
      </c>
      <c r="B64" s="12" t="s">
        <v>2765</v>
      </c>
      <c r="C64" s="4" t="s">
        <v>3910</v>
      </c>
      <c r="D64" s="12" t="s">
        <v>2808</v>
      </c>
      <c r="E64" s="12" t="s">
        <v>2497</v>
      </c>
      <c r="F64" s="29" t="n">
        <v>1</v>
      </c>
      <c r="G64" s="29" t="n">
        <v>8</v>
      </c>
      <c r="H64" s="19" t="n">
        <v>1500</v>
      </c>
      <c r="I64" s="23" t="n">
        <f aca="false">F64*G64*H64</f>
        <v>12000</v>
      </c>
      <c r="J64" s="12" t="s">
        <v>3854</v>
      </c>
      <c r="K64" s="12" t="s">
        <v>2805</v>
      </c>
      <c r="L64" s="12"/>
      <c r="M64" s="4" t="s">
        <v>3911</v>
      </c>
    </row>
    <row r="65" customFormat="false" ht="23.85" hidden="false" customHeight="false" outlineLevel="0" collapsed="false">
      <c r="A65" s="4" t="s">
        <v>3846</v>
      </c>
      <c r="B65" s="12" t="s">
        <v>2765</v>
      </c>
      <c r="C65" s="4" t="s">
        <v>3912</v>
      </c>
      <c r="D65" s="12" t="s">
        <v>2882</v>
      </c>
      <c r="E65" s="12" t="s">
        <v>2601</v>
      </c>
      <c r="F65" s="29" t="n">
        <v>4</v>
      </c>
      <c r="G65" s="29" t="n">
        <v>1</v>
      </c>
      <c r="H65" s="19" t="n">
        <v>1500</v>
      </c>
      <c r="I65" s="23" t="n">
        <f aca="false">F65*G65*H65</f>
        <v>6000</v>
      </c>
      <c r="J65" s="12" t="s">
        <v>3854</v>
      </c>
      <c r="K65" s="12" t="s">
        <v>2805</v>
      </c>
      <c r="L65" s="12"/>
      <c r="M65" s="4" t="s">
        <v>3913</v>
      </c>
    </row>
    <row r="66" customFormat="false" ht="23.85" hidden="false" customHeight="false" outlineLevel="0" collapsed="false">
      <c r="A66" s="4" t="s">
        <v>3846</v>
      </c>
      <c r="B66" s="12" t="s">
        <v>2765</v>
      </c>
      <c r="C66" s="4" t="s">
        <v>3914</v>
      </c>
      <c r="D66" s="12" t="s">
        <v>2808</v>
      </c>
      <c r="E66" s="12" t="s">
        <v>3165</v>
      </c>
      <c r="F66" s="29" t="n">
        <v>4</v>
      </c>
      <c r="G66" s="29" t="n">
        <v>8</v>
      </c>
      <c r="H66" s="19" t="n">
        <v>180</v>
      </c>
      <c r="I66" s="23" t="n">
        <f aca="false">F66*G66*H66</f>
        <v>5760</v>
      </c>
      <c r="J66" s="12" t="s">
        <v>3854</v>
      </c>
      <c r="K66" s="12" t="s">
        <v>2805</v>
      </c>
      <c r="L66" s="12"/>
      <c r="M66" s="4" t="s">
        <v>3915</v>
      </c>
    </row>
    <row r="67" customFormat="false" ht="23.85" hidden="false" customHeight="false" outlineLevel="0" collapsed="false">
      <c r="A67" s="4" t="s">
        <v>3846</v>
      </c>
      <c r="B67" s="12" t="s">
        <v>2765</v>
      </c>
      <c r="C67" s="4" t="s">
        <v>3587</v>
      </c>
      <c r="D67" s="12" t="s">
        <v>2882</v>
      </c>
      <c r="E67" s="12" t="s">
        <v>2601</v>
      </c>
      <c r="F67" s="29" t="n">
        <v>4</v>
      </c>
      <c r="G67" s="29" t="n">
        <v>1</v>
      </c>
      <c r="H67" s="19" t="n">
        <v>1000</v>
      </c>
      <c r="I67" s="23" t="n">
        <f aca="false">F67*G67*H67</f>
        <v>4000</v>
      </c>
      <c r="J67" s="12" t="s">
        <v>3854</v>
      </c>
      <c r="K67" s="12" t="s">
        <v>2805</v>
      </c>
      <c r="L67" s="12"/>
      <c r="M67" s="4" t="s">
        <v>3916</v>
      </c>
    </row>
    <row r="68" customFormat="false" ht="23.85" hidden="false" customHeight="false" outlineLevel="0" collapsed="false">
      <c r="A68" s="4" t="s">
        <v>3846</v>
      </c>
      <c r="B68" s="12" t="s">
        <v>2765</v>
      </c>
      <c r="C68" s="4" t="s">
        <v>3322</v>
      </c>
      <c r="D68" s="12" t="s">
        <v>2808</v>
      </c>
      <c r="E68" s="12" t="s">
        <v>2497</v>
      </c>
      <c r="F68" s="29" t="n">
        <v>3</v>
      </c>
      <c r="G68" s="29" t="n">
        <v>8</v>
      </c>
      <c r="H68" s="19" t="n">
        <v>300</v>
      </c>
      <c r="I68" s="23" t="n">
        <f aca="false">F68*G68*H68</f>
        <v>7200</v>
      </c>
      <c r="J68" s="12" t="s">
        <v>3854</v>
      </c>
      <c r="K68" s="12" t="s">
        <v>2870</v>
      </c>
      <c r="L68" s="12" t="s">
        <v>2796</v>
      </c>
      <c r="M68" s="4" t="s">
        <v>3917</v>
      </c>
    </row>
    <row r="69" customFormat="false" ht="23.85" hidden="false" customHeight="false" outlineLevel="0" collapsed="false">
      <c r="A69" s="4" t="s">
        <v>3846</v>
      </c>
      <c r="B69" s="12" t="s">
        <v>2765</v>
      </c>
      <c r="C69" s="4" t="s">
        <v>3918</v>
      </c>
      <c r="D69" s="12" t="s">
        <v>2808</v>
      </c>
      <c r="E69" s="12" t="s">
        <v>2497</v>
      </c>
      <c r="F69" s="29" t="n">
        <v>1</v>
      </c>
      <c r="G69" s="29" t="n">
        <v>8</v>
      </c>
      <c r="H69" s="19" t="n">
        <v>1800</v>
      </c>
      <c r="I69" s="23" t="n">
        <f aca="false">F69*G69*H69</f>
        <v>14400</v>
      </c>
      <c r="J69" s="12" t="s">
        <v>3854</v>
      </c>
      <c r="K69" s="12" t="s">
        <v>3017</v>
      </c>
      <c r="L69" s="12" t="s">
        <v>2796</v>
      </c>
      <c r="M69" s="4" t="s">
        <v>3919</v>
      </c>
    </row>
    <row r="70" customFormat="false" ht="23.85" hidden="false" customHeight="false" outlineLevel="0" collapsed="false">
      <c r="A70" s="4" t="s">
        <v>3846</v>
      </c>
      <c r="B70" s="12" t="s">
        <v>2765</v>
      </c>
      <c r="C70" s="4" t="s">
        <v>3920</v>
      </c>
      <c r="D70" s="12" t="s">
        <v>2808</v>
      </c>
      <c r="E70" s="12" t="s">
        <v>2497</v>
      </c>
      <c r="F70" s="29" t="n">
        <v>1</v>
      </c>
      <c r="G70" s="29" t="n">
        <v>8</v>
      </c>
      <c r="H70" s="19" t="n">
        <v>1000</v>
      </c>
      <c r="I70" s="23" t="n">
        <f aca="false">F70*G70*H70</f>
        <v>8000</v>
      </c>
      <c r="J70" s="12" t="s">
        <v>3854</v>
      </c>
      <c r="K70" s="12" t="s">
        <v>2810</v>
      </c>
      <c r="L70" s="12" t="s">
        <v>2796</v>
      </c>
      <c r="M70" s="4"/>
    </row>
    <row r="71" customFormat="false" ht="23.85" hidden="false" customHeight="false" outlineLevel="0" collapsed="false">
      <c r="A71" s="4" t="s">
        <v>3846</v>
      </c>
      <c r="B71" s="12" t="s">
        <v>2765</v>
      </c>
      <c r="C71" s="4" t="s">
        <v>3593</v>
      </c>
      <c r="D71" s="12" t="s">
        <v>2808</v>
      </c>
      <c r="E71" s="12" t="s">
        <v>3165</v>
      </c>
      <c r="F71" s="29" t="n">
        <v>22</v>
      </c>
      <c r="G71" s="29" t="n">
        <v>8</v>
      </c>
      <c r="H71" s="19" t="n">
        <v>70</v>
      </c>
      <c r="I71" s="23" t="n">
        <f aca="false">F71*G71*H71</f>
        <v>12320</v>
      </c>
      <c r="J71" s="12" t="s">
        <v>3854</v>
      </c>
      <c r="K71" s="12" t="s">
        <v>3169</v>
      </c>
      <c r="L71" s="12" t="s">
        <v>2796</v>
      </c>
      <c r="M71" s="4" t="s">
        <v>3921</v>
      </c>
    </row>
    <row r="72" customFormat="false" ht="23.85" hidden="false" customHeight="false" outlineLevel="0" collapsed="false">
      <c r="A72" s="4" t="s">
        <v>3846</v>
      </c>
      <c r="B72" s="12" t="s">
        <v>2765</v>
      </c>
      <c r="C72" s="4" t="s">
        <v>3800</v>
      </c>
      <c r="D72" s="12" t="s">
        <v>2808</v>
      </c>
      <c r="E72" s="12" t="s">
        <v>3165</v>
      </c>
      <c r="F72" s="29" t="n">
        <v>12</v>
      </c>
      <c r="G72" s="29" t="n">
        <v>2</v>
      </c>
      <c r="H72" s="19" t="n">
        <v>180</v>
      </c>
      <c r="I72" s="23" t="n">
        <f aca="false">F72*G72*H72</f>
        <v>4320</v>
      </c>
      <c r="J72" s="12" t="s">
        <v>3854</v>
      </c>
      <c r="K72" s="12" t="s">
        <v>3166</v>
      </c>
      <c r="L72" s="12" t="s">
        <v>2796</v>
      </c>
      <c r="M72" s="4" t="s">
        <v>3922</v>
      </c>
    </row>
    <row r="73" customFormat="false" ht="23.85" hidden="false" customHeight="false" outlineLevel="0" collapsed="false">
      <c r="A73" s="4" t="s">
        <v>3846</v>
      </c>
      <c r="B73" s="12" t="s">
        <v>2765</v>
      </c>
      <c r="C73" s="4" t="s">
        <v>3510</v>
      </c>
      <c r="D73" s="12" t="s">
        <v>2882</v>
      </c>
      <c r="E73" s="12" t="s">
        <v>2601</v>
      </c>
      <c r="F73" s="29" t="n">
        <v>4</v>
      </c>
      <c r="G73" s="29" t="n">
        <v>1</v>
      </c>
      <c r="H73" s="19" t="n">
        <v>2500</v>
      </c>
      <c r="I73" s="23" t="n">
        <f aca="false">F73*G73*H73</f>
        <v>10000</v>
      </c>
      <c r="J73" s="12" t="s">
        <v>3854</v>
      </c>
      <c r="K73" s="12" t="s">
        <v>3327</v>
      </c>
      <c r="L73" s="12" t="s">
        <v>2796</v>
      </c>
      <c r="M73" s="4"/>
    </row>
    <row r="74" customFormat="false" ht="23.85" hidden="false" customHeight="false" outlineLevel="0" collapsed="false">
      <c r="A74" s="4" t="s">
        <v>3846</v>
      </c>
      <c r="B74" s="12" t="s">
        <v>2765</v>
      </c>
      <c r="C74" s="4" t="s">
        <v>3513</v>
      </c>
      <c r="D74" s="12" t="s">
        <v>2808</v>
      </c>
      <c r="E74" s="12" t="s">
        <v>2683</v>
      </c>
      <c r="F74" s="29" t="n">
        <v>1</v>
      </c>
      <c r="G74" s="29" t="n">
        <v>1</v>
      </c>
      <c r="H74" s="19" t="n">
        <v>5000</v>
      </c>
      <c r="I74" s="23" t="n">
        <f aca="false">F74*G74*H74</f>
        <v>5000</v>
      </c>
      <c r="J74" s="12" t="s">
        <v>3854</v>
      </c>
      <c r="K74" s="12" t="s">
        <v>2845</v>
      </c>
      <c r="L74" s="12" t="s">
        <v>2796</v>
      </c>
      <c r="M74" s="4"/>
    </row>
    <row r="75" customFormat="false" ht="23.85" hidden="false" customHeight="false" outlineLevel="0" collapsed="false">
      <c r="A75" s="4" t="s">
        <v>3852</v>
      </c>
      <c r="B75" s="12" t="s">
        <v>2765</v>
      </c>
      <c r="C75" s="4" t="s">
        <v>2613</v>
      </c>
      <c r="D75" s="12" t="s">
        <v>2808</v>
      </c>
      <c r="E75" s="12" t="s">
        <v>2497</v>
      </c>
      <c r="F75" s="29" t="n">
        <v>1</v>
      </c>
      <c r="G75" s="29" t="n">
        <v>4</v>
      </c>
      <c r="H75" s="19" t="n">
        <v>800</v>
      </c>
      <c r="I75" s="23" t="n">
        <f aca="false">F75*G75*H75</f>
        <v>3200</v>
      </c>
      <c r="J75" s="12" t="s">
        <v>3854</v>
      </c>
      <c r="K75" s="12" t="s">
        <v>2848</v>
      </c>
      <c r="L75" s="12" t="s">
        <v>2796</v>
      </c>
      <c r="M75" s="4" t="s">
        <v>3923</v>
      </c>
    </row>
    <row r="76" customFormat="false" ht="23.85" hidden="false" customHeight="false" outlineLevel="0" collapsed="false">
      <c r="A76" s="4" t="s">
        <v>3852</v>
      </c>
      <c r="B76" s="12" t="s">
        <v>2765</v>
      </c>
      <c r="C76" s="4" t="s">
        <v>3924</v>
      </c>
      <c r="D76" s="12" t="s">
        <v>2808</v>
      </c>
      <c r="E76" s="12" t="s">
        <v>2497</v>
      </c>
      <c r="F76" s="29" t="n">
        <v>1</v>
      </c>
      <c r="G76" s="29" t="n">
        <v>8</v>
      </c>
      <c r="H76" s="19" t="n">
        <v>1500</v>
      </c>
      <c r="I76" s="23" t="n">
        <f aca="false">F76*G76*H76</f>
        <v>12000</v>
      </c>
      <c r="J76" s="12" t="s">
        <v>3854</v>
      </c>
      <c r="K76" s="12" t="s">
        <v>2851</v>
      </c>
      <c r="L76" s="12" t="s">
        <v>2796</v>
      </c>
      <c r="M76" s="4" t="s">
        <v>3925</v>
      </c>
    </row>
    <row r="77" customFormat="false" ht="23.85" hidden="false" customHeight="false" outlineLevel="0" collapsed="false">
      <c r="A77" s="4" t="s">
        <v>3852</v>
      </c>
      <c r="B77" s="12" t="s">
        <v>2766</v>
      </c>
      <c r="C77" s="4" t="s">
        <v>3926</v>
      </c>
      <c r="D77" s="12" t="s">
        <v>2804</v>
      </c>
      <c r="E77" s="12" t="s">
        <v>2597</v>
      </c>
      <c r="F77" s="29" t="n">
        <v>4</v>
      </c>
      <c r="G77" s="29" t="n">
        <v>1</v>
      </c>
      <c r="H77" s="19" t="n">
        <v>3500</v>
      </c>
      <c r="I77" s="23" t="n">
        <f aca="false">F77*G77*H77</f>
        <v>14000</v>
      </c>
      <c r="J77" s="12" t="s">
        <v>2794</v>
      </c>
      <c r="K77" s="12" t="s">
        <v>2891</v>
      </c>
      <c r="L77" s="12" t="s">
        <v>2796</v>
      </c>
      <c r="M77" s="4" t="s">
        <v>3417</v>
      </c>
    </row>
    <row r="78" customFormat="false" ht="23.85" hidden="false" customHeight="false" outlineLevel="0" collapsed="false">
      <c r="A78" s="4" t="s">
        <v>3852</v>
      </c>
      <c r="B78" s="12" t="s">
        <v>2766</v>
      </c>
      <c r="C78" s="4" t="s">
        <v>3927</v>
      </c>
      <c r="D78" s="12" t="s">
        <v>2793</v>
      </c>
      <c r="E78" s="12" t="s">
        <v>2484</v>
      </c>
      <c r="F78" s="29" t="n">
        <v>1</v>
      </c>
      <c r="G78" s="29" t="n">
        <v>1</v>
      </c>
      <c r="H78" s="19" t="n">
        <v>4000</v>
      </c>
      <c r="I78" s="23" t="n">
        <f aca="false">F78*G78*H78</f>
        <v>4000</v>
      </c>
      <c r="J78" s="12" t="s">
        <v>2794</v>
      </c>
      <c r="K78" s="12" t="s">
        <v>2805</v>
      </c>
      <c r="L78" s="12"/>
      <c r="M78" s="4" t="s">
        <v>3928</v>
      </c>
    </row>
    <row r="79" customFormat="false" ht="23.85" hidden="false" customHeight="false" outlineLevel="0" collapsed="false">
      <c r="A79" s="4" t="s">
        <v>3846</v>
      </c>
      <c r="B79" s="12" t="s">
        <v>2766</v>
      </c>
      <c r="C79" s="4" t="s">
        <v>3929</v>
      </c>
      <c r="D79" s="12" t="s">
        <v>2793</v>
      </c>
      <c r="E79" s="12" t="s">
        <v>2484</v>
      </c>
      <c r="F79" s="29" t="n">
        <v>1</v>
      </c>
      <c r="G79" s="29" t="n">
        <v>1</v>
      </c>
      <c r="H79" s="19" t="n">
        <v>7000</v>
      </c>
      <c r="I79" s="23" t="n">
        <f aca="false">F79*G79*H79</f>
        <v>7000</v>
      </c>
      <c r="J79" s="12" t="s">
        <v>2794</v>
      </c>
      <c r="K79" s="12" t="s">
        <v>2795</v>
      </c>
      <c r="L79" s="12" t="s">
        <v>2796</v>
      </c>
      <c r="M79" s="4" t="s">
        <v>3930</v>
      </c>
    </row>
    <row r="80" customFormat="false" ht="23.85" hidden="false" customHeight="false" outlineLevel="0" collapsed="false">
      <c r="A80" s="4" t="s">
        <v>3846</v>
      </c>
      <c r="B80" s="12" t="s">
        <v>2767</v>
      </c>
      <c r="C80" s="4" t="s">
        <v>2893</v>
      </c>
      <c r="D80" s="12" t="s">
        <v>2793</v>
      </c>
      <c r="E80" s="12" t="s">
        <v>2484</v>
      </c>
      <c r="F80" s="29" t="n">
        <v>1</v>
      </c>
      <c r="G80" s="29" t="n">
        <v>6</v>
      </c>
      <c r="H80" s="19" t="n">
        <v>1500</v>
      </c>
      <c r="I80" s="23" t="n">
        <f aca="false">F80*G80*H80</f>
        <v>9000</v>
      </c>
      <c r="J80" s="12" t="s">
        <v>2794</v>
      </c>
      <c r="K80" s="12" t="s">
        <v>2894</v>
      </c>
      <c r="L80" s="12" t="s">
        <v>2796</v>
      </c>
      <c r="M80" s="4" t="s">
        <v>3121</v>
      </c>
    </row>
    <row r="81" customFormat="false" ht="23.85" hidden="false" customHeight="false" outlineLevel="0" collapsed="false">
      <c r="A81" s="4" t="s">
        <v>3846</v>
      </c>
      <c r="B81" s="12" t="s">
        <v>2767</v>
      </c>
      <c r="C81" s="4" t="s">
        <v>3931</v>
      </c>
      <c r="D81" s="12" t="s">
        <v>2793</v>
      </c>
      <c r="E81" s="12" t="s">
        <v>2484</v>
      </c>
      <c r="F81" s="29" t="n">
        <v>1</v>
      </c>
      <c r="G81" s="29" t="n">
        <v>2</v>
      </c>
      <c r="H81" s="19" t="n">
        <v>2000</v>
      </c>
      <c r="I81" s="23" t="n">
        <f aca="false">F81*G81*H81</f>
        <v>4000</v>
      </c>
      <c r="J81" s="12" t="s">
        <v>2794</v>
      </c>
      <c r="K81" s="12" t="s">
        <v>2891</v>
      </c>
      <c r="L81" s="12" t="s">
        <v>2796</v>
      </c>
      <c r="M81" s="4" t="s">
        <v>3932</v>
      </c>
    </row>
    <row r="82" customFormat="false" ht="23.85" hidden="false" customHeight="false" outlineLevel="0" collapsed="false">
      <c r="A82" s="4" t="s">
        <v>3846</v>
      </c>
      <c r="B82" s="12" t="s">
        <v>2765</v>
      </c>
      <c r="C82" s="4" t="s">
        <v>3933</v>
      </c>
      <c r="D82" s="12" t="s">
        <v>2808</v>
      </c>
      <c r="E82" s="12" t="s">
        <v>2497</v>
      </c>
      <c r="F82" s="29" t="n">
        <v>1</v>
      </c>
      <c r="G82" s="29" t="n">
        <v>8</v>
      </c>
      <c r="H82" s="19" t="n">
        <v>1300</v>
      </c>
      <c r="I82" s="23" t="n">
        <f aca="false">F82*G82*H82</f>
        <v>10400</v>
      </c>
      <c r="J82" s="12" t="s">
        <v>3854</v>
      </c>
      <c r="K82" s="12" t="s">
        <v>2805</v>
      </c>
      <c r="L82" s="12"/>
      <c r="M82" s="4" t="s">
        <v>3934</v>
      </c>
    </row>
    <row r="83" customFormat="false" ht="23.85" hidden="false" customHeight="false" outlineLevel="0" collapsed="false">
      <c r="A83" s="4" t="s">
        <v>3846</v>
      </c>
      <c r="B83" s="12" t="s">
        <v>2765</v>
      </c>
      <c r="C83" s="4" t="s">
        <v>3935</v>
      </c>
      <c r="D83" s="12" t="s">
        <v>2808</v>
      </c>
      <c r="E83" s="12" t="s">
        <v>2702</v>
      </c>
      <c r="F83" s="29" t="n">
        <v>24</v>
      </c>
      <c r="G83" s="29" t="n">
        <v>1</v>
      </c>
      <c r="H83" s="19" t="n">
        <v>180</v>
      </c>
      <c r="I83" s="23" t="n">
        <f aca="false">F83*G83*H83</f>
        <v>4320</v>
      </c>
      <c r="J83" s="12" t="s">
        <v>3854</v>
      </c>
      <c r="K83" s="12" t="s">
        <v>2899</v>
      </c>
      <c r="L83" s="12" t="s">
        <v>2796</v>
      </c>
      <c r="M83" s="4" t="s">
        <v>3936</v>
      </c>
    </row>
    <row r="84" customFormat="false" ht="23.85" hidden="false" customHeight="false" outlineLevel="0" collapsed="false">
      <c r="A84" s="4" t="s">
        <v>3846</v>
      </c>
      <c r="B84" s="12" t="s">
        <v>2765</v>
      </c>
      <c r="C84" s="4" t="s">
        <v>3937</v>
      </c>
      <c r="D84" s="12" t="s">
        <v>2804</v>
      </c>
      <c r="E84" s="12" t="s">
        <v>2597</v>
      </c>
      <c r="F84" s="29" t="n">
        <v>4</v>
      </c>
      <c r="G84" s="29" t="n">
        <v>1</v>
      </c>
      <c r="H84" s="19" t="n">
        <v>2000</v>
      </c>
      <c r="I84" s="23" t="n">
        <f aca="false">F84*G84*H84</f>
        <v>8000</v>
      </c>
      <c r="J84" s="12" t="s">
        <v>3854</v>
      </c>
      <c r="K84" s="12" t="s">
        <v>2902</v>
      </c>
      <c r="L84" s="12" t="s">
        <v>2950</v>
      </c>
      <c r="M84" s="4" t="s">
        <v>3938</v>
      </c>
    </row>
    <row r="85" customFormat="false" ht="23.85" hidden="false" customHeight="false" outlineLevel="0" collapsed="false">
      <c r="A85" s="4" t="s">
        <v>3846</v>
      </c>
      <c r="B85" s="12" t="s">
        <v>2765</v>
      </c>
      <c r="C85" s="4" t="s">
        <v>3939</v>
      </c>
      <c r="D85" s="12" t="s">
        <v>2808</v>
      </c>
      <c r="E85" s="12" t="s">
        <v>2477</v>
      </c>
      <c r="F85" s="29" t="n">
        <v>80</v>
      </c>
      <c r="G85" s="29" t="n">
        <v>1</v>
      </c>
      <c r="H85" s="19" t="n">
        <v>25</v>
      </c>
      <c r="I85" s="23" t="n">
        <f aca="false">F85*G85*H85</f>
        <v>2000</v>
      </c>
      <c r="J85" s="12" t="s">
        <v>3854</v>
      </c>
      <c r="K85" s="12" t="s">
        <v>2805</v>
      </c>
      <c r="L85" s="12"/>
      <c r="M85" s="4" t="s">
        <v>3234</v>
      </c>
    </row>
    <row r="86" customFormat="false" ht="23.85" hidden="false" customHeight="false" outlineLevel="0" collapsed="false">
      <c r="A86" s="4" t="s">
        <v>3846</v>
      </c>
      <c r="B86" s="12" t="s">
        <v>2765</v>
      </c>
      <c r="C86" s="4" t="s">
        <v>3940</v>
      </c>
      <c r="D86" s="12" t="s">
        <v>2804</v>
      </c>
      <c r="E86" s="12" t="s">
        <v>2597</v>
      </c>
      <c r="F86" s="29" t="n">
        <v>4</v>
      </c>
      <c r="G86" s="29" t="n">
        <v>1</v>
      </c>
      <c r="H86" s="19" t="n">
        <v>2000</v>
      </c>
      <c r="I86" s="23" t="n">
        <f aca="false">F86*G86*H86</f>
        <v>8000</v>
      </c>
      <c r="J86" s="12" t="s">
        <v>2794</v>
      </c>
      <c r="K86" s="12" t="s">
        <v>2902</v>
      </c>
      <c r="L86" s="12" t="s">
        <v>2950</v>
      </c>
      <c r="M86" s="4" t="s">
        <v>3941</v>
      </c>
    </row>
    <row r="87" customFormat="false" ht="35.05" hidden="false" customHeight="false" outlineLevel="0" collapsed="false">
      <c r="A87" s="4" t="s">
        <v>3846</v>
      </c>
      <c r="B87" s="12" t="s">
        <v>2768</v>
      </c>
      <c r="C87" s="4" t="s">
        <v>2911</v>
      </c>
      <c r="D87" s="12" t="s">
        <v>2882</v>
      </c>
      <c r="E87" s="12" t="s">
        <v>2601</v>
      </c>
      <c r="F87" s="29" t="n">
        <v>1</v>
      </c>
      <c r="G87" s="29" t="n">
        <v>1</v>
      </c>
      <c r="H87" s="19" t="n">
        <v>17128</v>
      </c>
      <c r="I87" s="23" t="n">
        <f aca="false">F87*G87*H87</f>
        <v>17128</v>
      </c>
      <c r="J87" s="12" t="s">
        <v>2794</v>
      </c>
      <c r="K87" s="12" t="s">
        <v>2805</v>
      </c>
      <c r="L87" s="12"/>
      <c r="M87" s="4" t="s">
        <v>3942</v>
      </c>
    </row>
    <row r="88" customFormat="false" ht="15" hidden="false" customHeight="false" outlineLevel="0" collapsed="false">
      <c r="H88" s="10" t="s">
        <v>134</v>
      </c>
      <c r="I88" s="11" t="n">
        <f aca="false">SUM(I26:I87)</f>
        <v>639991</v>
      </c>
    </row>
    <row r="90" customFormat="false" ht="15" hidden="false" customHeight="false" outlineLevel="0" collapsed="false">
      <c r="A90" s="22" t="s">
        <v>2913</v>
      </c>
    </row>
    <row r="91" customFormat="false" ht="23.85" hidden="false" customHeight="false" outlineLevel="0" collapsed="false">
      <c r="A91" s="3" t="s">
        <v>2914</v>
      </c>
      <c r="B91" s="3" t="s">
        <v>2915</v>
      </c>
      <c r="C91" s="3" t="s">
        <v>2780</v>
      </c>
      <c r="D91" s="3" t="s">
        <v>2781</v>
      </c>
      <c r="E91" s="3" t="s">
        <v>2782</v>
      </c>
      <c r="F91" s="3" t="s">
        <v>2783</v>
      </c>
      <c r="G91" s="3" t="s">
        <v>2784</v>
      </c>
      <c r="H91" s="3" t="s">
        <v>2785</v>
      </c>
      <c r="I91" s="3" t="s">
        <v>2786</v>
      </c>
      <c r="J91" s="3" t="s">
        <v>1393</v>
      </c>
      <c r="K91" s="3" t="s">
        <v>2916</v>
      </c>
      <c r="L91" s="3" t="s">
        <v>2789</v>
      </c>
      <c r="M91" s="3" t="s">
        <v>368</v>
      </c>
    </row>
    <row r="92" customFormat="false" ht="23.85" hidden="false" customHeight="false" outlineLevel="0" collapsed="false">
      <c r="A92" s="4" t="s">
        <v>3846</v>
      </c>
      <c r="B92" s="12" t="s">
        <v>2918</v>
      </c>
      <c r="C92" s="4" t="s">
        <v>2919</v>
      </c>
      <c r="D92" s="12" t="s">
        <v>2804</v>
      </c>
      <c r="E92" s="12" t="s">
        <v>2597</v>
      </c>
      <c r="F92" s="30" t="n">
        <v>1</v>
      </c>
      <c r="G92" s="30" t="n">
        <v>1</v>
      </c>
      <c r="H92" s="19" t="n">
        <v>14000</v>
      </c>
      <c r="I92" s="23" t="n">
        <f aca="false">F92*G92*H92</f>
        <v>14000</v>
      </c>
      <c r="J92" s="12" t="s">
        <v>2794</v>
      </c>
      <c r="K92" s="12" t="s">
        <v>2920</v>
      </c>
      <c r="L92" s="12" t="s">
        <v>2796</v>
      </c>
      <c r="M92" s="4" t="s">
        <v>3943</v>
      </c>
    </row>
    <row r="93" customFormat="false" ht="23.85" hidden="false" customHeight="false" outlineLevel="0" collapsed="false">
      <c r="A93" s="4" t="s">
        <v>3846</v>
      </c>
      <c r="B93" s="12" t="s">
        <v>2918</v>
      </c>
      <c r="C93" s="4" t="s">
        <v>2922</v>
      </c>
      <c r="D93" s="12" t="s">
        <v>2804</v>
      </c>
      <c r="E93" s="12" t="s">
        <v>2597</v>
      </c>
      <c r="F93" s="30" t="n">
        <v>1</v>
      </c>
      <c r="G93" s="30" t="n">
        <v>1</v>
      </c>
      <c r="H93" s="19" t="n">
        <v>10000</v>
      </c>
      <c r="I93" s="23" t="n">
        <f aca="false">F93*G93*H93</f>
        <v>10000</v>
      </c>
      <c r="J93" s="12" t="s">
        <v>2794</v>
      </c>
      <c r="K93" s="12" t="s">
        <v>2805</v>
      </c>
      <c r="L93" s="12"/>
      <c r="M93" s="4"/>
    </row>
    <row r="94" customFormat="false" ht="23.85" hidden="false" customHeight="false" outlineLevel="0" collapsed="false">
      <c r="A94" s="4" t="s">
        <v>3846</v>
      </c>
      <c r="B94" s="12" t="s">
        <v>2918</v>
      </c>
      <c r="C94" s="4" t="s">
        <v>2924</v>
      </c>
      <c r="D94" s="12" t="s">
        <v>2793</v>
      </c>
      <c r="E94" s="12" t="s">
        <v>2484</v>
      </c>
      <c r="F94" s="30" t="n">
        <v>1</v>
      </c>
      <c r="G94" s="30" t="n">
        <v>3</v>
      </c>
      <c r="H94" s="19" t="n">
        <v>3500</v>
      </c>
      <c r="I94" s="23" t="n">
        <f aca="false">F94*G94*H94</f>
        <v>10500</v>
      </c>
      <c r="J94" s="12" t="s">
        <v>2794</v>
      </c>
      <c r="K94" s="12" t="s">
        <v>2805</v>
      </c>
      <c r="L94" s="12"/>
      <c r="M94" s="4" t="s">
        <v>3944</v>
      </c>
    </row>
    <row r="95" customFormat="false" ht="23.85" hidden="false" customHeight="false" outlineLevel="0" collapsed="false">
      <c r="A95" s="4" t="s">
        <v>3846</v>
      </c>
      <c r="B95" s="12" t="s">
        <v>2918</v>
      </c>
      <c r="C95" s="4" t="s">
        <v>2926</v>
      </c>
      <c r="D95" s="12" t="s">
        <v>2793</v>
      </c>
      <c r="E95" s="12" t="s">
        <v>2484</v>
      </c>
      <c r="F95" s="30" t="n">
        <v>1</v>
      </c>
      <c r="G95" s="30" t="n">
        <v>7</v>
      </c>
      <c r="H95" s="19" t="n">
        <v>80</v>
      </c>
      <c r="I95" s="23" t="n">
        <f aca="false">F95*G95*H95</f>
        <v>560</v>
      </c>
      <c r="J95" s="12" t="s">
        <v>2794</v>
      </c>
      <c r="K95" s="12" t="s">
        <v>2805</v>
      </c>
      <c r="L95" s="12"/>
      <c r="M95" s="4"/>
    </row>
    <row r="96" customFormat="false" ht="23.85" hidden="false" customHeight="false" outlineLevel="0" collapsed="false">
      <c r="A96" s="4" t="s">
        <v>3846</v>
      </c>
      <c r="B96" s="12" t="s">
        <v>2918</v>
      </c>
      <c r="C96" s="4" t="s">
        <v>2928</v>
      </c>
      <c r="D96" s="12" t="s">
        <v>2882</v>
      </c>
      <c r="E96" s="12" t="s">
        <v>2601</v>
      </c>
      <c r="F96" s="30" t="n">
        <v>1</v>
      </c>
      <c r="G96" s="30" t="n">
        <v>1</v>
      </c>
      <c r="H96" s="19" t="n">
        <v>1500</v>
      </c>
      <c r="I96" s="23" t="n">
        <f aca="false">F96*G96*H96</f>
        <v>1500</v>
      </c>
      <c r="J96" s="12" t="s">
        <v>2794</v>
      </c>
      <c r="K96" s="12" t="s">
        <v>2805</v>
      </c>
      <c r="L96" s="12"/>
      <c r="M96" s="4"/>
    </row>
    <row r="97" customFormat="false" ht="23.85" hidden="false" customHeight="false" outlineLevel="0" collapsed="false">
      <c r="A97" s="4" t="s">
        <v>3846</v>
      </c>
      <c r="B97" s="12" t="s">
        <v>2930</v>
      </c>
      <c r="C97" s="4" t="s">
        <v>3237</v>
      </c>
      <c r="D97" s="12" t="s">
        <v>2793</v>
      </c>
      <c r="E97" s="12" t="s">
        <v>2484</v>
      </c>
      <c r="F97" s="30" t="n">
        <v>1</v>
      </c>
      <c r="G97" s="30" t="n">
        <v>2</v>
      </c>
      <c r="H97" s="19" t="n">
        <v>4000</v>
      </c>
      <c r="I97" s="23" t="n">
        <f aca="false">F97*G97*H97</f>
        <v>8000</v>
      </c>
      <c r="J97" s="12" t="s">
        <v>3854</v>
      </c>
      <c r="K97" s="12" t="s">
        <v>2805</v>
      </c>
      <c r="L97" s="12"/>
      <c r="M97" s="4" t="s">
        <v>3945</v>
      </c>
    </row>
    <row r="98" customFormat="false" ht="23.85" hidden="false" customHeight="false" outlineLevel="0" collapsed="false">
      <c r="A98" s="4" t="s">
        <v>3846</v>
      </c>
      <c r="B98" s="12" t="s">
        <v>2930</v>
      </c>
      <c r="C98" s="4" t="s">
        <v>3456</v>
      </c>
      <c r="D98" s="12" t="s">
        <v>2808</v>
      </c>
      <c r="E98" s="12" t="s">
        <v>2497</v>
      </c>
      <c r="F98" s="30" t="n">
        <v>3</v>
      </c>
      <c r="G98" s="30" t="n">
        <v>8</v>
      </c>
      <c r="H98" s="19" t="n">
        <v>250</v>
      </c>
      <c r="I98" s="23" t="n">
        <f aca="false">F98*G98*H98</f>
        <v>6000</v>
      </c>
      <c r="J98" s="12" t="s">
        <v>3854</v>
      </c>
      <c r="K98" s="12" t="s">
        <v>2934</v>
      </c>
      <c r="L98" s="12" t="s">
        <v>2796</v>
      </c>
      <c r="M98" s="4"/>
    </row>
    <row r="99" customFormat="false" ht="23.85" hidden="false" customHeight="false" outlineLevel="0" collapsed="false">
      <c r="A99" s="4" t="s">
        <v>3846</v>
      </c>
      <c r="B99" s="12" t="s">
        <v>2930</v>
      </c>
      <c r="C99" s="4" t="s">
        <v>3362</v>
      </c>
      <c r="D99" s="12" t="s">
        <v>2808</v>
      </c>
      <c r="E99" s="12" t="s">
        <v>2497</v>
      </c>
      <c r="F99" s="30" t="n">
        <v>1</v>
      </c>
      <c r="G99" s="30" t="n">
        <v>8</v>
      </c>
      <c r="H99" s="19" t="n">
        <v>600</v>
      </c>
      <c r="I99" s="23" t="n">
        <f aca="false">F99*G99*H99</f>
        <v>4800</v>
      </c>
      <c r="J99" s="12" t="s">
        <v>3854</v>
      </c>
      <c r="K99" s="12" t="s">
        <v>2805</v>
      </c>
      <c r="L99" s="12"/>
      <c r="M99" s="4" t="s">
        <v>3946</v>
      </c>
    </row>
    <row r="100" customFormat="false" ht="23.85" hidden="false" customHeight="false" outlineLevel="0" collapsed="false">
      <c r="A100" s="4" t="s">
        <v>3846</v>
      </c>
      <c r="B100" s="12" t="s">
        <v>2930</v>
      </c>
      <c r="C100" s="4" t="s">
        <v>3827</v>
      </c>
      <c r="D100" s="12" t="s">
        <v>2804</v>
      </c>
      <c r="E100" s="12" t="s">
        <v>2597</v>
      </c>
      <c r="F100" s="30" t="n">
        <v>1</v>
      </c>
      <c r="G100" s="30" t="n">
        <v>1</v>
      </c>
      <c r="H100" s="19" t="n">
        <v>6000</v>
      </c>
      <c r="I100" s="23" t="n">
        <f aca="false">F100*G100*H100</f>
        <v>6000</v>
      </c>
      <c r="J100" s="12" t="s">
        <v>2794</v>
      </c>
      <c r="K100" s="12" t="s">
        <v>2937</v>
      </c>
      <c r="L100" s="12" t="s">
        <v>2796</v>
      </c>
      <c r="M100" s="4" t="s">
        <v>3947</v>
      </c>
    </row>
    <row r="101" customFormat="false" ht="23.85" hidden="false" customHeight="false" outlineLevel="0" collapsed="false">
      <c r="A101" s="4" t="s">
        <v>3846</v>
      </c>
      <c r="B101" s="12" t="s">
        <v>2930</v>
      </c>
      <c r="C101" s="4" t="s">
        <v>2651</v>
      </c>
      <c r="D101" s="12" t="s">
        <v>2793</v>
      </c>
      <c r="E101" s="12" t="s">
        <v>2484</v>
      </c>
      <c r="F101" s="30" t="n">
        <v>1</v>
      </c>
      <c r="G101" s="30" t="n">
        <v>1</v>
      </c>
      <c r="H101" s="19" t="n">
        <v>4500</v>
      </c>
      <c r="I101" s="23" t="n">
        <f aca="false">F101*G101*H101</f>
        <v>4500</v>
      </c>
      <c r="J101" s="12" t="s">
        <v>2794</v>
      </c>
      <c r="K101" s="12" t="s">
        <v>2939</v>
      </c>
      <c r="L101" s="12" t="s">
        <v>2796</v>
      </c>
      <c r="M101" s="4"/>
    </row>
    <row r="102" customFormat="false" ht="23.85" hidden="false" customHeight="false" outlineLevel="0" collapsed="false">
      <c r="A102" s="4" t="s">
        <v>3846</v>
      </c>
      <c r="B102" s="12" t="s">
        <v>2930</v>
      </c>
      <c r="C102" s="4" t="s">
        <v>2654</v>
      </c>
      <c r="D102" s="12" t="s">
        <v>2793</v>
      </c>
      <c r="E102" s="12" t="s">
        <v>2484</v>
      </c>
      <c r="F102" s="30" t="n">
        <v>1</v>
      </c>
      <c r="G102" s="30" t="n">
        <v>3</v>
      </c>
      <c r="H102" s="19" t="n">
        <v>3500</v>
      </c>
      <c r="I102" s="23" t="n">
        <f aca="false">F102*G102*H102</f>
        <v>10500</v>
      </c>
      <c r="J102" s="12" t="s">
        <v>2794</v>
      </c>
      <c r="K102" s="12" t="s">
        <v>2909</v>
      </c>
      <c r="L102" s="12" t="s">
        <v>2796</v>
      </c>
      <c r="M102" s="4"/>
    </row>
    <row r="103" customFormat="false" ht="23.85" hidden="false" customHeight="false" outlineLevel="0" collapsed="false">
      <c r="A103" s="4" t="s">
        <v>3846</v>
      </c>
      <c r="B103" s="12" t="s">
        <v>2930</v>
      </c>
      <c r="C103" s="4" t="s">
        <v>3948</v>
      </c>
      <c r="D103" s="12" t="s">
        <v>2882</v>
      </c>
      <c r="E103" s="12" t="s">
        <v>2601</v>
      </c>
      <c r="F103" s="30" t="n">
        <v>1</v>
      </c>
      <c r="G103" s="30" t="n">
        <v>1</v>
      </c>
      <c r="H103" s="19" t="n">
        <v>5000</v>
      </c>
      <c r="I103" s="23" t="n">
        <f aca="false">F103*G103*H103</f>
        <v>5000</v>
      </c>
      <c r="J103" s="12" t="s">
        <v>3854</v>
      </c>
      <c r="K103" s="12" t="s">
        <v>2942</v>
      </c>
      <c r="L103" s="12" t="s">
        <v>2796</v>
      </c>
      <c r="M103" s="4"/>
    </row>
    <row r="104" customFormat="false" ht="23.85" hidden="false" customHeight="false" outlineLevel="0" collapsed="false">
      <c r="A104" s="4" t="s">
        <v>3846</v>
      </c>
      <c r="B104" s="12" t="s">
        <v>2930</v>
      </c>
      <c r="C104" s="4" t="s">
        <v>2944</v>
      </c>
      <c r="D104" s="12" t="s">
        <v>2808</v>
      </c>
      <c r="E104" s="12" t="s">
        <v>2477</v>
      </c>
      <c r="F104" s="30" t="n">
        <v>1000</v>
      </c>
      <c r="G104" s="30" t="n">
        <v>1</v>
      </c>
      <c r="H104" s="19" t="n">
        <v>2.5</v>
      </c>
      <c r="I104" s="23" t="n">
        <f aca="false">F104*G104*H104</f>
        <v>2500</v>
      </c>
      <c r="J104" s="12" t="s">
        <v>3854</v>
      </c>
      <c r="K104" s="12" t="s">
        <v>2805</v>
      </c>
      <c r="L104" s="12"/>
      <c r="M104" s="4" t="s">
        <v>3949</v>
      </c>
    </row>
    <row r="105" customFormat="false" ht="23.85" hidden="false" customHeight="false" outlineLevel="0" collapsed="false">
      <c r="A105" s="4" t="s">
        <v>3846</v>
      </c>
      <c r="B105" s="12" t="s">
        <v>2930</v>
      </c>
      <c r="C105" s="4" t="s">
        <v>2946</v>
      </c>
      <c r="D105" s="12" t="s">
        <v>2808</v>
      </c>
      <c r="E105" s="12" t="s">
        <v>2661</v>
      </c>
      <c r="F105" s="30" t="n">
        <v>4</v>
      </c>
      <c r="G105" s="30" t="n">
        <v>1</v>
      </c>
      <c r="H105" s="19" t="n">
        <v>450</v>
      </c>
      <c r="I105" s="23" t="n">
        <f aca="false">F105*G105*H105</f>
        <v>1800</v>
      </c>
      <c r="J105" s="12" t="s">
        <v>3854</v>
      </c>
      <c r="K105" s="12" t="s">
        <v>2805</v>
      </c>
      <c r="L105" s="12"/>
      <c r="M105" s="4"/>
    </row>
    <row r="106" customFormat="false" ht="23.85" hidden="false" customHeight="false" outlineLevel="0" collapsed="false">
      <c r="A106" s="4" t="s">
        <v>3846</v>
      </c>
      <c r="B106" s="12" t="s">
        <v>2930</v>
      </c>
      <c r="C106" s="4" t="s">
        <v>3738</v>
      </c>
      <c r="D106" s="12" t="s">
        <v>2808</v>
      </c>
      <c r="E106" s="12" t="s">
        <v>2528</v>
      </c>
      <c r="F106" s="30" t="n">
        <v>40</v>
      </c>
      <c r="G106" s="30" t="n">
        <v>1</v>
      </c>
      <c r="H106" s="19" t="n">
        <v>65</v>
      </c>
      <c r="I106" s="23" t="n">
        <f aca="false">F106*G106*H106</f>
        <v>2600</v>
      </c>
      <c r="J106" s="12" t="s">
        <v>3854</v>
      </c>
      <c r="K106" s="12" t="s">
        <v>2949</v>
      </c>
      <c r="L106" s="12" t="s">
        <v>2950</v>
      </c>
      <c r="M106" s="4"/>
    </row>
    <row r="108" customFormat="false" ht="15" hidden="false" customHeight="false" outlineLevel="0" collapsed="false">
      <c r="A108" s="10" t="s">
        <v>2952</v>
      </c>
      <c r="B108" s="23" t="n">
        <f aca="false">SUMIFS($I$92:$I$106,$B$92:$B$106,"Custos de administração")</f>
        <v>36560</v>
      </c>
      <c r="C108" s="13" t="n">
        <f aca="false">B17</f>
        <v>38399.46</v>
      </c>
      <c r="D108" s="23" t="n">
        <f aca="false">C108-B108</f>
        <v>1839.46</v>
      </c>
      <c r="E108" s="12" t="str">
        <f aca="false">IF(D108&gt;=0,"OK","EXCEDE")</f>
        <v>OK</v>
      </c>
    </row>
    <row r="109" customFormat="false" ht="15" hidden="false" customHeight="false" outlineLevel="0" collapsed="false">
      <c r="A109" s="10" t="s">
        <v>2953</v>
      </c>
      <c r="B109" s="23" t="n">
        <f aca="false">SUMIFS($I$92:$I$106,$B$92:$B$106,"Custos de acessibilidade, comunicação e divulgação")</f>
        <v>51700</v>
      </c>
      <c r="C109" s="13" t="n">
        <f aca="false">B18</f>
        <v>57599.19</v>
      </c>
      <c r="D109" s="23" t="n">
        <f aca="false">C109-B109</f>
        <v>5899.19</v>
      </c>
      <c r="E109" s="12" t="str">
        <f aca="false">IF(D109&gt;=0,"OK","EXCEDE")</f>
        <v>OK</v>
      </c>
    </row>
    <row r="110" customFormat="false" ht="15" hidden="false" customHeight="false" outlineLevel="0" collapsed="false">
      <c r="A110" s="14" t="s">
        <v>2954</v>
      </c>
    </row>
    <row r="112" customFormat="false" ht="15" hidden="false" customHeight="false" outlineLevel="0" collapsed="false">
      <c r="A112" s="22" t="s">
        <v>2955</v>
      </c>
    </row>
    <row r="113" customFormat="false" ht="30" hidden="false" customHeight="true" outlineLevel="0" collapsed="false">
      <c r="A113" s="21" t="s">
        <v>3950</v>
      </c>
      <c r="B113" s="21"/>
      <c r="C113" s="21"/>
      <c r="D113" s="21"/>
      <c r="E113" s="21"/>
      <c r="F113" s="21"/>
      <c r="G113" s="21"/>
      <c r="H113" s="21"/>
      <c r="I113" s="21"/>
      <c r="J113" s="21"/>
      <c r="K113" s="21"/>
      <c r="L113" s="21"/>
      <c r="M113" s="21"/>
    </row>
    <row r="114" customFormat="false" ht="30" hidden="false" customHeight="true" outlineLevel="0" collapsed="false">
      <c r="A114" s="21" t="s">
        <v>3951</v>
      </c>
      <c r="B114" s="21"/>
      <c r="C114" s="21"/>
      <c r="D114" s="21"/>
      <c r="E114" s="21"/>
      <c r="F114" s="21"/>
      <c r="G114" s="21"/>
      <c r="H114" s="21"/>
      <c r="I114" s="21"/>
      <c r="J114" s="21"/>
      <c r="K114" s="21"/>
      <c r="L114" s="21"/>
      <c r="M114" s="21"/>
    </row>
    <row r="115" customFormat="false" ht="30" hidden="false" customHeight="true" outlineLevel="0" collapsed="false">
      <c r="A115" s="21" t="s">
        <v>3952</v>
      </c>
      <c r="B115" s="21"/>
      <c r="C115" s="21"/>
      <c r="D115" s="21"/>
      <c r="E115" s="21"/>
      <c r="F115" s="21"/>
      <c r="G115" s="21"/>
      <c r="H115" s="21"/>
      <c r="I115" s="21"/>
      <c r="J115" s="21"/>
      <c r="K115" s="21"/>
      <c r="L115" s="21"/>
      <c r="M115" s="21"/>
    </row>
    <row r="116" customFormat="false" ht="30" hidden="false" customHeight="true" outlineLevel="0" collapsed="false">
      <c r="A116" s="21" t="s">
        <v>3953</v>
      </c>
      <c r="B116" s="21"/>
      <c r="C116" s="21"/>
      <c r="D116" s="21"/>
      <c r="E116" s="21"/>
      <c r="F116" s="21"/>
      <c r="G116" s="21"/>
      <c r="H116" s="21"/>
      <c r="I116" s="21"/>
      <c r="J116" s="21"/>
      <c r="K116" s="21"/>
      <c r="L116" s="21"/>
      <c r="M116" s="21"/>
    </row>
    <row r="117" customFormat="false" ht="30" hidden="false" customHeight="true" outlineLevel="0" collapsed="false">
      <c r="A117" s="21" t="s">
        <v>3954</v>
      </c>
      <c r="B117" s="21"/>
      <c r="C117" s="21"/>
      <c r="D117" s="21"/>
      <c r="E117" s="21"/>
      <c r="F117" s="21"/>
      <c r="G117" s="21"/>
      <c r="H117" s="21"/>
      <c r="I117" s="21"/>
      <c r="J117" s="21"/>
      <c r="K117" s="21"/>
      <c r="L117" s="21"/>
      <c r="M117" s="21"/>
    </row>
    <row r="118" customFormat="false" ht="30" hidden="false" customHeight="true" outlineLevel="0" collapsed="false">
      <c r="A118" s="21" t="s">
        <v>3955</v>
      </c>
      <c r="B118" s="21"/>
      <c r="C118" s="21"/>
      <c r="D118" s="21"/>
      <c r="E118" s="21"/>
      <c r="F118" s="21"/>
      <c r="G118" s="21"/>
      <c r="H118" s="21"/>
      <c r="I118" s="21"/>
      <c r="J118" s="21"/>
      <c r="K118" s="21"/>
      <c r="L118" s="21"/>
      <c r="M118" s="21"/>
    </row>
    <row r="119" customFormat="false" ht="30" hidden="false" customHeight="true" outlineLevel="0" collapsed="false">
      <c r="A119" s="21" t="s">
        <v>3956</v>
      </c>
      <c r="B119" s="21"/>
      <c r="C119" s="21"/>
      <c r="D119" s="21"/>
      <c r="E119" s="21"/>
      <c r="F119" s="21"/>
      <c r="G119" s="21"/>
      <c r="H119" s="21"/>
      <c r="I119" s="21"/>
      <c r="J119" s="21"/>
      <c r="K119" s="21"/>
      <c r="L119" s="21"/>
      <c r="M119" s="21"/>
    </row>
    <row r="120" customFormat="false" ht="30" hidden="false" customHeight="true" outlineLevel="0" collapsed="false">
      <c r="A120" s="21" t="s">
        <v>3957</v>
      </c>
      <c r="B120" s="21"/>
      <c r="C120" s="21"/>
      <c r="D120" s="21"/>
      <c r="E120" s="21"/>
      <c r="F120" s="21"/>
      <c r="G120" s="21"/>
      <c r="H120" s="21"/>
      <c r="I120" s="21"/>
      <c r="J120" s="21"/>
      <c r="K120" s="21"/>
      <c r="L120" s="21"/>
      <c r="M120" s="21"/>
    </row>
    <row r="121" customFormat="false" ht="15" hidden="false" customHeight="true" outlineLevel="0" collapsed="false">
      <c r="A121" s="21" t="s">
        <v>3958</v>
      </c>
      <c r="B121" s="21"/>
      <c r="C121" s="21"/>
      <c r="D121" s="21"/>
      <c r="E121" s="21"/>
      <c r="F121" s="21"/>
      <c r="G121" s="21"/>
      <c r="H121" s="21"/>
      <c r="I121" s="21"/>
      <c r="J121" s="21"/>
      <c r="K121" s="21"/>
      <c r="L121" s="21"/>
      <c r="M121" s="21"/>
    </row>
    <row r="123" customFormat="false" ht="15" hidden="false" customHeight="false" outlineLevel="0" collapsed="false">
      <c r="A123" s="22" t="s">
        <v>2964</v>
      </c>
      <c r="B123" s="19" t="n">
        <v>160000</v>
      </c>
    </row>
    <row r="124" customFormat="false" ht="75" hidden="false" customHeight="true" outlineLevel="0" collapsed="false">
      <c r="A124" s="21" t="s">
        <v>3959</v>
      </c>
      <c r="B124" s="21"/>
      <c r="C124" s="21"/>
      <c r="D124" s="21"/>
      <c r="E124" s="21"/>
      <c r="F124" s="21"/>
      <c r="G124" s="21"/>
      <c r="H124" s="21"/>
      <c r="I124" s="21"/>
      <c r="J124" s="21"/>
      <c r="K124" s="21"/>
      <c r="L124" s="21"/>
      <c r="M124" s="21"/>
    </row>
  </sheetData>
  <mergeCells count="15">
    <mergeCell ref="B2:M2"/>
    <mergeCell ref="B3:M3"/>
    <mergeCell ref="B4:M4"/>
    <mergeCell ref="B5:M5"/>
    <mergeCell ref="B6:M6"/>
    <mergeCell ref="A113:M113"/>
    <mergeCell ref="A114:M114"/>
    <mergeCell ref="A115:M115"/>
    <mergeCell ref="A116:M116"/>
    <mergeCell ref="A117:M117"/>
    <mergeCell ref="A118:M118"/>
    <mergeCell ref="A119:M119"/>
    <mergeCell ref="A120:M120"/>
    <mergeCell ref="A121:M121"/>
    <mergeCell ref="A124:M124"/>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87">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92:L106">
    <cfRule type="expression" priority="11" aboveAverage="0" equalAverage="0" bottom="0" percent="0" rank="0" text="" dxfId="2">
      <formula>LEFT(L92,5)="ACIMA"</formula>
    </cfRule>
  </conditionalFormatting>
  <conditionalFormatting sqref="E108:E109">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ISNUMBER(SEARCH("EXCEDE",E108))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3960</v>
      </c>
    </row>
    <row r="2" customFormat="false" ht="30" hidden="false" customHeight="true" outlineLevel="0" collapsed="false">
      <c r="A2" s="22" t="s">
        <v>2748</v>
      </c>
      <c r="B2" s="21" t="s">
        <v>3961</v>
      </c>
      <c r="C2" s="21"/>
      <c r="D2" s="21"/>
      <c r="E2" s="21"/>
      <c r="F2" s="21"/>
      <c r="G2" s="21"/>
      <c r="H2" s="21"/>
      <c r="I2" s="21"/>
      <c r="J2" s="21"/>
      <c r="K2" s="21"/>
      <c r="L2" s="21"/>
      <c r="M2" s="21"/>
    </row>
    <row r="3" customFormat="false" ht="30" hidden="false" customHeight="true" outlineLevel="0" collapsed="false">
      <c r="A3" s="22" t="s">
        <v>2750</v>
      </c>
      <c r="B3" s="21" t="s">
        <v>3962</v>
      </c>
      <c r="C3" s="21"/>
      <c r="D3" s="21"/>
      <c r="E3" s="21"/>
      <c r="F3" s="21"/>
      <c r="G3" s="21"/>
      <c r="H3" s="21"/>
      <c r="I3" s="21"/>
      <c r="J3" s="21"/>
      <c r="K3" s="21"/>
      <c r="L3" s="21"/>
      <c r="M3" s="21"/>
    </row>
    <row r="4" customFormat="false" ht="30" hidden="false" customHeight="true" outlineLevel="0" collapsed="false">
      <c r="A4" s="22" t="s">
        <v>2752</v>
      </c>
      <c r="B4" s="21" t="s">
        <v>3963</v>
      </c>
      <c r="C4" s="21"/>
      <c r="D4" s="21"/>
      <c r="E4" s="21"/>
      <c r="F4" s="21"/>
      <c r="G4" s="21"/>
      <c r="H4" s="21"/>
      <c r="I4" s="21"/>
      <c r="J4" s="21"/>
      <c r="K4" s="21"/>
      <c r="L4" s="21"/>
      <c r="M4" s="21"/>
    </row>
    <row r="5" customFormat="false" ht="30" hidden="false" customHeight="true" outlineLevel="0" collapsed="false">
      <c r="A5" s="22" t="s">
        <v>2754</v>
      </c>
      <c r="B5" s="21" t="s">
        <v>3964</v>
      </c>
      <c r="C5" s="21"/>
      <c r="D5" s="21"/>
      <c r="E5" s="21"/>
      <c r="F5" s="21"/>
      <c r="G5" s="21"/>
      <c r="H5" s="21"/>
      <c r="I5" s="21"/>
      <c r="J5" s="21"/>
      <c r="K5" s="21"/>
      <c r="L5" s="21"/>
      <c r="M5" s="21"/>
    </row>
    <row r="6" customFormat="false" ht="30" hidden="false" customHeight="true" outlineLevel="0" collapsed="false">
      <c r="A6" s="22" t="s">
        <v>2756</v>
      </c>
      <c r="B6" s="21" t="s">
        <v>3965</v>
      </c>
      <c r="C6" s="21"/>
      <c r="D6" s="21"/>
      <c r="E6" s="21"/>
      <c r="F6" s="21"/>
      <c r="G6" s="21"/>
      <c r="H6" s="21"/>
      <c r="I6" s="21"/>
      <c r="J6" s="21"/>
      <c r="K6" s="21"/>
      <c r="L6" s="21"/>
      <c r="M6" s="21"/>
    </row>
    <row r="7" customFormat="false" ht="15" hidden="false" customHeight="false" outlineLevel="0" collapsed="false">
      <c r="A7" s="22" t="s">
        <v>2758</v>
      </c>
      <c r="B7" s="19" t="n">
        <v>250000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SUMIFS($I$26:$I$72,$B$26:$B$72,A11)</f>
        <v>36532</v>
      </c>
      <c r="C11" s="24" t="n">
        <f aca="false">IF($B$16=0,0,B11/$B$16)</f>
        <v>0.185582931165862</v>
      </c>
    </row>
    <row r="12" customFormat="false" ht="15" hidden="false" customHeight="false" outlineLevel="0" collapsed="false">
      <c r="A12" s="12" t="s">
        <v>2765</v>
      </c>
      <c r="B12" s="23" t="n">
        <f aca="false">SUMIFS($I$26:$I$72,$B$26:$B$72,A12)</f>
        <v>137602</v>
      </c>
      <c r="C12" s="24" t="n">
        <f aca="false">IF($B$16=0,0,B12/$B$16)</f>
        <v>0.699019558039116</v>
      </c>
    </row>
    <row r="13" customFormat="false" ht="15" hidden="false" customHeight="false" outlineLevel="0" collapsed="false">
      <c r="A13" s="12" t="s">
        <v>2766</v>
      </c>
      <c r="B13" s="23" t="n">
        <f aca="false">SUMIFS($I$26:$I$72,$B$26:$B$72,A13)</f>
        <v>4000</v>
      </c>
      <c r="C13" s="24" t="n">
        <f aca="false">IF($B$16=0,0,B13/$B$16)</f>
        <v>0.0203200406400813</v>
      </c>
    </row>
    <row r="14" customFormat="false" ht="15" hidden="false" customHeight="false" outlineLevel="0" collapsed="false">
      <c r="A14" s="12" t="s">
        <v>2767</v>
      </c>
      <c r="B14" s="23" t="n">
        <f aca="false">SUMIFS($I$26:$I$72,$B$26:$B$72,A14)</f>
        <v>10000</v>
      </c>
      <c r="C14" s="24" t="n">
        <f aca="false">IF($B$16=0,0,B14/$B$16)</f>
        <v>0.0508001016002032</v>
      </c>
    </row>
    <row r="15" customFormat="false" ht="15" hidden="false" customHeight="false" outlineLevel="0" collapsed="false">
      <c r="A15" s="12" t="s">
        <v>2768</v>
      </c>
      <c r="B15" s="23" t="n">
        <f aca="false">SUMIFS($I$26:$I$72,$B$26:$B$72,A15)</f>
        <v>8716</v>
      </c>
      <c r="C15" s="24" t="n">
        <f aca="false">IF($B$16=0,0,B15/$B$16)</f>
        <v>0.0442773685547371</v>
      </c>
    </row>
    <row r="16" customFormat="false" ht="15" hidden="false" customHeight="false" outlineLevel="0" collapsed="false">
      <c r="A16" s="25" t="s">
        <v>2769</v>
      </c>
      <c r="B16" s="26" t="n">
        <f aca="false">SUM(B11:B15)</f>
        <v>196850</v>
      </c>
    </row>
    <row r="17" customFormat="false" ht="23.85" hidden="false" customHeight="false" outlineLevel="0" collapsed="false">
      <c r="A17" s="4" t="s">
        <v>2770</v>
      </c>
      <c r="B17" s="23" t="n">
        <f aca="false">$B$16*C17</f>
        <v>11811</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21653.5</v>
      </c>
      <c r="C18" s="27" t="n">
        <v>0.11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19685</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249999.5</v>
      </c>
    </row>
    <row r="21" customFormat="false" ht="15" hidden="false" customHeight="false" outlineLevel="0" collapsed="false">
      <c r="A21" s="12" t="s">
        <v>2774</v>
      </c>
      <c r="B21" s="23" t="n">
        <f aca="false">B20-B7</f>
        <v>-0.5</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35.05" hidden="false" customHeight="false" outlineLevel="0" collapsed="false">
      <c r="A26" s="4" t="s">
        <v>3966</v>
      </c>
      <c r="B26" s="12" t="s">
        <v>2764</v>
      </c>
      <c r="C26" s="4" t="s">
        <v>3967</v>
      </c>
      <c r="D26" s="12" t="s">
        <v>2793</v>
      </c>
      <c r="E26" s="12" t="s">
        <v>2484</v>
      </c>
      <c r="F26" s="29" t="n">
        <v>1</v>
      </c>
      <c r="G26" s="29" t="n">
        <v>1</v>
      </c>
      <c r="H26" s="19" t="n">
        <v>7000</v>
      </c>
      <c r="I26" s="23" t="n">
        <f aca="false">F26*G26*H26</f>
        <v>7000</v>
      </c>
      <c r="J26" s="12" t="s">
        <v>2794</v>
      </c>
      <c r="K26" s="12" t="s">
        <v>2795</v>
      </c>
      <c r="L26" s="12" t="s">
        <v>2796</v>
      </c>
      <c r="M26" s="4" t="s">
        <v>3968</v>
      </c>
    </row>
    <row r="27" customFormat="false" ht="35.05" hidden="false" customHeight="false" outlineLevel="0" collapsed="false">
      <c r="A27" s="4" t="s">
        <v>3966</v>
      </c>
      <c r="B27" s="12" t="s">
        <v>2765</v>
      </c>
      <c r="C27" s="4" t="s">
        <v>3967</v>
      </c>
      <c r="D27" s="12" t="s">
        <v>2793</v>
      </c>
      <c r="E27" s="12" t="s">
        <v>2484</v>
      </c>
      <c r="F27" s="29" t="n">
        <v>1</v>
      </c>
      <c r="G27" s="29" t="n">
        <v>2</v>
      </c>
      <c r="H27" s="19" t="n">
        <v>7000</v>
      </c>
      <c r="I27" s="23" t="n">
        <f aca="false">F27*G27*H27</f>
        <v>14000</v>
      </c>
      <c r="J27" s="12" t="s">
        <v>2794</v>
      </c>
      <c r="K27" s="12" t="s">
        <v>2795</v>
      </c>
      <c r="L27" s="12" t="s">
        <v>2796</v>
      </c>
      <c r="M27" s="4" t="s">
        <v>3969</v>
      </c>
    </row>
    <row r="28" customFormat="false" ht="35.05" hidden="false" customHeight="false" outlineLevel="0" collapsed="false">
      <c r="A28" s="4" t="s">
        <v>3966</v>
      </c>
      <c r="B28" s="12" t="s">
        <v>2764</v>
      </c>
      <c r="C28" s="4" t="s">
        <v>2801</v>
      </c>
      <c r="D28" s="12" t="s">
        <v>2793</v>
      </c>
      <c r="E28" s="12" t="s">
        <v>2484</v>
      </c>
      <c r="F28" s="29" t="n">
        <v>1</v>
      </c>
      <c r="G28" s="29" t="n">
        <v>1</v>
      </c>
      <c r="H28" s="19" t="n">
        <v>5500</v>
      </c>
      <c r="I28" s="23" t="n">
        <f aca="false">F28*G28*H28</f>
        <v>5500</v>
      </c>
      <c r="J28" s="12" t="s">
        <v>2794</v>
      </c>
      <c r="K28" s="12" t="s">
        <v>2795</v>
      </c>
      <c r="L28" s="12" t="s">
        <v>2796</v>
      </c>
      <c r="M28" s="4" t="s">
        <v>3970</v>
      </c>
    </row>
    <row r="29" customFormat="false" ht="35.05" hidden="false" customHeight="false" outlineLevel="0" collapsed="false">
      <c r="A29" s="4" t="s">
        <v>3966</v>
      </c>
      <c r="B29" s="12" t="s">
        <v>2764</v>
      </c>
      <c r="C29" s="4" t="s">
        <v>3971</v>
      </c>
      <c r="D29" s="12" t="s">
        <v>2804</v>
      </c>
      <c r="E29" s="12" t="s">
        <v>2597</v>
      </c>
      <c r="F29" s="29" t="n">
        <v>1</v>
      </c>
      <c r="G29" s="29" t="n">
        <v>1</v>
      </c>
      <c r="H29" s="19" t="n">
        <v>8000</v>
      </c>
      <c r="I29" s="23" t="n">
        <f aca="false">F29*G29*H29</f>
        <v>8000</v>
      </c>
      <c r="J29" s="12" t="s">
        <v>2794</v>
      </c>
      <c r="K29" s="12" t="s">
        <v>2805</v>
      </c>
      <c r="L29" s="12"/>
      <c r="M29" s="4" t="s">
        <v>3972</v>
      </c>
    </row>
    <row r="30" customFormat="false" ht="35.05" hidden="false" customHeight="false" outlineLevel="0" collapsed="false">
      <c r="A30" s="4" t="s">
        <v>3966</v>
      </c>
      <c r="B30" s="12" t="s">
        <v>2764</v>
      </c>
      <c r="C30" s="4" t="s">
        <v>3973</v>
      </c>
      <c r="D30" s="12" t="s">
        <v>2882</v>
      </c>
      <c r="E30" s="12" t="s">
        <v>2601</v>
      </c>
      <c r="F30" s="29" t="n">
        <v>1</v>
      </c>
      <c r="G30" s="29" t="n">
        <v>1</v>
      </c>
      <c r="H30" s="19" t="n">
        <v>8132</v>
      </c>
      <c r="I30" s="23" t="n">
        <f aca="false">F30*G30*H30</f>
        <v>8132</v>
      </c>
      <c r="J30" s="12" t="s">
        <v>2794</v>
      </c>
      <c r="K30" s="12" t="s">
        <v>2805</v>
      </c>
      <c r="L30" s="12"/>
      <c r="M30" s="4" t="s">
        <v>3974</v>
      </c>
    </row>
    <row r="31" customFormat="false" ht="35.05" hidden="false" customHeight="false" outlineLevel="0" collapsed="false">
      <c r="A31" s="4" t="s">
        <v>3966</v>
      </c>
      <c r="B31" s="12" t="s">
        <v>2764</v>
      </c>
      <c r="C31" s="4" t="s">
        <v>3975</v>
      </c>
      <c r="D31" s="12" t="s">
        <v>2808</v>
      </c>
      <c r="E31" s="12" t="s">
        <v>2477</v>
      </c>
      <c r="F31" s="29" t="n">
        <v>10</v>
      </c>
      <c r="G31" s="29" t="n">
        <v>1</v>
      </c>
      <c r="H31" s="19" t="n">
        <v>350</v>
      </c>
      <c r="I31" s="23" t="n">
        <f aca="false">F31*G31*H31</f>
        <v>3500</v>
      </c>
      <c r="J31" s="12" t="s">
        <v>2794</v>
      </c>
      <c r="K31" s="12" t="s">
        <v>3655</v>
      </c>
      <c r="L31" s="12" t="s">
        <v>2796</v>
      </c>
      <c r="M31" s="4" t="s">
        <v>3976</v>
      </c>
    </row>
    <row r="32" customFormat="false" ht="35.05" hidden="false" customHeight="false" outlineLevel="0" collapsed="false">
      <c r="A32" s="4" t="s">
        <v>3966</v>
      </c>
      <c r="B32" s="12" t="s">
        <v>2764</v>
      </c>
      <c r="C32" s="4" t="s">
        <v>3977</v>
      </c>
      <c r="D32" s="12" t="s">
        <v>2808</v>
      </c>
      <c r="E32" s="12" t="s">
        <v>2477</v>
      </c>
      <c r="F32" s="29" t="n">
        <v>40</v>
      </c>
      <c r="G32" s="29" t="n">
        <v>1</v>
      </c>
      <c r="H32" s="19" t="n">
        <v>35</v>
      </c>
      <c r="I32" s="23" t="n">
        <f aca="false">F32*G32*H32</f>
        <v>1400</v>
      </c>
      <c r="J32" s="12" t="s">
        <v>2794</v>
      </c>
      <c r="K32" s="12" t="s">
        <v>2805</v>
      </c>
      <c r="L32" s="12"/>
      <c r="M32" s="4" t="s">
        <v>3978</v>
      </c>
    </row>
    <row r="33" customFormat="false" ht="35.05" hidden="false" customHeight="false" outlineLevel="0" collapsed="false">
      <c r="A33" s="4" t="s">
        <v>3966</v>
      </c>
      <c r="B33" s="12" t="s">
        <v>2764</v>
      </c>
      <c r="C33" s="4" t="s">
        <v>3979</v>
      </c>
      <c r="D33" s="12" t="s">
        <v>2882</v>
      </c>
      <c r="E33" s="12" t="s">
        <v>2601</v>
      </c>
      <c r="F33" s="29" t="n">
        <v>1</v>
      </c>
      <c r="G33" s="29" t="n">
        <v>1</v>
      </c>
      <c r="H33" s="19" t="n">
        <v>3000</v>
      </c>
      <c r="I33" s="23" t="n">
        <f aca="false">F33*G33*H33</f>
        <v>3000</v>
      </c>
      <c r="J33" s="12" t="s">
        <v>2794</v>
      </c>
      <c r="K33" s="12" t="s">
        <v>2805</v>
      </c>
      <c r="L33" s="12"/>
      <c r="M33" s="4" t="s">
        <v>3980</v>
      </c>
    </row>
    <row r="34" customFormat="false" ht="35.05" hidden="false" customHeight="false" outlineLevel="0" collapsed="false">
      <c r="A34" s="4" t="s">
        <v>3966</v>
      </c>
      <c r="B34" s="12" t="s">
        <v>2765</v>
      </c>
      <c r="C34" s="4" t="s">
        <v>2493</v>
      </c>
      <c r="D34" s="12" t="s">
        <v>2793</v>
      </c>
      <c r="E34" s="12" t="s">
        <v>2484</v>
      </c>
      <c r="F34" s="29" t="n">
        <v>1</v>
      </c>
      <c r="G34" s="29" t="n">
        <v>1</v>
      </c>
      <c r="H34" s="19" t="n">
        <v>3000</v>
      </c>
      <c r="I34" s="23" t="n">
        <f aca="false">F34*G34*H34</f>
        <v>3000</v>
      </c>
      <c r="J34" s="12" t="s">
        <v>2794</v>
      </c>
      <c r="K34" s="12" t="s">
        <v>2818</v>
      </c>
      <c r="L34" s="12" t="s">
        <v>2796</v>
      </c>
      <c r="M34" s="4" t="s">
        <v>3981</v>
      </c>
    </row>
    <row r="35" customFormat="false" ht="35.05" hidden="false" customHeight="false" outlineLevel="0" collapsed="false">
      <c r="A35" s="4" t="s">
        <v>3982</v>
      </c>
      <c r="B35" s="12" t="s">
        <v>2765</v>
      </c>
      <c r="C35" s="4" t="s">
        <v>3983</v>
      </c>
      <c r="D35" s="12" t="s">
        <v>2808</v>
      </c>
      <c r="E35" s="12" t="s">
        <v>2501</v>
      </c>
      <c r="F35" s="29" t="n">
        <v>2</v>
      </c>
      <c r="G35" s="29" t="n">
        <v>9</v>
      </c>
      <c r="H35" s="19" t="n">
        <v>130</v>
      </c>
      <c r="I35" s="23" t="n">
        <f aca="false">F35*G35*H35</f>
        <v>2340</v>
      </c>
      <c r="J35" s="12" t="s">
        <v>2794</v>
      </c>
      <c r="K35" s="12" t="s">
        <v>2821</v>
      </c>
      <c r="L35" s="12" t="s">
        <v>2796</v>
      </c>
      <c r="M35" s="4" t="s">
        <v>3984</v>
      </c>
    </row>
    <row r="36" customFormat="false" ht="35.05" hidden="false" customHeight="false" outlineLevel="0" collapsed="false">
      <c r="A36" s="4" t="s">
        <v>3982</v>
      </c>
      <c r="B36" s="12" t="s">
        <v>2765</v>
      </c>
      <c r="C36" s="4" t="s">
        <v>3985</v>
      </c>
      <c r="D36" s="12" t="s">
        <v>2808</v>
      </c>
      <c r="E36" s="12" t="s">
        <v>2501</v>
      </c>
      <c r="F36" s="29" t="n">
        <v>2</v>
      </c>
      <c r="G36" s="29" t="n">
        <v>9</v>
      </c>
      <c r="H36" s="19" t="n">
        <v>130</v>
      </c>
      <c r="I36" s="23" t="n">
        <f aca="false">F36*G36*H36</f>
        <v>2340</v>
      </c>
      <c r="J36" s="12" t="s">
        <v>2794</v>
      </c>
      <c r="K36" s="12" t="s">
        <v>2821</v>
      </c>
      <c r="L36" s="12" t="s">
        <v>2796</v>
      </c>
      <c r="M36" s="4" t="s">
        <v>3986</v>
      </c>
    </row>
    <row r="37" customFormat="false" ht="35.05" hidden="false" customHeight="false" outlineLevel="0" collapsed="false">
      <c r="A37" s="4" t="s">
        <v>3982</v>
      </c>
      <c r="B37" s="12" t="s">
        <v>2765</v>
      </c>
      <c r="C37" s="4" t="s">
        <v>3987</v>
      </c>
      <c r="D37" s="12" t="s">
        <v>2808</v>
      </c>
      <c r="E37" s="12" t="s">
        <v>2477</v>
      </c>
      <c r="F37" s="29" t="n">
        <v>20</v>
      </c>
      <c r="G37" s="29" t="n">
        <v>1</v>
      </c>
      <c r="H37" s="19" t="n">
        <v>250</v>
      </c>
      <c r="I37" s="23" t="n">
        <f aca="false">F37*G37*H37</f>
        <v>5000</v>
      </c>
      <c r="J37" s="12" t="s">
        <v>2794</v>
      </c>
      <c r="K37" s="12" t="s">
        <v>2805</v>
      </c>
      <c r="L37" s="12"/>
      <c r="M37" s="4" t="s">
        <v>3988</v>
      </c>
    </row>
    <row r="38" customFormat="false" ht="35.05" hidden="false" customHeight="false" outlineLevel="0" collapsed="false">
      <c r="A38" s="4" t="s">
        <v>3982</v>
      </c>
      <c r="B38" s="12" t="s">
        <v>2765</v>
      </c>
      <c r="C38" s="4" t="s">
        <v>3989</v>
      </c>
      <c r="D38" s="12" t="s">
        <v>2808</v>
      </c>
      <c r="E38" s="12" t="s">
        <v>2831</v>
      </c>
      <c r="F38" s="29" t="n">
        <v>60</v>
      </c>
      <c r="G38" s="29" t="n">
        <v>1</v>
      </c>
      <c r="H38" s="19" t="n">
        <v>50</v>
      </c>
      <c r="I38" s="23" t="n">
        <f aca="false">F38*G38*H38</f>
        <v>3000</v>
      </c>
      <c r="J38" s="12" t="s">
        <v>2794</v>
      </c>
      <c r="K38" s="12" t="s">
        <v>2805</v>
      </c>
      <c r="L38" s="12"/>
      <c r="M38" s="4" t="s">
        <v>3990</v>
      </c>
    </row>
    <row r="39" customFormat="false" ht="35.05" hidden="false" customHeight="false" outlineLevel="0" collapsed="false">
      <c r="A39" s="4" t="s">
        <v>3982</v>
      </c>
      <c r="B39" s="12" t="s">
        <v>2765</v>
      </c>
      <c r="C39" s="4" t="s">
        <v>2840</v>
      </c>
      <c r="D39" s="12" t="s">
        <v>2808</v>
      </c>
      <c r="E39" s="12" t="s">
        <v>2477</v>
      </c>
      <c r="F39" s="29" t="n">
        <v>120</v>
      </c>
      <c r="G39" s="29" t="n">
        <v>3</v>
      </c>
      <c r="H39" s="19" t="n">
        <v>8</v>
      </c>
      <c r="I39" s="23" t="n">
        <f aca="false">F39*G39*H39</f>
        <v>2880</v>
      </c>
      <c r="J39" s="12" t="s">
        <v>2794</v>
      </c>
      <c r="K39" s="12" t="s">
        <v>2805</v>
      </c>
      <c r="L39" s="12"/>
      <c r="M39" s="4" t="s">
        <v>3895</v>
      </c>
    </row>
    <row r="40" customFormat="false" ht="35.05" hidden="false" customHeight="false" outlineLevel="0" collapsed="false">
      <c r="A40" s="4" t="s">
        <v>3982</v>
      </c>
      <c r="B40" s="12" t="s">
        <v>2765</v>
      </c>
      <c r="C40" s="4" t="s">
        <v>3430</v>
      </c>
      <c r="D40" s="12" t="s">
        <v>2808</v>
      </c>
      <c r="E40" s="12" t="s">
        <v>2477</v>
      </c>
      <c r="F40" s="29" t="n">
        <v>120</v>
      </c>
      <c r="G40" s="29" t="n">
        <v>1</v>
      </c>
      <c r="H40" s="19" t="n">
        <v>8</v>
      </c>
      <c r="I40" s="23" t="n">
        <f aca="false">F40*G40*H40</f>
        <v>960</v>
      </c>
      <c r="J40" s="12" t="s">
        <v>2794</v>
      </c>
      <c r="K40" s="12" t="s">
        <v>2805</v>
      </c>
      <c r="L40" s="12"/>
      <c r="M40" s="4"/>
    </row>
    <row r="41" customFormat="false" ht="35.05" hidden="false" customHeight="false" outlineLevel="0" collapsed="false">
      <c r="A41" s="4" t="s">
        <v>3966</v>
      </c>
      <c r="B41" s="12" t="s">
        <v>2765</v>
      </c>
      <c r="C41" s="4" t="s">
        <v>3991</v>
      </c>
      <c r="D41" s="12" t="s">
        <v>2855</v>
      </c>
      <c r="E41" s="12" t="s">
        <v>2516</v>
      </c>
      <c r="F41" s="29" t="n">
        <v>10</v>
      </c>
      <c r="G41" s="29" t="n">
        <v>1</v>
      </c>
      <c r="H41" s="19" t="n">
        <v>1200</v>
      </c>
      <c r="I41" s="23" t="n">
        <f aca="false">F41*G41*H41</f>
        <v>12000</v>
      </c>
      <c r="J41" s="12" t="s">
        <v>2794</v>
      </c>
      <c r="K41" s="12" t="s">
        <v>2848</v>
      </c>
      <c r="L41" s="12" t="s">
        <v>2796</v>
      </c>
      <c r="M41" s="4" t="s">
        <v>3992</v>
      </c>
    </row>
    <row r="42" customFormat="false" ht="35.05" hidden="false" customHeight="false" outlineLevel="0" collapsed="false">
      <c r="A42" s="4" t="s">
        <v>3966</v>
      </c>
      <c r="B42" s="12" t="s">
        <v>2765</v>
      </c>
      <c r="C42" s="4" t="s">
        <v>3993</v>
      </c>
      <c r="D42" s="12" t="s">
        <v>2855</v>
      </c>
      <c r="E42" s="12" t="s">
        <v>2516</v>
      </c>
      <c r="F42" s="29" t="n">
        <v>10</v>
      </c>
      <c r="G42" s="29" t="n">
        <v>2</v>
      </c>
      <c r="H42" s="19" t="n">
        <v>600</v>
      </c>
      <c r="I42" s="23" t="n">
        <f aca="false">F42*G42*H42</f>
        <v>12000</v>
      </c>
      <c r="J42" s="12" t="s">
        <v>2794</v>
      </c>
      <c r="K42" s="12" t="s">
        <v>2848</v>
      </c>
      <c r="L42" s="12" t="s">
        <v>2796</v>
      </c>
      <c r="M42" s="4" t="s">
        <v>3994</v>
      </c>
    </row>
    <row r="43" customFormat="false" ht="35.05" hidden="false" customHeight="false" outlineLevel="0" collapsed="false">
      <c r="A43" s="4" t="s">
        <v>3966</v>
      </c>
      <c r="B43" s="12" t="s">
        <v>2765</v>
      </c>
      <c r="C43" s="4" t="s">
        <v>3995</v>
      </c>
      <c r="D43" s="12" t="s">
        <v>2855</v>
      </c>
      <c r="E43" s="12" t="s">
        <v>2516</v>
      </c>
      <c r="F43" s="29" t="n">
        <v>4</v>
      </c>
      <c r="G43" s="29" t="n">
        <v>1</v>
      </c>
      <c r="H43" s="19" t="n">
        <v>1500</v>
      </c>
      <c r="I43" s="23" t="n">
        <f aca="false">F43*G43*H43</f>
        <v>6000</v>
      </c>
      <c r="J43" s="12" t="s">
        <v>2794</v>
      </c>
      <c r="K43" s="12" t="s">
        <v>3114</v>
      </c>
      <c r="L43" s="12" t="s">
        <v>2796</v>
      </c>
      <c r="M43" s="4" t="s">
        <v>3996</v>
      </c>
    </row>
    <row r="44" customFormat="false" ht="35.05" hidden="false" customHeight="false" outlineLevel="0" collapsed="false">
      <c r="A44" s="4" t="s">
        <v>3966</v>
      </c>
      <c r="B44" s="12" t="s">
        <v>2765</v>
      </c>
      <c r="C44" s="4" t="s">
        <v>3997</v>
      </c>
      <c r="D44" s="12" t="s">
        <v>2808</v>
      </c>
      <c r="E44" s="12" t="s">
        <v>2497</v>
      </c>
      <c r="F44" s="29" t="n">
        <v>1</v>
      </c>
      <c r="G44" s="29" t="n">
        <v>1</v>
      </c>
      <c r="H44" s="19" t="n">
        <v>14782</v>
      </c>
      <c r="I44" s="23" t="n">
        <f aca="false">F44*G44*H44</f>
        <v>14782</v>
      </c>
      <c r="J44" s="12" t="s">
        <v>2794</v>
      </c>
      <c r="K44" s="12" t="s">
        <v>2805</v>
      </c>
      <c r="L44" s="12"/>
      <c r="M44" s="4" t="s">
        <v>3998</v>
      </c>
    </row>
    <row r="45" customFormat="false" ht="35.05" hidden="false" customHeight="false" outlineLevel="0" collapsed="false">
      <c r="A45" s="4" t="s">
        <v>3966</v>
      </c>
      <c r="B45" s="12" t="s">
        <v>2765</v>
      </c>
      <c r="C45" s="4" t="s">
        <v>3999</v>
      </c>
      <c r="D45" s="12" t="s">
        <v>2808</v>
      </c>
      <c r="E45" s="12" t="s">
        <v>2497</v>
      </c>
      <c r="F45" s="29" t="n">
        <v>1</v>
      </c>
      <c r="G45" s="29" t="n">
        <v>2</v>
      </c>
      <c r="H45" s="19" t="n">
        <v>2500</v>
      </c>
      <c r="I45" s="23" t="n">
        <f aca="false">F45*G45*H45</f>
        <v>5000</v>
      </c>
      <c r="J45" s="12" t="s">
        <v>2794</v>
      </c>
      <c r="K45" s="12" t="s">
        <v>2863</v>
      </c>
      <c r="L45" s="12" t="s">
        <v>2796</v>
      </c>
      <c r="M45" s="4"/>
    </row>
    <row r="46" customFormat="false" ht="35.05" hidden="false" customHeight="false" outlineLevel="0" collapsed="false">
      <c r="A46" s="4" t="s">
        <v>3966</v>
      </c>
      <c r="B46" s="12" t="s">
        <v>2765</v>
      </c>
      <c r="C46" s="4" t="s">
        <v>3321</v>
      </c>
      <c r="D46" s="12" t="s">
        <v>2808</v>
      </c>
      <c r="E46" s="12" t="s">
        <v>2497</v>
      </c>
      <c r="F46" s="29" t="n">
        <v>1</v>
      </c>
      <c r="G46" s="29" t="n">
        <v>3</v>
      </c>
      <c r="H46" s="19" t="n">
        <v>700</v>
      </c>
      <c r="I46" s="23" t="n">
        <f aca="false">F46*G46*H46</f>
        <v>2100</v>
      </c>
      <c r="J46" s="12" t="s">
        <v>2794</v>
      </c>
      <c r="K46" s="12" t="s">
        <v>2866</v>
      </c>
      <c r="L46" s="12" t="s">
        <v>2796</v>
      </c>
      <c r="M46" s="4" t="s">
        <v>4000</v>
      </c>
    </row>
    <row r="47" customFormat="false" ht="35.05" hidden="false" customHeight="false" outlineLevel="0" collapsed="false">
      <c r="A47" s="4" t="s">
        <v>3966</v>
      </c>
      <c r="B47" s="12" t="s">
        <v>2765</v>
      </c>
      <c r="C47" s="4" t="s">
        <v>4001</v>
      </c>
      <c r="D47" s="12" t="s">
        <v>2808</v>
      </c>
      <c r="E47" s="12" t="s">
        <v>2497</v>
      </c>
      <c r="F47" s="29" t="n">
        <v>20</v>
      </c>
      <c r="G47" s="29" t="n">
        <v>1</v>
      </c>
      <c r="H47" s="19" t="n">
        <v>220</v>
      </c>
      <c r="I47" s="23" t="n">
        <f aca="false">F47*G47*H47</f>
        <v>4400</v>
      </c>
      <c r="J47" s="12" t="s">
        <v>2794</v>
      </c>
      <c r="K47" s="12" t="s">
        <v>3324</v>
      </c>
      <c r="L47" s="12" t="s">
        <v>2950</v>
      </c>
      <c r="M47" s="4" t="s">
        <v>4002</v>
      </c>
    </row>
    <row r="48" customFormat="false" ht="35.05" hidden="false" customHeight="false" outlineLevel="0" collapsed="false">
      <c r="A48" s="4" t="s">
        <v>3966</v>
      </c>
      <c r="B48" s="12" t="s">
        <v>2765</v>
      </c>
      <c r="C48" s="4" t="s">
        <v>4003</v>
      </c>
      <c r="D48" s="12" t="s">
        <v>2808</v>
      </c>
      <c r="E48" s="12" t="s">
        <v>2497</v>
      </c>
      <c r="F48" s="29" t="n">
        <v>10</v>
      </c>
      <c r="G48" s="29" t="n">
        <v>1</v>
      </c>
      <c r="H48" s="19" t="n">
        <v>280</v>
      </c>
      <c r="I48" s="23" t="n">
        <f aca="false">F48*G48*H48</f>
        <v>2800</v>
      </c>
      <c r="J48" s="12" t="s">
        <v>2794</v>
      </c>
      <c r="K48" s="12" t="s">
        <v>3324</v>
      </c>
      <c r="L48" s="12" t="s">
        <v>2950</v>
      </c>
      <c r="M48" s="4"/>
    </row>
    <row r="49" customFormat="false" ht="35.05" hidden="false" customHeight="false" outlineLevel="0" collapsed="false">
      <c r="A49" s="4" t="s">
        <v>3966</v>
      </c>
      <c r="B49" s="12" t="s">
        <v>2765</v>
      </c>
      <c r="C49" s="4" t="s">
        <v>4004</v>
      </c>
      <c r="D49" s="12" t="s">
        <v>2808</v>
      </c>
      <c r="E49" s="12" t="s">
        <v>2497</v>
      </c>
      <c r="F49" s="29" t="n">
        <v>3</v>
      </c>
      <c r="G49" s="29" t="n">
        <v>2</v>
      </c>
      <c r="H49" s="19" t="n">
        <v>280</v>
      </c>
      <c r="I49" s="23" t="n">
        <f aca="false">F49*G49*H49</f>
        <v>1680</v>
      </c>
      <c r="J49" s="12" t="s">
        <v>2794</v>
      </c>
      <c r="K49" s="12" t="s">
        <v>3324</v>
      </c>
      <c r="L49" s="12" t="s">
        <v>2950</v>
      </c>
      <c r="M49" s="4"/>
    </row>
    <row r="50" customFormat="false" ht="35.05" hidden="false" customHeight="false" outlineLevel="0" collapsed="false">
      <c r="A50" s="4" t="s">
        <v>3966</v>
      </c>
      <c r="B50" s="12" t="s">
        <v>2765</v>
      </c>
      <c r="C50" s="4" t="s">
        <v>4005</v>
      </c>
      <c r="D50" s="12" t="s">
        <v>2808</v>
      </c>
      <c r="E50" s="12" t="s">
        <v>2497</v>
      </c>
      <c r="F50" s="29" t="n">
        <v>6</v>
      </c>
      <c r="G50" s="29" t="n">
        <v>1</v>
      </c>
      <c r="H50" s="19" t="n">
        <v>300</v>
      </c>
      <c r="I50" s="23" t="n">
        <f aca="false">F50*G50*H50</f>
        <v>1800</v>
      </c>
      <c r="J50" s="12" t="s">
        <v>2794</v>
      </c>
      <c r="K50" s="12" t="s">
        <v>2875</v>
      </c>
      <c r="L50" s="12" t="s">
        <v>2796</v>
      </c>
      <c r="M50" s="4"/>
    </row>
    <row r="51" customFormat="false" ht="35.05" hidden="false" customHeight="false" outlineLevel="0" collapsed="false">
      <c r="A51" s="4" t="s">
        <v>3966</v>
      </c>
      <c r="B51" s="12" t="s">
        <v>2765</v>
      </c>
      <c r="C51" s="4" t="s">
        <v>4006</v>
      </c>
      <c r="D51" s="12" t="s">
        <v>2808</v>
      </c>
      <c r="E51" s="12" t="s">
        <v>2497</v>
      </c>
      <c r="F51" s="29" t="n">
        <v>2</v>
      </c>
      <c r="G51" s="29" t="n">
        <v>2</v>
      </c>
      <c r="H51" s="19" t="n">
        <v>300</v>
      </c>
      <c r="I51" s="23" t="n">
        <f aca="false">F51*G51*H51</f>
        <v>1200</v>
      </c>
      <c r="J51" s="12" t="s">
        <v>2794</v>
      </c>
      <c r="K51" s="12" t="s">
        <v>2875</v>
      </c>
      <c r="L51" s="12" t="s">
        <v>2796</v>
      </c>
      <c r="M51" s="4"/>
    </row>
    <row r="52" customFormat="false" ht="35.05" hidden="false" customHeight="false" outlineLevel="0" collapsed="false">
      <c r="A52" s="4" t="s">
        <v>3966</v>
      </c>
      <c r="B52" s="12" t="s">
        <v>2765</v>
      </c>
      <c r="C52" s="4" t="s">
        <v>4007</v>
      </c>
      <c r="D52" s="12" t="s">
        <v>2808</v>
      </c>
      <c r="E52" s="12" t="s">
        <v>2497</v>
      </c>
      <c r="F52" s="29" t="n">
        <v>1</v>
      </c>
      <c r="G52" s="29" t="n">
        <v>1</v>
      </c>
      <c r="H52" s="19" t="n">
        <v>2000</v>
      </c>
      <c r="I52" s="23" t="n">
        <f aca="false">F52*G52*H52</f>
        <v>2000</v>
      </c>
      <c r="J52" s="12" t="s">
        <v>2794</v>
      </c>
      <c r="K52" s="12" t="s">
        <v>2805</v>
      </c>
      <c r="L52" s="12"/>
      <c r="M52" s="4" t="s">
        <v>4008</v>
      </c>
    </row>
    <row r="53" customFormat="false" ht="35.05" hidden="false" customHeight="false" outlineLevel="0" collapsed="false">
      <c r="A53" s="4" t="s">
        <v>3966</v>
      </c>
      <c r="B53" s="12" t="s">
        <v>2765</v>
      </c>
      <c r="C53" s="4" t="s">
        <v>3505</v>
      </c>
      <c r="D53" s="12" t="s">
        <v>2808</v>
      </c>
      <c r="E53" s="12" t="s">
        <v>3506</v>
      </c>
      <c r="F53" s="29" t="n">
        <v>12</v>
      </c>
      <c r="G53" s="29" t="n">
        <v>1</v>
      </c>
      <c r="H53" s="19" t="n">
        <v>220</v>
      </c>
      <c r="I53" s="23" t="n">
        <f aca="false">F53*G53*H53</f>
        <v>2640</v>
      </c>
      <c r="J53" s="12" t="s">
        <v>2794</v>
      </c>
      <c r="K53" s="12" t="s">
        <v>3507</v>
      </c>
      <c r="L53" s="12" t="s">
        <v>2796</v>
      </c>
      <c r="M53" s="4" t="s">
        <v>4009</v>
      </c>
    </row>
    <row r="54" customFormat="false" ht="35.05" hidden="false" customHeight="false" outlineLevel="0" collapsed="false">
      <c r="A54" s="4" t="s">
        <v>3966</v>
      </c>
      <c r="B54" s="12" t="s">
        <v>2765</v>
      </c>
      <c r="C54" s="4" t="s">
        <v>3914</v>
      </c>
      <c r="D54" s="12" t="s">
        <v>2808</v>
      </c>
      <c r="E54" s="12" t="s">
        <v>3165</v>
      </c>
      <c r="F54" s="29" t="n">
        <v>8</v>
      </c>
      <c r="G54" s="29" t="n">
        <v>1</v>
      </c>
      <c r="H54" s="19" t="n">
        <v>180</v>
      </c>
      <c r="I54" s="23" t="n">
        <f aca="false">F54*G54*H54</f>
        <v>1440</v>
      </c>
      <c r="J54" s="12" t="s">
        <v>2794</v>
      </c>
      <c r="K54" s="12" t="s">
        <v>2805</v>
      </c>
      <c r="L54" s="12"/>
      <c r="M54" s="4" t="s">
        <v>4010</v>
      </c>
    </row>
    <row r="55" customFormat="false" ht="35.05" hidden="false" customHeight="false" outlineLevel="0" collapsed="false">
      <c r="A55" s="4" t="s">
        <v>3966</v>
      </c>
      <c r="B55" s="12" t="s">
        <v>2765</v>
      </c>
      <c r="C55" s="4" t="s">
        <v>4011</v>
      </c>
      <c r="D55" s="12" t="s">
        <v>2882</v>
      </c>
      <c r="E55" s="12" t="s">
        <v>2601</v>
      </c>
      <c r="F55" s="29" t="n">
        <v>1</v>
      </c>
      <c r="G55" s="29" t="n">
        <v>1</v>
      </c>
      <c r="H55" s="19" t="n">
        <v>1000</v>
      </c>
      <c r="I55" s="23" t="n">
        <f aca="false">F55*G55*H55</f>
        <v>1000</v>
      </c>
      <c r="J55" s="12" t="s">
        <v>2794</v>
      </c>
      <c r="K55" s="12" t="s">
        <v>2805</v>
      </c>
      <c r="L55" s="12"/>
      <c r="M55" s="4" t="s">
        <v>4012</v>
      </c>
    </row>
    <row r="56" customFormat="false" ht="35.05" hidden="false" customHeight="false" outlineLevel="0" collapsed="false">
      <c r="A56" s="4" t="s">
        <v>3966</v>
      </c>
      <c r="B56" s="12" t="s">
        <v>2765</v>
      </c>
      <c r="C56" s="4" t="s">
        <v>4013</v>
      </c>
      <c r="D56" s="12" t="s">
        <v>2882</v>
      </c>
      <c r="E56" s="12" t="s">
        <v>2601</v>
      </c>
      <c r="F56" s="29" t="n">
        <v>1</v>
      </c>
      <c r="G56" s="29" t="n">
        <v>1</v>
      </c>
      <c r="H56" s="19" t="n">
        <v>4000</v>
      </c>
      <c r="I56" s="23" t="n">
        <f aca="false">F56*G56*H56</f>
        <v>4000</v>
      </c>
      <c r="J56" s="12" t="s">
        <v>2794</v>
      </c>
      <c r="K56" s="12" t="s">
        <v>3327</v>
      </c>
      <c r="L56" s="12" t="s">
        <v>2796</v>
      </c>
      <c r="M56" s="4" t="s">
        <v>4014</v>
      </c>
    </row>
    <row r="57" customFormat="false" ht="35.05" hidden="false" customHeight="false" outlineLevel="0" collapsed="false">
      <c r="A57" s="4" t="s">
        <v>3966</v>
      </c>
      <c r="B57" s="12" t="s">
        <v>2765</v>
      </c>
      <c r="C57" s="4" t="s">
        <v>3513</v>
      </c>
      <c r="D57" s="12" t="s">
        <v>2808</v>
      </c>
      <c r="E57" s="12" t="s">
        <v>2683</v>
      </c>
      <c r="F57" s="29" t="n">
        <v>1</v>
      </c>
      <c r="G57" s="29" t="n">
        <v>1</v>
      </c>
      <c r="H57" s="19" t="n">
        <v>2000</v>
      </c>
      <c r="I57" s="23" t="n">
        <f aca="false">F57*G57*H57</f>
        <v>2000</v>
      </c>
      <c r="J57" s="12" t="s">
        <v>2794</v>
      </c>
      <c r="K57" s="12" t="s">
        <v>2845</v>
      </c>
      <c r="L57" s="12" t="s">
        <v>2796</v>
      </c>
      <c r="M57" s="4"/>
    </row>
    <row r="58" customFormat="false" ht="35.05" hidden="false" customHeight="false" outlineLevel="0" collapsed="false">
      <c r="A58" s="4" t="s">
        <v>3966</v>
      </c>
      <c r="B58" s="12" t="s">
        <v>2765</v>
      </c>
      <c r="C58" s="4" t="s">
        <v>4015</v>
      </c>
      <c r="D58" s="12" t="s">
        <v>2882</v>
      </c>
      <c r="E58" s="12" t="s">
        <v>2601</v>
      </c>
      <c r="F58" s="29" t="n">
        <v>1</v>
      </c>
      <c r="G58" s="29" t="n">
        <v>1</v>
      </c>
      <c r="H58" s="19" t="n">
        <v>2000</v>
      </c>
      <c r="I58" s="23" t="n">
        <f aca="false">F58*G58*H58</f>
        <v>2000</v>
      </c>
      <c r="J58" s="12" t="s">
        <v>2794</v>
      </c>
      <c r="K58" s="12" t="s">
        <v>2805</v>
      </c>
      <c r="L58" s="12"/>
      <c r="M58" s="4" t="s">
        <v>4016</v>
      </c>
    </row>
    <row r="59" customFormat="false" ht="35.05" hidden="false" customHeight="false" outlineLevel="0" collapsed="false">
      <c r="A59" s="4" t="s">
        <v>3966</v>
      </c>
      <c r="B59" s="12" t="s">
        <v>2765</v>
      </c>
      <c r="C59" s="4" t="s">
        <v>4017</v>
      </c>
      <c r="D59" s="12" t="s">
        <v>2855</v>
      </c>
      <c r="E59" s="12" t="s">
        <v>2516</v>
      </c>
      <c r="F59" s="29" t="n">
        <v>3</v>
      </c>
      <c r="G59" s="29" t="n">
        <v>1</v>
      </c>
      <c r="H59" s="19" t="n">
        <v>300</v>
      </c>
      <c r="I59" s="23" t="n">
        <f aca="false">F59*G59*H59</f>
        <v>900</v>
      </c>
      <c r="J59" s="12" t="s">
        <v>2794</v>
      </c>
      <c r="K59" s="12" t="s">
        <v>2805</v>
      </c>
      <c r="L59" s="12"/>
      <c r="M59" s="4" t="s">
        <v>4018</v>
      </c>
    </row>
    <row r="60" customFormat="false" ht="35.05" hidden="false" customHeight="false" outlineLevel="0" collapsed="false">
      <c r="A60" s="4" t="s">
        <v>3966</v>
      </c>
      <c r="B60" s="12" t="s">
        <v>2765</v>
      </c>
      <c r="C60" s="4" t="s">
        <v>4019</v>
      </c>
      <c r="D60" s="12" t="s">
        <v>2882</v>
      </c>
      <c r="E60" s="12" t="s">
        <v>2601</v>
      </c>
      <c r="F60" s="29" t="n">
        <v>1</v>
      </c>
      <c r="G60" s="29" t="n">
        <v>1</v>
      </c>
      <c r="H60" s="19" t="n">
        <v>1000</v>
      </c>
      <c r="I60" s="23" t="n">
        <f aca="false">F60*G60*H60</f>
        <v>1000</v>
      </c>
      <c r="J60" s="12" t="s">
        <v>2794</v>
      </c>
      <c r="K60" s="12" t="s">
        <v>2805</v>
      </c>
      <c r="L60" s="12"/>
      <c r="M60" s="4" t="s">
        <v>4020</v>
      </c>
    </row>
    <row r="61" customFormat="false" ht="35.05" hidden="false" customHeight="false" outlineLevel="0" collapsed="false">
      <c r="A61" s="4" t="s">
        <v>3966</v>
      </c>
      <c r="B61" s="12" t="s">
        <v>2765</v>
      </c>
      <c r="C61" s="4" t="s">
        <v>3593</v>
      </c>
      <c r="D61" s="12" t="s">
        <v>2808</v>
      </c>
      <c r="E61" s="12" t="s">
        <v>3165</v>
      </c>
      <c r="F61" s="29" t="n">
        <v>20</v>
      </c>
      <c r="G61" s="29" t="n">
        <v>3</v>
      </c>
      <c r="H61" s="19" t="n">
        <v>70</v>
      </c>
      <c r="I61" s="23" t="n">
        <f aca="false">F61*G61*H61</f>
        <v>4200</v>
      </c>
      <c r="J61" s="12" t="s">
        <v>2794</v>
      </c>
      <c r="K61" s="12" t="s">
        <v>3169</v>
      </c>
      <c r="L61" s="12" t="s">
        <v>2796</v>
      </c>
      <c r="M61" s="4" t="s">
        <v>4000</v>
      </c>
    </row>
    <row r="62" customFormat="false" ht="35.05" hidden="false" customHeight="false" outlineLevel="0" collapsed="false">
      <c r="A62" s="4" t="s">
        <v>3966</v>
      </c>
      <c r="B62" s="12" t="s">
        <v>2765</v>
      </c>
      <c r="C62" s="4" t="s">
        <v>4021</v>
      </c>
      <c r="D62" s="12" t="s">
        <v>2808</v>
      </c>
      <c r="E62" s="12" t="s">
        <v>2497</v>
      </c>
      <c r="F62" s="29" t="n">
        <v>1</v>
      </c>
      <c r="G62" s="29" t="n">
        <v>2</v>
      </c>
      <c r="H62" s="19" t="n">
        <v>1500</v>
      </c>
      <c r="I62" s="23" t="n">
        <f aca="false">F62*G62*H62</f>
        <v>3000</v>
      </c>
      <c r="J62" s="12" t="s">
        <v>2794</v>
      </c>
      <c r="K62" s="12" t="s">
        <v>3017</v>
      </c>
      <c r="L62" s="12" t="s">
        <v>2796</v>
      </c>
      <c r="M62" s="4"/>
    </row>
    <row r="63" customFormat="false" ht="35.05" hidden="false" customHeight="false" outlineLevel="0" collapsed="false">
      <c r="A63" s="4" t="s">
        <v>3966</v>
      </c>
      <c r="B63" s="12" t="s">
        <v>2765</v>
      </c>
      <c r="C63" s="4" t="s">
        <v>2613</v>
      </c>
      <c r="D63" s="12" t="s">
        <v>2808</v>
      </c>
      <c r="E63" s="12" t="s">
        <v>2497</v>
      </c>
      <c r="F63" s="29" t="n">
        <v>1</v>
      </c>
      <c r="G63" s="29" t="n">
        <v>4</v>
      </c>
      <c r="H63" s="19" t="n">
        <v>800</v>
      </c>
      <c r="I63" s="23" t="n">
        <f aca="false">F63*G63*H63</f>
        <v>3200</v>
      </c>
      <c r="J63" s="12" t="s">
        <v>2794</v>
      </c>
      <c r="K63" s="12" t="s">
        <v>2848</v>
      </c>
      <c r="L63" s="12" t="s">
        <v>2796</v>
      </c>
      <c r="M63" s="4" t="s">
        <v>4022</v>
      </c>
    </row>
    <row r="64" customFormat="false" ht="23.85" hidden="false" customHeight="false" outlineLevel="0" collapsed="false">
      <c r="A64" s="4" t="s">
        <v>4023</v>
      </c>
      <c r="B64" s="12" t="s">
        <v>2765</v>
      </c>
      <c r="C64" s="4" t="s">
        <v>3809</v>
      </c>
      <c r="D64" s="12" t="s">
        <v>2808</v>
      </c>
      <c r="E64" s="12" t="s">
        <v>2497</v>
      </c>
      <c r="F64" s="29" t="n">
        <v>1</v>
      </c>
      <c r="G64" s="29" t="n">
        <v>2</v>
      </c>
      <c r="H64" s="19" t="n">
        <v>1800</v>
      </c>
      <c r="I64" s="23" t="n">
        <f aca="false">F64*G64*H64</f>
        <v>3600</v>
      </c>
      <c r="J64" s="12" t="s">
        <v>2794</v>
      </c>
      <c r="K64" s="12" t="s">
        <v>2851</v>
      </c>
      <c r="L64" s="12" t="s">
        <v>2796</v>
      </c>
      <c r="M64" s="4" t="s">
        <v>4024</v>
      </c>
    </row>
    <row r="65" customFormat="false" ht="23.85" hidden="false" customHeight="false" outlineLevel="0" collapsed="false">
      <c r="A65" s="4" t="s">
        <v>4023</v>
      </c>
      <c r="B65" s="12" t="s">
        <v>2766</v>
      </c>
      <c r="C65" s="4" t="s">
        <v>4025</v>
      </c>
      <c r="D65" s="12" t="s">
        <v>2804</v>
      </c>
      <c r="E65" s="12" t="s">
        <v>2597</v>
      </c>
      <c r="F65" s="29" t="n">
        <v>1</v>
      </c>
      <c r="G65" s="29" t="n">
        <v>1</v>
      </c>
      <c r="H65" s="19" t="n">
        <v>4000</v>
      </c>
      <c r="I65" s="23" t="n">
        <f aca="false">F65*G65*H65</f>
        <v>4000</v>
      </c>
      <c r="J65" s="12" t="s">
        <v>2794</v>
      </c>
      <c r="K65" s="12" t="s">
        <v>2891</v>
      </c>
      <c r="L65" s="12" t="s">
        <v>2796</v>
      </c>
      <c r="M65" s="4" t="s">
        <v>4026</v>
      </c>
    </row>
    <row r="66" customFormat="false" ht="35.05" hidden="false" customHeight="false" outlineLevel="0" collapsed="false">
      <c r="A66" s="4" t="s">
        <v>3966</v>
      </c>
      <c r="B66" s="12" t="s">
        <v>2767</v>
      </c>
      <c r="C66" s="4" t="s">
        <v>2893</v>
      </c>
      <c r="D66" s="12" t="s">
        <v>2793</v>
      </c>
      <c r="E66" s="12" t="s">
        <v>2484</v>
      </c>
      <c r="F66" s="29" t="n">
        <v>1</v>
      </c>
      <c r="G66" s="29" t="n">
        <v>5</v>
      </c>
      <c r="H66" s="19" t="n">
        <v>1200</v>
      </c>
      <c r="I66" s="23" t="n">
        <f aca="false">F66*G66*H66</f>
        <v>6000</v>
      </c>
      <c r="J66" s="12" t="s">
        <v>2794</v>
      </c>
      <c r="K66" s="12" t="s">
        <v>2894</v>
      </c>
      <c r="L66" s="12" t="s">
        <v>2796</v>
      </c>
      <c r="M66" s="4" t="s">
        <v>4027</v>
      </c>
    </row>
    <row r="67" customFormat="false" ht="35.05" hidden="false" customHeight="false" outlineLevel="0" collapsed="false">
      <c r="A67" s="4" t="s">
        <v>3966</v>
      </c>
      <c r="B67" s="12" t="s">
        <v>2767</v>
      </c>
      <c r="C67" s="4" t="s">
        <v>4028</v>
      </c>
      <c r="D67" s="12" t="s">
        <v>2793</v>
      </c>
      <c r="E67" s="12" t="s">
        <v>2484</v>
      </c>
      <c r="F67" s="29" t="n">
        <v>1</v>
      </c>
      <c r="G67" s="29" t="n">
        <v>2</v>
      </c>
      <c r="H67" s="19" t="n">
        <v>2000</v>
      </c>
      <c r="I67" s="23" t="n">
        <f aca="false">F67*G67*H67</f>
        <v>4000</v>
      </c>
      <c r="J67" s="12" t="s">
        <v>2794</v>
      </c>
      <c r="K67" s="12" t="s">
        <v>2891</v>
      </c>
      <c r="L67" s="12" t="s">
        <v>2796</v>
      </c>
      <c r="M67" s="4" t="s">
        <v>4029</v>
      </c>
    </row>
    <row r="68" customFormat="false" ht="35.05" hidden="false" customHeight="false" outlineLevel="0" collapsed="false">
      <c r="A68" s="4" t="s">
        <v>3966</v>
      </c>
      <c r="B68" s="12" t="s">
        <v>2765</v>
      </c>
      <c r="C68" s="4" t="s">
        <v>3618</v>
      </c>
      <c r="D68" s="12" t="s">
        <v>2808</v>
      </c>
      <c r="E68" s="12" t="s">
        <v>2497</v>
      </c>
      <c r="F68" s="29" t="n">
        <v>1</v>
      </c>
      <c r="G68" s="29" t="n">
        <v>3</v>
      </c>
      <c r="H68" s="19" t="n">
        <v>1300</v>
      </c>
      <c r="I68" s="23" t="n">
        <f aca="false">F68*G68*H68</f>
        <v>3900</v>
      </c>
      <c r="J68" s="12" t="s">
        <v>2794</v>
      </c>
      <c r="K68" s="12" t="s">
        <v>2805</v>
      </c>
      <c r="L68" s="12"/>
      <c r="M68" s="4" t="s">
        <v>4030</v>
      </c>
    </row>
    <row r="69" customFormat="false" ht="35.05" hidden="false" customHeight="false" outlineLevel="0" collapsed="false">
      <c r="A69" s="4" t="s">
        <v>3966</v>
      </c>
      <c r="B69" s="12" t="s">
        <v>2765</v>
      </c>
      <c r="C69" s="4" t="s">
        <v>3935</v>
      </c>
      <c r="D69" s="12" t="s">
        <v>2808</v>
      </c>
      <c r="E69" s="12" t="s">
        <v>2702</v>
      </c>
      <c r="F69" s="29" t="n">
        <v>8</v>
      </c>
      <c r="G69" s="29" t="n">
        <v>1</v>
      </c>
      <c r="H69" s="19" t="n">
        <v>180</v>
      </c>
      <c r="I69" s="23" t="n">
        <f aca="false">F69*G69*H69</f>
        <v>1440</v>
      </c>
      <c r="J69" s="12" t="s">
        <v>2794</v>
      </c>
      <c r="K69" s="12" t="s">
        <v>2899</v>
      </c>
      <c r="L69" s="12" t="s">
        <v>2796</v>
      </c>
      <c r="M69" s="4" t="s">
        <v>4031</v>
      </c>
    </row>
    <row r="70" customFormat="false" ht="35.05" hidden="false" customHeight="false" outlineLevel="0" collapsed="false">
      <c r="A70" s="4" t="s">
        <v>3966</v>
      </c>
      <c r="B70" s="12" t="s">
        <v>2765</v>
      </c>
      <c r="C70" s="4" t="s">
        <v>4032</v>
      </c>
      <c r="D70" s="12" t="s">
        <v>2804</v>
      </c>
      <c r="E70" s="12" t="s">
        <v>2597</v>
      </c>
      <c r="F70" s="29" t="n">
        <v>1</v>
      </c>
      <c r="G70" s="29" t="n">
        <v>1</v>
      </c>
      <c r="H70" s="19" t="n">
        <v>2500</v>
      </c>
      <c r="I70" s="23" t="n">
        <f aca="false">F70*G70*H70</f>
        <v>2500</v>
      </c>
      <c r="J70" s="12" t="s">
        <v>2794</v>
      </c>
      <c r="K70" s="12" t="s">
        <v>2902</v>
      </c>
      <c r="L70" s="12" t="s">
        <v>2796</v>
      </c>
      <c r="M70" s="4" t="s">
        <v>4033</v>
      </c>
    </row>
    <row r="71" customFormat="false" ht="35.05" hidden="false" customHeight="false" outlineLevel="0" collapsed="false">
      <c r="A71" s="4" t="s">
        <v>3966</v>
      </c>
      <c r="B71" s="12" t="s">
        <v>2765</v>
      </c>
      <c r="C71" s="4" t="s">
        <v>4034</v>
      </c>
      <c r="D71" s="12" t="s">
        <v>2804</v>
      </c>
      <c r="E71" s="12" t="s">
        <v>2597</v>
      </c>
      <c r="F71" s="29" t="n">
        <v>1</v>
      </c>
      <c r="G71" s="29" t="n">
        <v>1</v>
      </c>
      <c r="H71" s="19" t="n">
        <v>1500</v>
      </c>
      <c r="I71" s="23" t="n">
        <f aca="false">F71*G71*H71</f>
        <v>1500</v>
      </c>
      <c r="J71" s="12" t="s">
        <v>2794</v>
      </c>
      <c r="K71" s="12" t="s">
        <v>2805</v>
      </c>
      <c r="L71" s="12"/>
      <c r="M71" s="4" t="s">
        <v>4035</v>
      </c>
    </row>
    <row r="72" customFormat="false" ht="35.05" hidden="false" customHeight="false" outlineLevel="0" collapsed="false">
      <c r="A72" s="4" t="s">
        <v>3966</v>
      </c>
      <c r="B72" s="12" t="s">
        <v>2768</v>
      </c>
      <c r="C72" s="4" t="s">
        <v>2911</v>
      </c>
      <c r="D72" s="12" t="s">
        <v>2882</v>
      </c>
      <c r="E72" s="12" t="s">
        <v>2601</v>
      </c>
      <c r="F72" s="29" t="n">
        <v>1</v>
      </c>
      <c r="G72" s="29" t="n">
        <v>1</v>
      </c>
      <c r="H72" s="19" t="n">
        <v>8716</v>
      </c>
      <c r="I72" s="23" t="n">
        <f aca="false">F72*G72*H72</f>
        <v>8716</v>
      </c>
      <c r="J72" s="12" t="s">
        <v>2794</v>
      </c>
      <c r="K72" s="12" t="s">
        <v>2805</v>
      </c>
      <c r="L72" s="12"/>
      <c r="M72" s="4" t="s">
        <v>4036</v>
      </c>
    </row>
    <row r="73" customFormat="false" ht="15" hidden="false" customHeight="false" outlineLevel="0" collapsed="false">
      <c r="H73" s="10" t="s">
        <v>134</v>
      </c>
      <c r="I73" s="11" t="n">
        <f aca="false">SUM(I26:I72)</f>
        <v>196850</v>
      </c>
    </row>
    <row r="75" customFormat="false" ht="15" hidden="false" customHeight="false" outlineLevel="0" collapsed="false">
      <c r="A75" s="22" t="s">
        <v>2913</v>
      </c>
    </row>
    <row r="76" customFormat="false" ht="23.85" hidden="false" customHeight="false" outlineLevel="0" collapsed="false">
      <c r="A76" s="3" t="s">
        <v>2914</v>
      </c>
      <c r="B76" s="3" t="s">
        <v>2915</v>
      </c>
      <c r="C76" s="3" t="s">
        <v>2780</v>
      </c>
      <c r="D76" s="3" t="s">
        <v>2781</v>
      </c>
      <c r="E76" s="3" t="s">
        <v>2782</v>
      </c>
      <c r="F76" s="3" t="s">
        <v>2783</v>
      </c>
      <c r="G76" s="3" t="s">
        <v>2784</v>
      </c>
      <c r="H76" s="3" t="s">
        <v>2785</v>
      </c>
      <c r="I76" s="3" t="s">
        <v>2786</v>
      </c>
      <c r="J76" s="3" t="s">
        <v>1393</v>
      </c>
      <c r="K76" s="3" t="s">
        <v>2916</v>
      </c>
      <c r="L76" s="3" t="s">
        <v>2789</v>
      </c>
      <c r="M76" s="3" t="s">
        <v>368</v>
      </c>
    </row>
    <row r="77" customFormat="false" ht="35.05" hidden="false" customHeight="false" outlineLevel="0" collapsed="false">
      <c r="A77" s="4" t="s">
        <v>3966</v>
      </c>
      <c r="B77" s="12" t="s">
        <v>2918</v>
      </c>
      <c r="C77" s="4" t="s">
        <v>2919</v>
      </c>
      <c r="D77" s="12" t="s">
        <v>2804</v>
      </c>
      <c r="E77" s="12" t="s">
        <v>2597</v>
      </c>
      <c r="F77" s="30" t="n">
        <v>1</v>
      </c>
      <c r="G77" s="30" t="n">
        <v>1</v>
      </c>
      <c r="H77" s="19" t="n">
        <v>5000</v>
      </c>
      <c r="I77" s="23" t="n">
        <f aca="false">F77*G77*H77</f>
        <v>5000</v>
      </c>
      <c r="J77" s="12" t="s">
        <v>2794</v>
      </c>
      <c r="K77" s="12" t="s">
        <v>2920</v>
      </c>
      <c r="L77" s="12" t="s">
        <v>2796</v>
      </c>
      <c r="M77" s="4" t="s">
        <v>3454</v>
      </c>
    </row>
    <row r="78" customFormat="false" ht="35.05" hidden="false" customHeight="false" outlineLevel="0" collapsed="false">
      <c r="A78" s="4" t="s">
        <v>3966</v>
      </c>
      <c r="B78" s="12" t="s">
        <v>2918</v>
      </c>
      <c r="C78" s="4" t="s">
        <v>2922</v>
      </c>
      <c r="D78" s="12" t="s">
        <v>2804</v>
      </c>
      <c r="E78" s="12" t="s">
        <v>2597</v>
      </c>
      <c r="F78" s="30" t="n">
        <v>1</v>
      </c>
      <c r="G78" s="30" t="n">
        <v>1</v>
      </c>
      <c r="H78" s="19" t="n">
        <v>5000</v>
      </c>
      <c r="I78" s="23" t="n">
        <f aca="false">F78*G78*H78</f>
        <v>5000</v>
      </c>
      <c r="J78" s="12" t="s">
        <v>2794</v>
      </c>
      <c r="K78" s="12" t="s">
        <v>2805</v>
      </c>
      <c r="L78" s="12"/>
      <c r="M78" s="4"/>
    </row>
    <row r="79" customFormat="false" ht="35.05" hidden="false" customHeight="false" outlineLevel="0" collapsed="false">
      <c r="A79" s="4" t="s">
        <v>3966</v>
      </c>
      <c r="B79" s="12" t="s">
        <v>2918</v>
      </c>
      <c r="C79" s="4" t="s">
        <v>2926</v>
      </c>
      <c r="D79" s="12" t="s">
        <v>2793</v>
      </c>
      <c r="E79" s="12" t="s">
        <v>2484</v>
      </c>
      <c r="F79" s="30" t="n">
        <v>1</v>
      </c>
      <c r="G79" s="30" t="n">
        <v>7</v>
      </c>
      <c r="H79" s="19" t="n">
        <v>80</v>
      </c>
      <c r="I79" s="23" t="n">
        <f aca="false">F79*G79*H79</f>
        <v>560</v>
      </c>
      <c r="J79" s="12" t="s">
        <v>2794</v>
      </c>
      <c r="K79" s="12" t="s">
        <v>2805</v>
      </c>
      <c r="L79" s="12"/>
      <c r="M79" s="4"/>
    </row>
    <row r="80" customFormat="false" ht="35.05" hidden="false" customHeight="false" outlineLevel="0" collapsed="false">
      <c r="A80" s="4" t="s">
        <v>3966</v>
      </c>
      <c r="B80" s="12" t="s">
        <v>2918</v>
      </c>
      <c r="C80" s="4" t="s">
        <v>2928</v>
      </c>
      <c r="D80" s="12" t="s">
        <v>2882</v>
      </c>
      <c r="E80" s="12" t="s">
        <v>2601</v>
      </c>
      <c r="F80" s="30" t="n">
        <v>1</v>
      </c>
      <c r="G80" s="30" t="n">
        <v>1</v>
      </c>
      <c r="H80" s="19" t="n">
        <v>800</v>
      </c>
      <c r="I80" s="23" t="n">
        <f aca="false">F80*G80*H80</f>
        <v>800</v>
      </c>
      <c r="J80" s="12" t="s">
        <v>2794</v>
      </c>
      <c r="K80" s="12" t="s">
        <v>2805</v>
      </c>
      <c r="L80" s="12"/>
      <c r="M80" s="4"/>
    </row>
    <row r="81" customFormat="false" ht="35.05" hidden="false" customHeight="false" outlineLevel="0" collapsed="false">
      <c r="A81" s="4" t="s">
        <v>3966</v>
      </c>
      <c r="B81" s="12" t="s">
        <v>2930</v>
      </c>
      <c r="C81" s="4" t="s">
        <v>3823</v>
      </c>
      <c r="D81" s="12" t="s">
        <v>2793</v>
      </c>
      <c r="E81" s="12" t="s">
        <v>2484</v>
      </c>
      <c r="F81" s="30" t="n">
        <v>1</v>
      </c>
      <c r="G81" s="30" t="n">
        <v>1</v>
      </c>
      <c r="H81" s="19" t="n">
        <v>3500</v>
      </c>
      <c r="I81" s="23" t="n">
        <f aca="false">F81*G81*H81</f>
        <v>3500</v>
      </c>
      <c r="J81" s="12" t="s">
        <v>2794</v>
      </c>
      <c r="K81" s="12" t="s">
        <v>2805</v>
      </c>
      <c r="L81" s="12"/>
      <c r="M81" s="4" t="s">
        <v>4037</v>
      </c>
    </row>
    <row r="82" customFormat="false" ht="35.05" hidden="false" customHeight="false" outlineLevel="0" collapsed="false">
      <c r="A82" s="4" t="s">
        <v>3966</v>
      </c>
      <c r="B82" s="12" t="s">
        <v>2930</v>
      </c>
      <c r="C82" s="4" t="s">
        <v>3456</v>
      </c>
      <c r="D82" s="12" t="s">
        <v>2808</v>
      </c>
      <c r="E82" s="12" t="s">
        <v>2497</v>
      </c>
      <c r="F82" s="30" t="n">
        <v>4</v>
      </c>
      <c r="G82" s="30" t="n">
        <v>2</v>
      </c>
      <c r="H82" s="19" t="n">
        <v>250</v>
      </c>
      <c r="I82" s="23" t="n">
        <f aca="false">F82*G82*H82</f>
        <v>2000</v>
      </c>
      <c r="J82" s="12" t="s">
        <v>2794</v>
      </c>
      <c r="K82" s="12" t="s">
        <v>2934</v>
      </c>
      <c r="L82" s="12" t="s">
        <v>2796</v>
      </c>
      <c r="M82" s="4" t="s">
        <v>4038</v>
      </c>
    </row>
    <row r="83" customFormat="false" ht="35.05" hidden="false" customHeight="false" outlineLevel="0" collapsed="false">
      <c r="A83" s="4" t="s">
        <v>3966</v>
      </c>
      <c r="B83" s="12" t="s">
        <v>2930</v>
      </c>
      <c r="C83" s="4" t="s">
        <v>4039</v>
      </c>
      <c r="D83" s="12" t="s">
        <v>2808</v>
      </c>
      <c r="E83" s="12" t="s">
        <v>2477</v>
      </c>
      <c r="F83" s="30" t="n">
        <v>30</v>
      </c>
      <c r="G83" s="30" t="n">
        <v>1</v>
      </c>
      <c r="H83" s="19" t="n">
        <v>40</v>
      </c>
      <c r="I83" s="23" t="n">
        <f aca="false">F83*G83*H83</f>
        <v>1200</v>
      </c>
      <c r="J83" s="12" t="s">
        <v>2794</v>
      </c>
      <c r="K83" s="12" t="s">
        <v>2805</v>
      </c>
      <c r="L83" s="12"/>
      <c r="M83" s="4" t="s">
        <v>4040</v>
      </c>
    </row>
    <row r="84" customFormat="false" ht="35.05" hidden="false" customHeight="false" outlineLevel="0" collapsed="false">
      <c r="A84" s="4" t="s">
        <v>3966</v>
      </c>
      <c r="B84" s="12" t="s">
        <v>2930</v>
      </c>
      <c r="C84" s="4" t="s">
        <v>3827</v>
      </c>
      <c r="D84" s="12" t="s">
        <v>2804</v>
      </c>
      <c r="E84" s="12" t="s">
        <v>2597</v>
      </c>
      <c r="F84" s="30" t="n">
        <v>1</v>
      </c>
      <c r="G84" s="30" t="n">
        <v>1</v>
      </c>
      <c r="H84" s="19" t="n">
        <v>4000</v>
      </c>
      <c r="I84" s="23" t="n">
        <f aca="false">F84*G84*H84</f>
        <v>4000</v>
      </c>
      <c r="J84" s="12" t="s">
        <v>2794</v>
      </c>
      <c r="K84" s="12" t="s">
        <v>2937</v>
      </c>
      <c r="L84" s="12" t="s">
        <v>2796</v>
      </c>
      <c r="M84" s="4" t="s">
        <v>4041</v>
      </c>
    </row>
    <row r="85" customFormat="false" ht="35.05" hidden="false" customHeight="false" outlineLevel="0" collapsed="false">
      <c r="A85" s="4" t="s">
        <v>3966</v>
      </c>
      <c r="B85" s="12" t="s">
        <v>2930</v>
      </c>
      <c r="C85" s="4" t="s">
        <v>2654</v>
      </c>
      <c r="D85" s="12" t="s">
        <v>2793</v>
      </c>
      <c r="E85" s="12" t="s">
        <v>2484</v>
      </c>
      <c r="F85" s="30" t="n">
        <v>1</v>
      </c>
      <c r="G85" s="30" t="n">
        <v>2</v>
      </c>
      <c r="H85" s="19" t="n">
        <v>3000</v>
      </c>
      <c r="I85" s="23" t="n">
        <f aca="false">F85*G85*H85</f>
        <v>6000</v>
      </c>
      <c r="J85" s="12" t="s">
        <v>2794</v>
      </c>
      <c r="K85" s="12" t="s">
        <v>2909</v>
      </c>
      <c r="L85" s="12" t="s">
        <v>2796</v>
      </c>
      <c r="M85" s="4" t="s">
        <v>4042</v>
      </c>
    </row>
    <row r="86" customFormat="false" ht="35.05" hidden="false" customHeight="false" outlineLevel="0" collapsed="false">
      <c r="A86" s="4" t="s">
        <v>3966</v>
      </c>
      <c r="B86" s="12" t="s">
        <v>2930</v>
      </c>
      <c r="C86" s="4" t="s">
        <v>3063</v>
      </c>
      <c r="D86" s="12" t="s">
        <v>2882</v>
      </c>
      <c r="E86" s="12" t="s">
        <v>2601</v>
      </c>
      <c r="F86" s="30" t="n">
        <v>1</v>
      </c>
      <c r="G86" s="30" t="n">
        <v>1</v>
      </c>
      <c r="H86" s="19" t="n">
        <v>2500</v>
      </c>
      <c r="I86" s="23" t="n">
        <f aca="false">F86*G86*H86</f>
        <v>2500</v>
      </c>
      <c r="J86" s="12" t="s">
        <v>2794</v>
      </c>
      <c r="K86" s="12" t="s">
        <v>2942</v>
      </c>
      <c r="L86" s="12" t="s">
        <v>2796</v>
      </c>
      <c r="M86" s="4" t="s">
        <v>4043</v>
      </c>
    </row>
    <row r="87" customFormat="false" ht="35.05" hidden="false" customHeight="false" outlineLevel="0" collapsed="false">
      <c r="A87" s="4" t="s">
        <v>3966</v>
      </c>
      <c r="B87" s="12" t="s">
        <v>2930</v>
      </c>
      <c r="C87" s="4" t="s">
        <v>2944</v>
      </c>
      <c r="D87" s="12" t="s">
        <v>2808</v>
      </c>
      <c r="E87" s="12" t="s">
        <v>2477</v>
      </c>
      <c r="F87" s="30" t="n">
        <v>300</v>
      </c>
      <c r="G87" s="30" t="n">
        <v>1</v>
      </c>
      <c r="H87" s="19" t="n">
        <v>2.5</v>
      </c>
      <c r="I87" s="23" t="n">
        <f aca="false">F87*G87*H87</f>
        <v>750</v>
      </c>
      <c r="J87" s="12" t="s">
        <v>2794</v>
      </c>
      <c r="K87" s="12" t="s">
        <v>2805</v>
      </c>
      <c r="L87" s="12"/>
      <c r="M87" s="4"/>
    </row>
    <row r="88" customFormat="false" ht="35.05" hidden="false" customHeight="false" outlineLevel="0" collapsed="false">
      <c r="A88" s="4" t="s">
        <v>3966</v>
      </c>
      <c r="B88" s="12" t="s">
        <v>2930</v>
      </c>
      <c r="C88" s="4" t="s">
        <v>3738</v>
      </c>
      <c r="D88" s="12" t="s">
        <v>2808</v>
      </c>
      <c r="E88" s="12" t="s">
        <v>2528</v>
      </c>
      <c r="F88" s="30" t="n">
        <v>10</v>
      </c>
      <c r="G88" s="30" t="n">
        <v>1</v>
      </c>
      <c r="H88" s="19" t="n">
        <v>65</v>
      </c>
      <c r="I88" s="23" t="n">
        <f aca="false">F88*G88*H88</f>
        <v>650</v>
      </c>
      <c r="J88" s="12" t="s">
        <v>2794</v>
      </c>
      <c r="K88" s="12" t="s">
        <v>2949</v>
      </c>
      <c r="L88" s="12" t="s">
        <v>2950</v>
      </c>
      <c r="M88" s="4"/>
    </row>
    <row r="90" customFormat="false" ht="15" hidden="false" customHeight="false" outlineLevel="0" collapsed="false">
      <c r="A90" s="10" t="s">
        <v>2952</v>
      </c>
      <c r="B90" s="23" t="n">
        <f aca="false">SUMIFS($I$77:$I$88,$B$77:$B$88,"Custos de administração")</f>
        <v>11360</v>
      </c>
      <c r="C90" s="13" t="n">
        <f aca="false">B17</f>
        <v>11811</v>
      </c>
      <c r="D90" s="23" t="n">
        <f aca="false">C90-B90</f>
        <v>451</v>
      </c>
      <c r="E90" s="12" t="str">
        <f aca="false">IF(D90&gt;=0,"OK","EXCEDE")</f>
        <v>OK</v>
      </c>
    </row>
    <row r="91" customFormat="false" ht="15" hidden="false" customHeight="false" outlineLevel="0" collapsed="false">
      <c r="A91" s="10" t="s">
        <v>2953</v>
      </c>
      <c r="B91" s="23" t="n">
        <f aca="false">SUMIFS($I$77:$I$88,$B$77:$B$88,"Custos de acessibilidade, comunicação e divulgação")</f>
        <v>20600</v>
      </c>
      <c r="C91" s="13" t="n">
        <f aca="false">B18</f>
        <v>21653.5</v>
      </c>
      <c r="D91" s="23" t="n">
        <f aca="false">C91-B91</f>
        <v>1053.5</v>
      </c>
      <c r="E91" s="12" t="str">
        <f aca="false">IF(D91&gt;=0,"OK","EXCEDE")</f>
        <v>OK</v>
      </c>
    </row>
    <row r="92" customFormat="false" ht="15" hidden="false" customHeight="false" outlineLevel="0" collapsed="false">
      <c r="A92" s="14" t="s">
        <v>2954</v>
      </c>
    </row>
    <row r="94" customFormat="false" ht="15" hidden="false" customHeight="false" outlineLevel="0" collapsed="false">
      <c r="A94" s="22" t="s">
        <v>2955</v>
      </c>
    </row>
    <row r="95" customFormat="false" ht="30" hidden="false" customHeight="true" outlineLevel="0" collapsed="false">
      <c r="A95" s="21" t="s">
        <v>4044</v>
      </c>
      <c r="B95" s="21"/>
      <c r="C95" s="21"/>
      <c r="D95" s="21"/>
      <c r="E95" s="21"/>
      <c r="F95" s="21"/>
      <c r="G95" s="21"/>
      <c r="H95" s="21"/>
      <c r="I95" s="21"/>
      <c r="J95" s="21"/>
      <c r="K95" s="21"/>
      <c r="L95" s="21"/>
      <c r="M95" s="21"/>
    </row>
    <row r="96" customFormat="false" ht="30" hidden="false" customHeight="true" outlineLevel="0" collapsed="false">
      <c r="A96" s="21" t="s">
        <v>4045</v>
      </c>
      <c r="B96" s="21"/>
      <c r="C96" s="21"/>
      <c r="D96" s="21"/>
      <c r="E96" s="21"/>
      <c r="F96" s="21"/>
      <c r="G96" s="21"/>
      <c r="H96" s="21"/>
      <c r="I96" s="21"/>
      <c r="J96" s="21"/>
      <c r="K96" s="21"/>
      <c r="L96" s="21"/>
      <c r="M96" s="21"/>
    </row>
    <row r="97" customFormat="false" ht="30" hidden="false" customHeight="true" outlineLevel="0" collapsed="false">
      <c r="A97" s="21" t="s">
        <v>4046</v>
      </c>
      <c r="B97" s="21"/>
      <c r="C97" s="21"/>
      <c r="D97" s="21"/>
      <c r="E97" s="21"/>
      <c r="F97" s="21"/>
      <c r="G97" s="21"/>
      <c r="H97" s="21"/>
      <c r="I97" s="21"/>
      <c r="J97" s="21"/>
      <c r="K97" s="21"/>
      <c r="L97" s="21"/>
      <c r="M97" s="21"/>
    </row>
    <row r="98" customFormat="false" ht="30" hidden="false" customHeight="true" outlineLevel="0" collapsed="false">
      <c r="A98" s="21" t="s">
        <v>4047</v>
      </c>
      <c r="B98" s="21"/>
      <c r="C98" s="21"/>
      <c r="D98" s="21"/>
      <c r="E98" s="21"/>
      <c r="F98" s="21"/>
      <c r="G98" s="21"/>
      <c r="H98" s="21"/>
      <c r="I98" s="21"/>
      <c r="J98" s="21"/>
      <c r="K98" s="21"/>
      <c r="L98" s="21"/>
      <c r="M98" s="21"/>
    </row>
    <row r="99" customFormat="false" ht="30" hidden="false" customHeight="true" outlineLevel="0" collapsed="false">
      <c r="A99" s="21" t="s">
        <v>4048</v>
      </c>
      <c r="B99" s="21"/>
      <c r="C99" s="21"/>
      <c r="D99" s="21"/>
      <c r="E99" s="21"/>
      <c r="F99" s="21"/>
      <c r="G99" s="21"/>
      <c r="H99" s="21"/>
      <c r="I99" s="21"/>
      <c r="J99" s="21"/>
      <c r="K99" s="21"/>
      <c r="L99" s="21"/>
      <c r="M99" s="21"/>
    </row>
    <row r="100" customFormat="false" ht="30" hidden="false" customHeight="true" outlineLevel="0" collapsed="false">
      <c r="A100" s="21" t="s">
        <v>4049</v>
      </c>
      <c r="B100" s="21"/>
      <c r="C100" s="21"/>
      <c r="D100" s="21"/>
      <c r="E100" s="21"/>
      <c r="F100" s="21"/>
      <c r="G100" s="21"/>
      <c r="H100" s="21"/>
      <c r="I100" s="21"/>
      <c r="J100" s="21"/>
      <c r="K100" s="21"/>
      <c r="L100" s="21"/>
      <c r="M100" s="21"/>
    </row>
    <row r="101" customFormat="false" ht="30" hidden="false" customHeight="true" outlineLevel="0" collapsed="false">
      <c r="A101" s="21" t="s">
        <v>4050</v>
      </c>
      <c r="B101" s="21"/>
      <c r="C101" s="21"/>
      <c r="D101" s="21"/>
      <c r="E101" s="21"/>
      <c r="F101" s="21"/>
      <c r="G101" s="21"/>
      <c r="H101" s="21"/>
      <c r="I101" s="21"/>
      <c r="J101" s="21"/>
      <c r="K101" s="21"/>
      <c r="L101" s="21"/>
      <c r="M101" s="21"/>
    </row>
    <row r="102" customFormat="false" ht="30" hidden="false" customHeight="true" outlineLevel="0" collapsed="false">
      <c r="A102" s="21" t="s">
        <v>4051</v>
      </c>
      <c r="B102" s="21"/>
      <c r="C102" s="21"/>
      <c r="D102" s="21"/>
      <c r="E102" s="21"/>
      <c r="F102" s="21"/>
      <c r="G102" s="21"/>
      <c r="H102" s="21"/>
      <c r="I102" s="21"/>
      <c r="J102" s="21"/>
      <c r="K102" s="21"/>
      <c r="L102" s="21"/>
      <c r="M102" s="21"/>
    </row>
    <row r="103" customFormat="false" ht="15" hidden="false" customHeight="true" outlineLevel="0" collapsed="false">
      <c r="A103" s="21" t="s">
        <v>4052</v>
      </c>
      <c r="B103" s="21"/>
      <c r="C103" s="21"/>
      <c r="D103" s="21"/>
      <c r="E103" s="21"/>
      <c r="F103" s="21"/>
      <c r="G103" s="21"/>
      <c r="H103" s="21"/>
      <c r="I103" s="21"/>
      <c r="J103" s="21"/>
      <c r="K103" s="21"/>
      <c r="L103" s="21"/>
      <c r="M103" s="21"/>
    </row>
    <row r="105" customFormat="false" ht="15" hidden="false" customHeight="false" outlineLevel="0" collapsed="false">
      <c r="A105" s="22" t="s">
        <v>2964</v>
      </c>
      <c r="B105" s="19" t="n">
        <v>50000</v>
      </c>
    </row>
    <row r="106" customFormat="false" ht="75" hidden="false" customHeight="true" outlineLevel="0" collapsed="false">
      <c r="A106" s="21" t="s">
        <v>4053</v>
      </c>
      <c r="B106" s="21"/>
      <c r="C106" s="21"/>
      <c r="D106" s="21"/>
      <c r="E106" s="21"/>
      <c r="F106" s="21"/>
      <c r="G106" s="21"/>
      <c r="H106" s="21"/>
      <c r="I106" s="21"/>
      <c r="J106" s="21"/>
      <c r="K106" s="21"/>
      <c r="L106" s="21"/>
      <c r="M106" s="21"/>
    </row>
  </sheetData>
  <mergeCells count="15">
    <mergeCell ref="B2:M2"/>
    <mergeCell ref="B3:M3"/>
    <mergeCell ref="B4:M4"/>
    <mergeCell ref="B5:M5"/>
    <mergeCell ref="B6:M6"/>
    <mergeCell ref="A95:M95"/>
    <mergeCell ref="A96:M96"/>
    <mergeCell ref="A97:M97"/>
    <mergeCell ref="A98:M98"/>
    <mergeCell ref="A99:M99"/>
    <mergeCell ref="A100:M100"/>
    <mergeCell ref="A101:M101"/>
    <mergeCell ref="A102:M102"/>
    <mergeCell ref="A103:M103"/>
    <mergeCell ref="A106:M106"/>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72">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7:L88">
    <cfRule type="expression" priority="11" aboveAverage="0" equalAverage="0" bottom="0" percent="0" rank="0" text="" dxfId="2">
      <formula>LEFT(L77,5)="ACIMA"</formula>
    </cfRule>
  </conditionalFormatting>
  <conditionalFormatting sqref="E90:E91">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ISNUMBER(SEARCH("EXCEDE",E90))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4054</v>
      </c>
    </row>
    <row r="2" customFormat="false" ht="30" hidden="false" customHeight="true" outlineLevel="0" collapsed="false">
      <c r="A2" s="22" t="s">
        <v>2748</v>
      </c>
      <c r="B2" s="21" t="s">
        <v>4055</v>
      </c>
      <c r="C2" s="21"/>
      <c r="D2" s="21"/>
      <c r="E2" s="21"/>
      <c r="F2" s="21"/>
      <c r="G2" s="21"/>
      <c r="H2" s="21"/>
      <c r="I2" s="21"/>
      <c r="J2" s="21"/>
      <c r="K2" s="21"/>
      <c r="L2" s="21"/>
      <c r="M2" s="21"/>
    </row>
    <row r="3" customFormat="false" ht="30" hidden="false" customHeight="true" outlineLevel="0" collapsed="false">
      <c r="A3" s="22" t="s">
        <v>2750</v>
      </c>
      <c r="B3" s="21" t="s">
        <v>4056</v>
      </c>
      <c r="C3" s="21"/>
      <c r="D3" s="21"/>
      <c r="E3" s="21"/>
      <c r="F3" s="21"/>
      <c r="G3" s="21"/>
      <c r="H3" s="21"/>
      <c r="I3" s="21"/>
      <c r="J3" s="21"/>
      <c r="K3" s="21"/>
      <c r="L3" s="21"/>
      <c r="M3" s="21"/>
    </row>
    <row r="4" customFormat="false" ht="30" hidden="false" customHeight="true" outlineLevel="0" collapsed="false">
      <c r="A4" s="22" t="s">
        <v>2752</v>
      </c>
      <c r="B4" s="21" t="s">
        <v>4057</v>
      </c>
      <c r="C4" s="21"/>
      <c r="D4" s="21"/>
      <c r="E4" s="21"/>
      <c r="F4" s="21"/>
      <c r="G4" s="21"/>
      <c r="H4" s="21"/>
      <c r="I4" s="21"/>
      <c r="J4" s="21"/>
      <c r="K4" s="21"/>
      <c r="L4" s="21"/>
      <c r="M4" s="21"/>
    </row>
    <row r="5" customFormat="false" ht="30" hidden="false" customHeight="true" outlineLevel="0" collapsed="false">
      <c r="A5" s="22" t="s">
        <v>2754</v>
      </c>
      <c r="B5" s="21" t="s">
        <v>4058</v>
      </c>
      <c r="C5" s="21"/>
      <c r="D5" s="21"/>
      <c r="E5" s="21"/>
      <c r="F5" s="21"/>
      <c r="G5" s="21"/>
      <c r="H5" s="21"/>
      <c r="I5" s="21"/>
      <c r="J5" s="21"/>
      <c r="K5" s="21"/>
      <c r="L5" s="21"/>
      <c r="M5" s="21"/>
    </row>
    <row r="6" customFormat="false" ht="30" hidden="false" customHeight="true" outlineLevel="0" collapsed="false">
      <c r="A6" s="22" t="s">
        <v>2756</v>
      </c>
      <c r="B6" s="21" t="s">
        <v>4059</v>
      </c>
      <c r="C6" s="21"/>
      <c r="D6" s="21"/>
      <c r="E6" s="21"/>
      <c r="F6" s="21"/>
      <c r="G6" s="21"/>
      <c r="H6" s="21"/>
      <c r="I6" s="21"/>
      <c r="J6" s="21"/>
      <c r="K6" s="21"/>
      <c r="L6" s="21"/>
      <c r="M6" s="21"/>
    </row>
    <row r="7" customFormat="false" ht="15" hidden="false" customHeight="false" outlineLevel="0" collapsed="false">
      <c r="A7" s="22" t="s">
        <v>2758</v>
      </c>
      <c r="B7" s="19" t="n">
        <v>350000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SUMIFS($I$26:$I$64,$B$26:$B$64,A11)</f>
        <v>14000</v>
      </c>
      <c r="C11" s="24" t="n">
        <f aca="false">IF($B$16=0,0,B11/$B$16)</f>
        <v>0.0504003225620644</v>
      </c>
    </row>
    <row r="12" customFormat="false" ht="15" hidden="false" customHeight="false" outlineLevel="0" collapsed="false">
      <c r="A12" s="12" t="s">
        <v>2765</v>
      </c>
      <c r="B12" s="23" t="n">
        <f aca="false">SUMIFS($I$26:$I$64,$B$26:$B$64,A12)</f>
        <v>230648</v>
      </c>
      <c r="C12" s="24" t="n">
        <f aca="false">IF($B$16=0,0,B12/$B$16)</f>
        <v>0.830338114163931</v>
      </c>
    </row>
    <row r="13" customFormat="false" ht="15" hidden="false" customHeight="false" outlineLevel="0" collapsed="false">
      <c r="A13" s="12" t="s">
        <v>2766</v>
      </c>
      <c r="B13" s="23" t="n">
        <f aca="false">SUMIFS($I$26:$I$64,$B$26:$B$64,A13)</f>
        <v>6000</v>
      </c>
      <c r="C13" s="24" t="n">
        <f aca="false">IF($B$16=0,0,B13/$B$16)</f>
        <v>0.0216001382408847</v>
      </c>
    </row>
    <row r="14" customFormat="false" ht="15" hidden="false" customHeight="false" outlineLevel="0" collapsed="false">
      <c r="A14" s="12" t="s">
        <v>2767</v>
      </c>
      <c r="B14" s="23" t="n">
        <f aca="false">SUMIFS($I$26:$I$64,$B$26:$B$64,A14)</f>
        <v>10400</v>
      </c>
      <c r="C14" s="24" t="n">
        <f aca="false">IF($B$16=0,0,B14/$B$16)</f>
        <v>0.0374402396175336</v>
      </c>
    </row>
    <row r="15" customFormat="false" ht="15" hidden="false" customHeight="false" outlineLevel="0" collapsed="false">
      <c r="A15" s="12" t="s">
        <v>2768</v>
      </c>
      <c r="B15" s="23" t="n">
        <f aca="false">SUMIFS($I$26:$I$64,$B$26:$B$64,A15)</f>
        <v>16728</v>
      </c>
      <c r="C15" s="24" t="n">
        <f aca="false">IF($B$16=0,0,B15/$B$16)</f>
        <v>0.0602211854155867</v>
      </c>
    </row>
    <row r="16" customFormat="false" ht="15" hidden="false" customHeight="false" outlineLevel="0" collapsed="false">
      <c r="A16" s="25" t="s">
        <v>2769</v>
      </c>
      <c r="B16" s="26" t="n">
        <f aca="false">SUM(B11:B15)</f>
        <v>277776</v>
      </c>
    </row>
    <row r="17" customFormat="false" ht="23.85" hidden="false" customHeight="false" outlineLevel="0" collapsed="false">
      <c r="A17" s="4" t="s">
        <v>2770</v>
      </c>
      <c r="B17" s="23" t="n">
        <f aca="false">$B$16*C17</f>
        <v>16666.56</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27777.6</v>
      </c>
      <c r="C18" s="27" t="n">
        <v>0.1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27777.6</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349997.76</v>
      </c>
    </row>
    <row r="21" customFormat="false" ht="15" hidden="false" customHeight="false" outlineLevel="0" collapsed="false">
      <c r="A21" s="12" t="s">
        <v>2774</v>
      </c>
      <c r="B21" s="23" t="n">
        <f aca="false">B20-B7</f>
        <v>-2.24000000004889</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4060</v>
      </c>
      <c r="B26" s="12" t="s">
        <v>2764</v>
      </c>
      <c r="C26" s="4" t="s">
        <v>4061</v>
      </c>
      <c r="D26" s="12" t="s">
        <v>2793</v>
      </c>
      <c r="E26" s="12" t="s">
        <v>2484</v>
      </c>
      <c r="F26" s="29" t="n">
        <v>1</v>
      </c>
      <c r="G26" s="29" t="n">
        <v>1</v>
      </c>
      <c r="H26" s="19" t="n">
        <v>7000</v>
      </c>
      <c r="I26" s="23" t="n">
        <f aca="false">F26*G26*H26</f>
        <v>7000</v>
      </c>
      <c r="J26" s="12" t="s">
        <v>4062</v>
      </c>
      <c r="K26" s="12" t="s">
        <v>2795</v>
      </c>
      <c r="L26" s="12" t="s">
        <v>2796</v>
      </c>
      <c r="M26" s="4" t="s">
        <v>4063</v>
      </c>
    </row>
    <row r="27" customFormat="false" ht="35.05" hidden="false" customHeight="false" outlineLevel="0" collapsed="false">
      <c r="A27" s="4" t="s">
        <v>4060</v>
      </c>
      <c r="B27" s="12" t="s">
        <v>2764</v>
      </c>
      <c r="C27" s="4" t="s">
        <v>4064</v>
      </c>
      <c r="D27" s="12" t="s">
        <v>2793</v>
      </c>
      <c r="E27" s="12" t="s">
        <v>2484</v>
      </c>
      <c r="F27" s="29" t="n">
        <v>1</v>
      </c>
      <c r="G27" s="29" t="n">
        <v>1</v>
      </c>
      <c r="H27" s="19" t="n">
        <v>5000</v>
      </c>
      <c r="I27" s="23" t="n">
        <f aca="false">F27*G27*H27</f>
        <v>5000</v>
      </c>
      <c r="J27" s="12" t="s">
        <v>4062</v>
      </c>
      <c r="K27" s="12" t="s">
        <v>3083</v>
      </c>
      <c r="L27" s="12" t="s">
        <v>2796</v>
      </c>
      <c r="M27" s="4" t="s">
        <v>4065</v>
      </c>
    </row>
    <row r="28" customFormat="false" ht="23.85" hidden="false" customHeight="false" outlineLevel="0" collapsed="false">
      <c r="A28" s="4" t="s">
        <v>4060</v>
      </c>
      <c r="B28" s="12" t="s">
        <v>2764</v>
      </c>
      <c r="C28" s="4" t="s">
        <v>4066</v>
      </c>
      <c r="D28" s="12" t="s">
        <v>2808</v>
      </c>
      <c r="E28" s="12" t="s">
        <v>2497</v>
      </c>
      <c r="F28" s="29" t="n">
        <v>2</v>
      </c>
      <c r="G28" s="29" t="n">
        <v>1</v>
      </c>
      <c r="H28" s="19" t="n">
        <v>1000</v>
      </c>
      <c r="I28" s="23" t="n">
        <f aca="false">F28*G28*H28</f>
        <v>2000</v>
      </c>
      <c r="J28" s="12" t="s">
        <v>4062</v>
      </c>
      <c r="K28" s="12" t="s">
        <v>2810</v>
      </c>
      <c r="L28" s="12" t="s">
        <v>2796</v>
      </c>
      <c r="M28" s="4" t="s">
        <v>4067</v>
      </c>
    </row>
    <row r="29" customFormat="false" ht="23.85" hidden="false" customHeight="false" outlineLevel="0" collapsed="false">
      <c r="A29" s="4" t="s">
        <v>4060</v>
      </c>
      <c r="B29" s="12" t="s">
        <v>2765</v>
      </c>
      <c r="C29" s="4" t="s">
        <v>4068</v>
      </c>
      <c r="D29" s="12" t="s">
        <v>2793</v>
      </c>
      <c r="E29" s="12" t="s">
        <v>2484</v>
      </c>
      <c r="F29" s="29" t="n">
        <v>1</v>
      </c>
      <c r="G29" s="29" t="n">
        <v>4</v>
      </c>
      <c r="H29" s="19" t="n">
        <v>7000</v>
      </c>
      <c r="I29" s="23" t="n">
        <f aca="false">F29*G29*H29</f>
        <v>28000</v>
      </c>
      <c r="J29" s="12" t="s">
        <v>4062</v>
      </c>
      <c r="K29" s="12" t="s">
        <v>2795</v>
      </c>
      <c r="L29" s="12" t="s">
        <v>2796</v>
      </c>
      <c r="M29" s="4" t="s">
        <v>4069</v>
      </c>
    </row>
    <row r="30" customFormat="false" ht="23.85" hidden="false" customHeight="false" outlineLevel="0" collapsed="false">
      <c r="A30" s="4" t="s">
        <v>4060</v>
      </c>
      <c r="B30" s="12" t="s">
        <v>2765</v>
      </c>
      <c r="C30" s="4" t="s">
        <v>3179</v>
      </c>
      <c r="D30" s="12" t="s">
        <v>2808</v>
      </c>
      <c r="E30" s="12" t="s">
        <v>2497</v>
      </c>
      <c r="F30" s="29" t="n">
        <v>3</v>
      </c>
      <c r="G30" s="29" t="n">
        <v>4</v>
      </c>
      <c r="H30" s="19" t="n">
        <v>450</v>
      </c>
      <c r="I30" s="23" t="n">
        <f aca="false">F30*G30*H30</f>
        <v>5400</v>
      </c>
      <c r="J30" s="12" t="s">
        <v>4062</v>
      </c>
      <c r="K30" s="12" t="s">
        <v>3180</v>
      </c>
      <c r="L30" s="12" t="s">
        <v>2796</v>
      </c>
      <c r="M30" s="4" t="s">
        <v>4070</v>
      </c>
    </row>
    <row r="31" customFormat="false" ht="46.25" hidden="false" customHeight="false" outlineLevel="0" collapsed="false">
      <c r="A31" s="4" t="s">
        <v>4071</v>
      </c>
      <c r="B31" s="12" t="s">
        <v>2765</v>
      </c>
      <c r="C31" s="4" t="s">
        <v>4072</v>
      </c>
      <c r="D31" s="12" t="s">
        <v>2855</v>
      </c>
      <c r="E31" s="12" t="s">
        <v>2516</v>
      </c>
      <c r="F31" s="29" t="n">
        <v>4</v>
      </c>
      <c r="G31" s="29" t="n">
        <v>1</v>
      </c>
      <c r="H31" s="19" t="n">
        <v>9104</v>
      </c>
      <c r="I31" s="23" t="n">
        <f aca="false">F31*G31*H31</f>
        <v>36416</v>
      </c>
      <c r="J31" s="12" t="s">
        <v>4062</v>
      </c>
      <c r="K31" s="12" t="s">
        <v>2805</v>
      </c>
      <c r="L31" s="12"/>
      <c r="M31" s="4" t="s">
        <v>4073</v>
      </c>
    </row>
    <row r="32" customFormat="false" ht="23.85" hidden="false" customHeight="false" outlineLevel="0" collapsed="false">
      <c r="A32" s="4" t="s">
        <v>4071</v>
      </c>
      <c r="B32" s="12" t="s">
        <v>2765</v>
      </c>
      <c r="C32" s="4" t="s">
        <v>4074</v>
      </c>
      <c r="D32" s="12" t="s">
        <v>2808</v>
      </c>
      <c r="E32" s="12" t="s">
        <v>2528</v>
      </c>
      <c r="F32" s="29" t="n">
        <v>200</v>
      </c>
      <c r="G32" s="29" t="n">
        <v>1</v>
      </c>
      <c r="H32" s="19" t="n">
        <v>55</v>
      </c>
      <c r="I32" s="23" t="n">
        <f aca="false">F32*G32*H32</f>
        <v>11000</v>
      </c>
      <c r="J32" s="12" t="s">
        <v>4062</v>
      </c>
      <c r="K32" s="12" t="s">
        <v>2805</v>
      </c>
      <c r="L32" s="12"/>
      <c r="M32" s="4" t="s">
        <v>4075</v>
      </c>
    </row>
    <row r="33" customFormat="false" ht="35.05" hidden="false" customHeight="false" outlineLevel="0" collapsed="false">
      <c r="A33" s="4" t="s">
        <v>4071</v>
      </c>
      <c r="B33" s="12" t="s">
        <v>2765</v>
      </c>
      <c r="C33" s="4" t="s">
        <v>4076</v>
      </c>
      <c r="D33" s="12" t="s">
        <v>2882</v>
      </c>
      <c r="E33" s="12" t="s">
        <v>2601</v>
      </c>
      <c r="F33" s="29" t="n">
        <v>1</v>
      </c>
      <c r="G33" s="29" t="n">
        <v>1</v>
      </c>
      <c r="H33" s="19" t="n">
        <v>7772</v>
      </c>
      <c r="I33" s="23" t="n">
        <f aca="false">F33*G33*H33</f>
        <v>7772</v>
      </c>
      <c r="J33" s="12" t="s">
        <v>4062</v>
      </c>
      <c r="K33" s="12" t="s">
        <v>2805</v>
      </c>
      <c r="L33" s="12"/>
      <c r="M33" s="4" t="s">
        <v>4077</v>
      </c>
    </row>
    <row r="34" customFormat="false" ht="23.85" hidden="false" customHeight="false" outlineLevel="0" collapsed="false">
      <c r="A34" s="4" t="s">
        <v>4071</v>
      </c>
      <c r="B34" s="12" t="s">
        <v>2765</v>
      </c>
      <c r="C34" s="4" t="s">
        <v>4078</v>
      </c>
      <c r="D34" s="12" t="s">
        <v>2808</v>
      </c>
      <c r="E34" s="12" t="s">
        <v>2497</v>
      </c>
      <c r="F34" s="29" t="n">
        <v>2</v>
      </c>
      <c r="G34" s="29" t="n">
        <v>4</v>
      </c>
      <c r="H34" s="19" t="n">
        <v>700</v>
      </c>
      <c r="I34" s="23" t="n">
        <f aca="false">F34*G34*H34</f>
        <v>5600</v>
      </c>
      <c r="J34" s="12" t="s">
        <v>4062</v>
      </c>
      <c r="K34" s="12" t="s">
        <v>2805</v>
      </c>
      <c r="L34" s="12"/>
      <c r="M34" s="4" t="s">
        <v>4079</v>
      </c>
    </row>
    <row r="35" customFormat="false" ht="23.85" hidden="false" customHeight="false" outlineLevel="0" collapsed="false">
      <c r="A35" s="4" t="s">
        <v>4071</v>
      </c>
      <c r="B35" s="12" t="s">
        <v>2765</v>
      </c>
      <c r="C35" s="4" t="s">
        <v>4080</v>
      </c>
      <c r="D35" s="12" t="s">
        <v>2808</v>
      </c>
      <c r="E35" s="12" t="s">
        <v>2501</v>
      </c>
      <c r="F35" s="29" t="n">
        <v>20</v>
      </c>
      <c r="G35" s="29" t="n">
        <v>4</v>
      </c>
      <c r="H35" s="19" t="n">
        <v>130</v>
      </c>
      <c r="I35" s="23" t="n">
        <f aca="false">F35*G35*H35</f>
        <v>10400</v>
      </c>
      <c r="J35" s="12" t="s">
        <v>4062</v>
      </c>
      <c r="K35" s="12" t="s">
        <v>2821</v>
      </c>
      <c r="L35" s="12" t="s">
        <v>2796</v>
      </c>
      <c r="M35" s="4" t="s">
        <v>4081</v>
      </c>
    </row>
    <row r="36" customFormat="false" ht="23.85" hidden="false" customHeight="false" outlineLevel="0" collapsed="false">
      <c r="A36" s="4" t="s">
        <v>4071</v>
      </c>
      <c r="B36" s="12" t="s">
        <v>2765</v>
      </c>
      <c r="C36" s="4" t="s">
        <v>4082</v>
      </c>
      <c r="D36" s="12" t="s">
        <v>2808</v>
      </c>
      <c r="E36" s="12" t="s">
        <v>2831</v>
      </c>
      <c r="F36" s="29" t="n">
        <v>80</v>
      </c>
      <c r="G36" s="29" t="n">
        <v>1</v>
      </c>
      <c r="H36" s="19" t="n">
        <v>80</v>
      </c>
      <c r="I36" s="23" t="n">
        <f aca="false">F36*G36*H36</f>
        <v>6400</v>
      </c>
      <c r="J36" s="12" t="s">
        <v>4062</v>
      </c>
      <c r="K36" s="12" t="s">
        <v>2805</v>
      </c>
      <c r="L36" s="12"/>
      <c r="M36" s="4" t="s">
        <v>4083</v>
      </c>
    </row>
    <row r="37" customFormat="false" ht="23.85" hidden="false" customHeight="false" outlineLevel="0" collapsed="false">
      <c r="A37" s="4" t="s">
        <v>4084</v>
      </c>
      <c r="B37" s="12" t="s">
        <v>2765</v>
      </c>
      <c r="C37" s="4" t="s">
        <v>4085</v>
      </c>
      <c r="D37" s="12" t="s">
        <v>2808</v>
      </c>
      <c r="E37" s="12" t="s">
        <v>2501</v>
      </c>
      <c r="F37" s="29" t="n">
        <v>12</v>
      </c>
      <c r="G37" s="29" t="n">
        <v>4</v>
      </c>
      <c r="H37" s="19" t="n">
        <v>130</v>
      </c>
      <c r="I37" s="23" t="n">
        <f aca="false">F37*G37*H37</f>
        <v>6240</v>
      </c>
      <c r="J37" s="12" t="s">
        <v>4062</v>
      </c>
      <c r="K37" s="12" t="s">
        <v>2821</v>
      </c>
      <c r="L37" s="12" t="s">
        <v>2796</v>
      </c>
      <c r="M37" s="4" t="s">
        <v>4086</v>
      </c>
    </row>
    <row r="38" customFormat="false" ht="23.85" hidden="false" customHeight="false" outlineLevel="0" collapsed="false">
      <c r="A38" s="4" t="s">
        <v>4084</v>
      </c>
      <c r="B38" s="12" t="s">
        <v>2765</v>
      </c>
      <c r="C38" s="4" t="s">
        <v>4087</v>
      </c>
      <c r="D38" s="12" t="s">
        <v>2855</v>
      </c>
      <c r="E38" s="12" t="s">
        <v>2516</v>
      </c>
      <c r="F38" s="29" t="n">
        <v>3</v>
      </c>
      <c r="G38" s="29" t="n">
        <v>4</v>
      </c>
      <c r="H38" s="19" t="n">
        <v>800</v>
      </c>
      <c r="I38" s="23" t="n">
        <f aca="false">F38*G38*H38</f>
        <v>9600</v>
      </c>
      <c r="J38" s="12" t="s">
        <v>4062</v>
      </c>
      <c r="K38" s="12" t="s">
        <v>3114</v>
      </c>
      <c r="L38" s="12" t="s">
        <v>2950</v>
      </c>
      <c r="M38" s="4" t="s">
        <v>4088</v>
      </c>
    </row>
    <row r="39" customFormat="false" ht="23.85" hidden="false" customHeight="false" outlineLevel="0" collapsed="false">
      <c r="A39" s="4" t="s">
        <v>4084</v>
      </c>
      <c r="B39" s="12" t="s">
        <v>2765</v>
      </c>
      <c r="C39" s="4" t="s">
        <v>4089</v>
      </c>
      <c r="D39" s="12" t="s">
        <v>2855</v>
      </c>
      <c r="E39" s="12" t="s">
        <v>2516</v>
      </c>
      <c r="F39" s="29" t="n">
        <v>1</v>
      </c>
      <c r="G39" s="29" t="n">
        <v>4</v>
      </c>
      <c r="H39" s="19" t="n">
        <v>1500</v>
      </c>
      <c r="I39" s="23" t="n">
        <f aca="false">F39*G39*H39</f>
        <v>6000</v>
      </c>
      <c r="J39" s="12" t="s">
        <v>4062</v>
      </c>
      <c r="K39" s="12" t="s">
        <v>3114</v>
      </c>
      <c r="L39" s="12" t="s">
        <v>2796</v>
      </c>
      <c r="M39" s="4" t="s">
        <v>4090</v>
      </c>
    </row>
    <row r="40" customFormat="false" ht="23.85" hidden="false" customHeight="false" outlineLevel="0" collapsed="false">
      <c r="A40" s="4" t="s">
        <v>4084</v>
      </c>
      <c r="B40" s="12" t="s">
        <v>2765</v>
      </c>
      <c r="C40" s="4" t="s">
        <v>4091</v>
      </c>
      <c r="D40" s="12" t="s">
        <v>2855</v>
      </c>
      <c r="E40" s="12" t="s">
        <v>2516</v>
      </c>
      <c r="F40" s="29" t="n">
        <v>1</v>
      </c>
      <c r="G40" s="29" t="n">
        <v>4</v>
      </c>
      <c r="H40" s="19" t="n">
        <v>1500</v>
      </c>
      <c r="I40" s="23" t="n">
        <f aca="false">F40*G40*H40</f>
        <v>6000</v>
      </c>
      <c r="J40" s="12" t="s">
        <v>4062</v>
      </c>
      <c r="K40" s="12" t="s">
        <v>3114</v>
      </c>
      <c r="L40" s="12" t="s">
        <v>2796</v>
      </c>
      <c r="M40" s="4" t="s">
        <v>4092</v>
      </c>
    </row>
    <row r="41" customFormat="false" ht="23.85" hidden="false" customHeight="false" outlineLevel="0" collapsed="false">
      <c r="A41" s="4" t="s">
        <v>4084</v>
      </c>
      <c r="B41" s="12" t="s">
        <v>2765</v>
      </c>
      <c r="C41" s="4" t="s">
        <v>4093</v>
      </c>
      <c r="D41" s="12" t="s">
        <v>2855</v>
      </c>
      <c r="E41" s="12" t="s">
        <v>2516</v>
      </c>
      <c r="F41" s="29" t="n">
        <v>1</v>
      </c>
      <c r="G41" s="29" t="n">
        <v>4</v>
      </c>
      <c r="H41" s="19" t="n">
        <v>4000</v>
      </c>
      <c r="I41" s="23" t="n">
        <f aca="false">F41*G41*H41</f>
        <v>16000</v>
      </c>
      <c r="J41" s="12" t="s">
        <v>4062</v>
      </c>
      <c r="K41" s="12" t="s">
        <v>2858</v>
      </c>
      <c r="L41" s="12" t="s">
        <v>2950</v>
      </c>
      <c r="M41" s="4" t="s">
        <v>4094</v>
      </c>
    </row>
    <row r="42" customFormat="false" ht="23.85" hidden="false" customHeight="false" outlineLevel="0" collapsed="false">
      <c r="A42" s="4" t="s">
        <v>4084</v>
      </c>
      <c r="B42" s="12" t="s">
        <v>2765</v>
      </c>
      <c r="C42" s="4" t="s">
        <v>4095</v>
      </c>
      <c r="D42" s="12" t="s">
        <v>2808</v>
      </c>
      <c r="E42" s="12" t="s">
        <v>2497</v>
      </c>
      <c r="F42" s="29" t="n">
        <v>1</v>
      </c>
      <c r="G42" s="29" t="n">
        <v>4</v>
      </c>
      <c r="H42" s="19" t="n">
        <v>800</v>
      </c>
      <c r="I42" s="23" t="n">
        <f aca="false">F42*G42*H42</f>
        <v>3200</v>
      </c>
      <c r="J42" s="12" t="s">
        <v>4062</v>
      </c>
      <c r="K42" s="12" t="s">
        <v>2805</v>
      </c>
      <c r="L42" s="12"/>
      <c r="M42" s="4" t="s">
        <v>4096</v>
      </c>
    </row>
    <row r="43" customFormat="false" ht="23.85" hidden="false" customHeight="false" outlineLevel="0" collapsed="false">
      <c r="A43" s="4" t="s">
        <v>4060</v>
      </c>
      <c r="B43" s="12" t="s">
        <v>2765</v>
      </c>
      <c r="C43" s="4" t="s">
        <v>3318</v>
      </c>
      <c r="D43" s="12" t="s">
        <v>2808</v>
      </c>
      <c r="E43" s="12" t="s">
        <v>2497</v>
      </c>
      <c r="F43" s="29" t="n">
        <v>1</v>
      </c>
      <c r="G43" s="29" t="n">
        <v>4</v>
      </c>
      <c r="H43" s="19" t="n">
        <v>2000</v>
      </c>
      <c r="I43" s="23" t="n">
        <f aca="false">F43*G43*H43</f>
        <v>8000</v>
      </c>
      <c r="J43" s="12" t="s">
        <v>4062</v>
      </c>
      <c r="K43" s="12" t="s">
        <v>2863</v>
      </c>
      <c r="L43" s="12" t="s">
        <v>2796</v>
      </c>
      <c r="M43" s="4" t="s">
        <v>4097</v>
      </c>
    </row>
    <row r="44" customFormat="false" ht="23.85" hidden="false" customHeight="false" outlineLevel="0" collapsed="false">
      <c r="A44" s="4" t="s">
        <v>4060</v>
      </c>
      <c r="B44" s="12" t="s">
        <v>2765</v>
      </c>
      <c r="C44" s="4" t="s">
        <v>2868</v>
      </c>
      <c r="D44" s="12" t="s">
        <v>2808</v>
      </c>
      <c r="E44" s="12" t="s">
        <v>2497</v>
      </c>
      <c r="F44" s="29" t="n">
        <v>1</v>
      </c>
      <c r="G44" s="29" t="n">
        <v>4</v>
      </c>
      <c r="H44" s="19" t="n">
        <v>700</v>
      </c>
      <c r="I44" s="23" t="n">
        <f aca="false">F44*G44*H44</f>
        <v>2800</v>
      </c>
      <c r="J44" s="12" t="s">
        <v>4062</v>
      </c>
      <c r="K44" s="12" t="s">
        <v>2866</v>
      </c>
      <c r="L44" s="12" t="s">
        <v>2796</v>
      </c>
      <c r="M44" s="4" t="s">
        <v>4098</v>
      </c>
    </row>
    <row r="45" customFormat="false" ht="23.85" hidden="false" customHeight="false" outlineLevel="0" collapsed="false">
      <c r="A45" s="4" t="s">
        <v>4060</v>
      </c>
      <c r="B45" s="12" t="s">
        <v>2765</v>
      </c>
      <c r="C45" s="4" t="s">
        <v>3433</v>
      </c>
      <c r="D45" s="12" t="s">
        <v>2808</v>
      </c>
      <c r="E45" s="12" t="s">
        <v>2497</v>
      </c>
      <c r="F45" s="29" t="n">
        <v>1</v>
      </c>
      <c r="G45" s="29" t="n">
        <v>4</v>
      </c>
      <c r="H45" s="19" t="n">
        <v>1100</v>
      </c>
      <c r="I45" s="23" t="n">
        <f aca="false">F45*G45*H45</f>
        <v>4400</v>
      </c>
      <c r="J45" s="12" t="s">
        <v>4062</v>
      </c>
      <c r="K45" s="12" t="s">
        <v>3434</v>
      </c>
      <c r="L45" s="12" t="s">
        <v>2796</v>
      </c>
      <c r="M45" s="4" t="s">
        <v>4099</v>
      </c>
    </row>
    <row r="46" customFormat="false" ht="23.85" hidden="false" customHeight="false" outlineLevel="0" collapsed="false">
      <c r="A46" s="4" t="s">
        <v>4060</v>
      </c>
      <c r="B46" s="12" t="s">
        <v>2765</v>
      </c>
      <c r="C46" s="4" t="s">
        <v>3505</v>
      </c>
      <c r="D46" s="12" t="s">
        <v>2808</v>
      </c>
      <c r="E46" s="12" t="s">
        <v>3506</v>
      </c>
      <c r="F46" s="29" t="n">
        <v>2</v>
      </c>
      <c r="G46" s="29" t="n">
        <v>4</v>
      </c>
      <c r="H46" s="19" t="n">
        <v>220</v>
      </c>
      <c r="I46" s="23" t="n">
        <f aca="false">F46*G46*H46</f>
        <v>1760</v>
      </c>
      <c r="J46" s="12" t="s">
        <v>4062</v>
      </c>
      <c r="K46" s="12" t="s">
        <v>3507</v>
      </c>
      <c r="L46" s="12" t="s">
        <v>2796</v>
      </c>
      <c r="M46" s="4" t="s">
        <v>4100</v>
      </c>
    </row>
    <row r="47" customFormat="false" ht="23.85" hidden="false" customHeight="false" outlineLevel="0" collapsed="false">
      <c r="A47" s="4" t="s">
        <v>4060</v>
      </c>
      <c r="B47" s="12" t="s">
        <v>2765</v>
      </c>
      <c r="C47" s="4" t="s">
        <v>3325</v>
      </c>
      <c r="D47" s="12" t="s">
        <v>2808</v>
      </c>
      <c r="E47" s="12" t="s">
        <v>2497</v>
      </c>
      <c r="F47" s="29" t="n">
        <v>2</v>
      </c>
      <c r="G47" s="29" t="n">
        <v>4</v>
      </c>
      <c r="H47" s="19" t="n">
        <v>300</v>
      </c>
      <c r="I47" s="23" t="n">
        <f aca="false">F47*G47*H47</f>
        <v>2400</v>
      </c>
      <c r="J47" s="12" t="s">
        <v>4062</v>
      </c>
      <c r="K47" s="12" t="s">
        <v>2875</v>
      </c>
      <c r="L47" s="12" t="s">
        <v>2796</v>
      </c>
      <c r="M47" s="4" t="s">
        <v>4101</v>
      </c>
    </row>
    <row r="48" customFormat="false" ht="23.85" hidden="false" customHeight="false" outlineLevel="0" collapsed="false">
      <c r="A48" s="4" t="s">
        <v>4060</v>
      </c>
      <c r="B48" s="12" t="s">
        <v>2765</v>
      </c>
      <c r="C48" s="4" t="s">
        <v>4102</v>
      </c>
      <c r="D48" s="12" t="s">
        <v>2808</v>
      </c>
      <c r="E48" s="12" t="s">
        <v>2497</v>
      </c>
      <c r="F48" s="29" t="n">
        <v>1</v>
      </c>
      <c r="G48" s="29" t="n">
        <v>4</v>
      </c>
      <c r="H48" s="19" t="n">
        <v>300</v>
      </c>
      <c r="I48" s="23" t="n">
        <f aca="false">F48*G48*H48</f>
        <v>1200</v>
      </c>
      <c r="J48" s="12" t="s">
        <v>4062</v>
      </c>
      <c r="K48" s="12" t="s">
        <v>2870</v>
      </c>
      <c r="L48" s="12" t="s">
        <v>2796</v>
      </c>
      <c r="M48" s="4" t="s">
        <v>4103</v>
      </c>
    </row>
    <row r="49" customFormat="false" ht="23.85" hidden="false" customHeight="false" outlineLevel="0" collapsed="false">
      <c r="A49" s="4" t="s">
        <v>4060</v>
      </c>
      <c r="B49" s="12" t="s">
        <v>2765</v>
      </c>
      <c r="C49" s="4" t="s">
        <v>3414</v>
      </c>
      <c r="D49" s="12" t="s">
        <v>2808</v>
      </c>
      <c r="E49" s="12" t="s">
        <v>2497</v>
      </c>
      <c r="F49" s="29" t="n">
        <v>3</v>
      </c>
      <c r="G49" s="29" t="n">
        <v>1</v>
      </c>
      <c r="H49" s="19" t="n">
        <v>1000</v>
      </c>
      <c r="I49" s="23" t="n">
        <f aca="false">F49*G49*H49</f>
        <v>3000</v>
      </c>
      <c r="J49" s="12" t="s">
        <v>4062</v>
      </c>
      <c r="K49" s="12" t="s">
        <v>2810</v>
      </c>
      <c r="L49" s="12" t="s">
        <v>2796</v>
      </c>
      <c r="M49" s="4" t="s">
        <v>4104</v>
      </c>
    </row>
    <row r="50" customFormat="false" ht="23.85" hidden="false" customHeight="false" outlineLevel="0" collapsed="false">
      <c r="A50" s="4" t="s">
        <v>4060</v>
      </c>
      <c r="B50" s="12" t="s">
        <v>2765</v>
      </c>
      <c r="C50" s="4" t="s">
        <v>3593</v>
      </c>
      <c r="D50" s="12" t="s">
        <v>2808</v>
      </c>
      <c r="E50" s="12" t="s">
        <v>3165</v>
      </c>
      <c r="F50" s="29" t="n">
        <v>10</v>
      </c>
      <c r="G50" s="29" t="n">
        <v>4</v>
      </c>
      <c r="H50" s="19" t="n">
        <v>90</v>
      </c>
      <c r="I50" s="23" t="n">
        <f aca="false">F50*G50*H50</f>
        <v>3600</v>
      </c>
      <c r="J50" s="12" t="s">
        <v>4062</v>
      </c>
      <c r="K50" s="12" t="s">
        <v>3169</v>
      </c>
      <c r="L50" s="12" t="s">
        <v>2796</v>
      </c>
      <c r="M50" s="4" t="s">
        <v>4105</v>
      </c>
    </row>
    <row r="51" customFormat="false" ht="23.85" hidden="false" customHeight="false" outlineLevel="0" collapsed="false">
      <c r="A51" s="4" t="s">
        <v>4060</v>
      </c>
      <c r="B51" s="12" t="s">
        <v>2765</v>
      </c>
      <c r="C51" s="4" t="s">
        <v>3305</v>
      </c>
      <c r="D51" s="12" t="s">
        <v>2808</v>
      </c>
      <c r="E51" s="12" t="s">
        <v>2477</v>
      </c>
      <c r="F51" s="29" t="n">
        <v>220</v>
      </c>
      <c r="G51" s="29" t="n">
        <v>4</v>
      </c>
      <c r="H51" s="19" t="n">
        <v>10</v>
      </c>
      <c r="I51" s="23" t="n">
        <f aca="false">F51*G51*H51</f>
        <v>8800</v>
      </c>
      <c r="J51" s="12" t="s">
        <v>4062</v>
      </c>
      <c r="K51" s="12" t="s">
        <v>2805</v>
      </c>
      <c r="L51" s="12"/>
      <c r="M51" s="4" t="s">
        <v>4106</v>
      </c>
    </row>
    <row r="52" customFormat="false" ht="23.85" hidden="false" customHeight="false" outlineLevel="0" collapsed="false">
      <c r="A52" s="4" t="s">
        <v>4060</v>
      </c>
      <c r="B52" s="12" t="s">
        <v>2765</v>
      </c>
      <c r="C52" s="4" t="s">
        <v>3513</v>
      </c>
      <c r="D52" s="12" t="s">
        <v>2808</v>
      </c>
      <c r="E52" s="12" t="s">
        <v>2683</v>
      </c>
      <c r="F52" s="29" t="n">
        <v>1</v>
      </c>
      <c r="G52" s="29" t="n">
        <v>1</v>
      </c>
      <c r="H52" s="19" t="n">
        <v>3000</v>
      </c>
      <c r="I52" s="23" t="n">
        <f aca="false">F52*G52*H52</f>
        <v>3000</v>
      </c>
      <c r="J52" s="12" t="s">
        <v>4062</v>
      </c>
      <c r="K52" s="12" t="s">
        <v>2845</v>
      </c>
      <c r="L52" s="12" t="s">
        <v>2796</v>
      </c>
      <c r="M52" s="4" t="s">
        <v>4107</v>
      </c>
    </row>
    <row r="53" customFormat="false" ht="23.85" hidden="false" customHeight="false" outlineLevel="0" collapsed="false">
      <c r="A53" s="4" t="s">
        <v>4060</v>
      </c>
      <c r="B53" s="12" t="s">
        <v>2765</v>
      </c>
      <c r="C53" s="4" t="s">
        <v>4108</v>
      </c>
      <c r="D53" s="12" t="s">
        <v>2882</v>
      </c>
      <c r="E53" s="12" t="s">
        <v>2601</v>
      </c>
      <c r="F53" s="29" t="n">
        <v>1</v>
      </c>
      <c r="G53" s="29" t="n">
        <v>1</v>
      </c>
      <c r="H53" s="19" t="n">
        <v>2500</v>
      </c>
      <c r="I53" s="23" t="n">
        <f aca="false">F53*G53*H53</f>
        <v>2500</v>
      </c>
      <c r="J53" s="12" t="s">
        <v>4062</v>
      </c>
      <c r="K53" s="12" t="s">
        <v>3327</v>
      </c>
      <c r="L53" s="12" t="s">
        <v>2796</v>
      </c>
      <c r="M53" s="4" t="s">
        <v>4109</v>
      </c>
    </row>
    <row r="54" customFormat="false" ht="23.85" hidden="false" customHeight="false" outlineLevel="0" collapsed="false">
      <c r="A54" s="4" t="s">
        <v>4060</v>
      </c>
      <c r="B54" s="12" t="s">
        <v>2765</v>
      </c>
      <c r="C54" s="4" t="s">
        <v>3699</v>
      </c>
      <c r="D54" s="12" t="s">
        <v>2882</v>
      </c>
      <c r="E54" s="12" t="s">
        <v>2601</v>
      </c>
      <c r="F54" s="29" t="n">
        <v>1</v>
      </c>
      <c r="G54" s="29" t="n">
        <v>1</v>
      </c>
      <c r="H54" s="19" t="n">
        <v>2000</v>
      </c>
      <c r="I54" s="23" t="n">
        <f aca="false">F54*G54*H54</f>
        <v>2000</v>
      </c>
      <c r="J54" s="12" t="s">
        <v>4062</v>
      </c>
      <c r="K54" s="12" t="s">
        <v>2805</v>
      </c>
      <c r="L54" s="12"/>
      <c r="M54" s="4" t="s">
        <v>4110</v>
      </c>
    </row>
    <row r="55" customFormat="false" ht="23.85" hidden="false" customHeight="false" outlineLevel="0" collapsed="false">
      <c r="A55" s="4" t="s">
        <v>4060</v>
      </c>
      <c r="B55" s="12" t="s">
        <v>2765</v>
      </c>
      <c r="C55" s="4" t="s">
        <v>4111</v>
      </c>
      <c r="D55" s="12" t="s">
        <v>2808</v>
      </c>
      <c r="E55" s="12" t="s">
        <v>2477</v>
      </c>
      <c r="F55" s="29" t="n">
        <v>160</v>
      </c>
      <c r="G55" s="29" t="n">
        <v>1</v>
      </c>
      <c r="H55" s="19" t="n">
        <v>30</v>
      </c>
      <c r="I55" s="23" t="n">
        <f aca="false">F55*G55*H55</f>
        <v>4800</v>
      </c>
      <c r="J55" s="12" t="s">
        <v>4062</v>
      </c>
      <c r="K55" s="12" t="s">
        <v>2805</v>
      </c>
      <c r="L55" s="12"/>
      <c r="M55" s="4" t="s">
        <v>4112</v>
      </c>
    </row>
    <row r="56" customFormat="false" ht="23.85" hidden="false" customHeight="false" outlineLevel="0" collapsed="false">
      <c r="A56" s="4" t="s">
        <v>4060</v>
      </c>
      <c r="B56" s="12" t="s">
        <v>2765</v>
      </c>
      <c r="C56" s="4" t="s">
        <v>2613</v>
      </c>
      <c r="D56" s="12" t="s">
        <v>2808</v>
      </c>
      <c r="E56" s="12" t="s">
        <v>2497</v>
      </c>
      <c r="F56" s="29" t="n">
        <v>1</v>
      </c>
      <c r="G56" s="29" t="n">
        <v>2</v>
      </c>
      <c r="H56" s="19" t="n">
        <v>900</v>
      </c>
      <c r="I56" s="23" t="n">
        <f aca="false">F56*G56*H56</f>
        <v>1800</v>
      </c>
      <c r="J56" s="12" t="s">
        <v>4062</v>
      </c>
      <c r="K56" s="12" t="s">
        <v>2848</v>
      </c>
      <c r="L56" s="12" t="s">
        <v>2796</v>
      </c>
      <c r="M56" s="4" t="s">
        <v>4113</v>
      </c>
    </row>
    <row r="57" customFormat="false" ht="23.85" hidden="false" customHeight="false" outlineLevel="0" collapsed="false">
      <c r="A57" s="4" t="s">
        <v>4060</v>
      </c>
      <c r="B57" s="12" t="s">
        <v>2765</v>
      </c>
      <c r="C57" s="4" t="s">
        <v>3333</v>
      </c>
      <c r="D57" s="12" t="s">
        <v>2808</v>
      </c>
      <c r="E57" s="12" t="s">
        <v>2497</v>
      </c>
      <c r="F57" s="29" t="n">
        <v>1</v>
      </c>
      <c r="G57" s="29" t="n">
        <v>4</v>
      </c>
      <c r="H57" s="19" t="n">
        <v>1800</v>
      </c>
      <c r="I57" s="23" t="n">
        <f aca="false">F57*G57*H57</f>
        <v>7200</v>
      </c>
      <c r="J57" s="12" t="s">
        <v>4062</v>
      </c>
      <c r="K57" s="12" t="s">
        <v>2851</v>
      </c>
      <c r="L57" s="12" t="s">
        <v>2796</v>
      </c>
      <c r="M57" s="4" t="s">
        <v>4114</v>
      </c>
    </row>
    <row r="58" customFormat="false" ht="23.85" hidden="false" customHeight="false" outlineLevel="0" collapsed="false">
      <c r="A58" s="4" t="s">
        <v>4060</v>
      </c>
      <c r="B58" s="12" t="s">
        <v>2766</v>
      </c>
      <c r="C58" s="4" t="s">
        <v>4115</v>
      </c>
      <c r="D58" s="12" t="s">
        <v>2804</v>
      </c>
      <c r="E58" s="12" t="s">
        <v>2597</v>
      </c>
      <c r="F58" s="29" t="n">
        <v>1</v>
      </c>
      <c r="G58" s="29" t="n">
        <v>1</v>
      </c>
      <c r="H58" s="19" t="n">
        <v>6000</v>
      </c>
      <c r="I58" s="23" t="n">
        <f aca="false">F58*G58*H58</f>
        <v>6000</v>
      </c>
      <c r="J58" s="12" t="s">
        <v>2794</v>
      </c>
      <c r="K58" s="12" t="s">
        <v>2891</v>
      </c>
      <c r="L58" s="12" t="s">
        <v>3221</v>
      </c>
      <c r="M58" s="4" t="s">
        <v>4116</v>
      </c>
    </row>
    <row r="59" customFormat="false" ht="23.85" hidden="false" customHeight="false" outlineLevel="0" collapsed="false">
      <c r="A59" s="4" t="s">
        <v>4060</v>
      </c>
      <c r="B59" s="12" t="s">
        <v>2768</v>
      </c>
      <c r="C59" s="4" t="s">
        <v>2911</v>
      </c>
      <c r="D59" s="12" t="s">
        <v>2882</v>
      </c>
      <c r="E59" s="12" t="s">
        <v>2601</v>
      </c>
      <c r="F59" s="29" t="n">
        <v>1</v>
      </c>
      <c r="G59" s="29" t="n">
        <v>1</v>
      </c>
      <c r="H59" s="19" t="n">
        <v>16728</v>
      </c>
      <c r="I59" s="23" t="n">
        <f aca="false">F59*G59*H59</f>
        <v>16728</v>
      </c>
      <c r="J59" s="12" t="s">
        <v>2794</v>
      </c>
      <c r="K59" s="12" t="s">
        <v>2805</v>
      </c>
      <c r="L59" s="12"/>
      <c r="M59" s="4" t="s">
        <v>4117</v>
      </c>
    </row>
    <row r="60" customFormat="false" ht="23.85" hidden="false" customHeight="false" outlineLevel="0" collapsed="false">
      <c r="A60" s="4" t="s">
        <v>4060</v>
      </c>
      <c r="B60" s="12" t="s">
        <v>2767</v>
      </c>
      <c r="C60" s="4" t="s">
        <v>2893</v>
      </c>
      <c r="D60" s="12" t="s">
        <v>2793</v>
      </c>
      <c r="E60" s="12" t="s">
        <v>2484</v>
      </c>
      <c r="F60" s="29" t="n">
        <v>7</v>
      </c>
      <c r="G60" s="29" t="n">
        <v>1</v>
      </c>
      <c r="H60" s="19" t="n">
        <v>1200</v>
      </c>
      <c r="I60" s="23" t="n">
        <f aca="false">F60*G60*H60</f>
        <v>8400</v>
      </c>
      <c r="J60" s="12" t="s">
        <v>2794</v>
      </c>
      <c r="K60" s="12" t="s">
        <v>2894</v>
      </c>
      <c r="L60" s="12" t="s">
        <v>2796</v>
      </c>
      <c r="M60" s="4" t="s">
        <v>4118</v>
      </c>
    </row>
    <row r="61" customFormat="false" ht="35.05" hidden="false" customHeight="false" outlineLevel="0" collapsed="false">
      <c r="A61" s="4" t="s">
        <v>4060</v>
      </c>
      <c r="B61" s="12" t="s">
        <v>2767</v>
      </c>
      <c r="C61" s="4" t="s">
        <v>4119</v>
      </c>
      <c r="D61" s="12" t="s">
        <v>2793</v>
      </c>
      <c r="E61" s="12" t="s">
        <v>2484</v>
      </c>
      <c r="F61" s="29" t="n">
        <v>1</v>
      </c>
      <c r="G61" s="29" t="n">
        <v>1</v>
      </c>
      <c r="H61" s="19" t="n">
        <v>2000</v>
      </c>
      <c r="I61" s="23" t="n">
        <f aca="false">F61*G61*H61</f>
        <v>2000</v>
      </c>
      <c r="J61" s="12" t="s">
        <v>2794</v>
      </c>
      <c r="K61" s="12" t="s">
        <v>2891</v>
      </c>
      <c r="L61" s="12" t="s">
        <v>2796</v>
      </c>
      <c r="M61" s="4" t="s">
        <v>4120</v>
      </c>
    </row>
    <row r="62" customFormat="false" ht="23.85" hidden="false" customHeight="false" outlineLevel="0" collapsed="false">
      <c r="A62" s="4" t="s">
        <v>4060</v>
      </c>
      <c r="B62" s="12" t="s">
        <v>2765</v>
      </c>
      <c r="C62" s="4" t="s">
        <v>4121</v>
      </c>
      <c r="D62" s="12" t="s">
        <v>2808</v>
      </c>
      <c r="E62" s="12" t="s">
        <v>2497</v>
      </c>
      <c r="F62" s="29" t="n">
        <v>1</v>
      </c>
      <c r="G62" s="29" t="n">
        <v>4</v>
      </c>
      <c r="H62" s="19" t="n">
        <v>1300</v>
      </c>
      <c r="I62" s="23" t="n">
        <f aca="false">F62*G62*H62</f>
        <v>5200</v>
      </c>
      <c r="J62" s="12" t="s">
        <v>4062</v>
      </c>
      <c r="K62" s="12" t="s">
        <v>2805</v>
      </c>
      <c r="L62" s="12"/>
      <c r="M62" s="4" t="s">
        <v>4122</v>
      </c>
    </row>
    <row r="63" customFormat="false" ht="23.85" hidden="false" customHeight="false" outlineLevel="0" collapsed="false">
      <c r="A63" s="4" t="s">
        <v>4060</v>
      </c>
      <c r="B63" s="12" t="s">
        <v>2765</v>
      </c>
      <c r="C63" s="4" t="s">
        <v>4123</v>
      </c>
      <c r="D63" s="12" t="s">
        <v>2808</v>
      </c>
      <c r="E63" s="12" t="s">
        <v>2702</v>
      </c>
      <c r="F63" s="29" t="n">
        <v>12</v>
      </c>
      <c r="G63" s="29" t="n">
        <v>1</v>
      </c>
      <c r="H63" s="19" t="n">
        <v>180</v>
      </c>
      <c r="I63" s="23" t="n">
        <f aca="false">F63*G63*H63</f>
        <v>2160</v>
      </c>
      <c r="J63" s="12" t="s">
        <v>4062</v>
      </c>
      <c r="K63" s="12" t="s">
        <v>2899</v>
      </c>
      <c r="L63" s="12" t="s">
        <v>2796</v>
      </c>
      <c r="M63" s="4" t="s">
        <v>4124</v>
      </c>
    </row>
    <row r="64" customFormat="false" ht="23.85" hidden="false" customHeight="false" outlineLevel="0" collapsed="false">
      <c r="A64" s="4" t="s">
        <v>4060</v>
      </c>
      <c r="B64" s="12" t="s">
        <v>2765</v>
      </c>
      <c r="C64" s="4" t="s">
        <v>4125</v>
      </c>
      <c r="D64" s="12" t="s">
        <v>2804</v>
      </c>
      <c r="E64" s="12" t="s">
        <v>2597</v>
      </c>
      <c r="F64" s="29" t="n">
        <v>4</v>
      </c>
      <c r="G64" s="29" t="n">
        <v>1</v>
      </c>
      <c r="H64" s="19" t="n">
        <v>2000</v>
      </c>
      <c r="I64" s="23" t="n">
        <f aca="false">F64*G64*H64</f>
        <v>8000</v>
      </c>
      <c r="J64" s="12" t="s">
        <v>4062</v>
      </c>
      <c r="K64" s="12" t="s">
        <v>2902</v>
      </c>
      <c r="L64" s="12" t="s">
        <v>2950</v>
      </c>
      <c r="M64" s="4" t="s">
        <v>4126</v>
      </c>
    </row>
    <row r="65" customFormat="false" ht="15" hidden="false" customHeight="false" outlineLevel="0" collapsed="false">
      <c r="H65" s="10" t="s">
        <v>134</v>
      </c>
      <c r="I65" s="11" t="n">
        <f aca="false">SUM(I26:I64)</f>
        <v>277776</v>
      </c>
    </row>
    <row r="67" customFormat="false" ht="15" hidden="false" customHeight="false" outlineLevel="0" collapsed="false">
      <c r="A67" s="22" t="s">
        <v>2913</v>
      </c>
    </row>
    <row r="68" customFormat="false" ht="23.85" hidden="false" customHeight="false" outlineLevel="0" collapsed="false">
      <c r="A68" s="3" t="s">
        <v>2914</v>
      </c>
      <c r="B68" s="3" t="s">
        <v>2915</v>
      </c>
      <c r="C68" s="3" t="s">
        <v>2780</v>
      </c>
      <c r="D68" s="3" t="s">
        <v>2781</v>
      </c>
      <c r="E68" s="3" t="s">
        <v>2782</v>
      </c>
      <c r="F68" s="3" t="s">
        <v>2783</v>
      </c>
      <c r="G68" s="3" t="s">
        <v>2784</v>
      </c>
      <c r="H68" s="3" t="s">
        <v>2785</v>
      </c>
      <c r="I68" s="3" t="s">
        <v>2786</v>
      </c>
      <c r="J68" s="3" t="s">
        <v>1393</v>
      </c>
      <c r="K68" s="3" t="s">
        <v>2916</v>
      </c>
      <c r="L68" s="3" t="s">
        <v>2789</v>
      </c>
      <c r="M68" s="3" t="s">
        <v>368</v>
      </c>
    </row>
    <row r="69" customFormat="false" ht="23.85" hidden="false" customHeight="false" outlineLevel="0" collapsed="false">
      <c r="A69" s="4" t="s">
        <v>4060</v>
      </c>
      <c r="B69" s="12" t="s">
        <v>2918</v>
      </c>
      <c r="C69" s="4" t="s">
        <v>2919</v>
      </c>
      <c r="D69" s="12" t="s">
        <v>2804</v>
      </c>
      <c r="E69" s="12" t="s">
        <v>2597</v>
      </c>
      <c r="F69" s="30" t="n">
        <v>1</v>
      </c>
      <c r="G69" s="30" t="n">
        <v>1</v>
      </c>
      <c r="H69" s="19" t="n">
        <v>9000</v>
      </c>
      <c r="I69" s="23" t="n">
        <f aca="false">F69*G69*H69</f>
        <v>9000</v>
      </c>
      <c r="J69" s="12" t="s">
        <v>2794</v>
      </c>
      <c r="K69" s="12" t="s">
        <v>2920</v>
      </c>
      <c r="L69" s="12" t="s">
        <v>2796</v>
      </c>
      <c r="M69" s="4" t="s">
        <v>4127</v>
      </c>
    </row>
    <row r="70" customFormat="false" ht="23.85" hidden="false" customHeight="false" outlineLevel="0" collapsed="false">
      <c r="A70" s="4" t="s">
        <v>4060</v>
      </c>
      <c r="B70" s="12" t="s">
        <v>2918</v>
      </c>
      <c r="C70" s="4" t="s">
        <v>2922</v>
      </c>
      <c r="D70" s="12" t="s">
        <v>2804</v>
      </c>
      <c r="E70" s="12" t="s">
        <v>2597</v>
      </c>
      <c r="F70" s="30" t="n">
        <v>1</v>
      </c>
      <c r="G70" s="30" t="n">
        <v>1</v>
      </c>
      <c r="H70" s="19" t="n">
        <v>6000</v>
      </c>
      <c r="I70" s="23" t="n">
        <f aca="false">F70*G70*H70</f>
        <v>6000</v>
      </c>
      <c r="J70" s="12" t="s">
        <v>2794</v>
      </c>
      <c r="K70" s="12" t="s">
        <v>2805</v>
      </c>
      <c r="L70" s="12"/>
      <c r="M70" s="4"/>
    </row>
    <row r="71" customFormat="false" ht="23.85" hidden="false" customHeight="false" outlineLevel="0" collapsed="false">
      <c r="A71" s="4" t="s">
        <v>4060</v>
      </c>
      <c r="B71" s="12" t="s">
        <v>2918</v>
      </c>
      <c r="C71" s="4" t="s">
        <v>2926</v>
      </c>
      <c r="D71" s="12" t="s">
        <v>2793</v>
      </c>
      <c r="E71" s="12" t="s">
        <v>2484</v>
      </c>
      <c r="F71" s="30" t="n">
        <v>8</v>
      </c>
      <c r="G71" s="30" t="n">
        <v>1</v>
      </c>
      <c r="H71" s="19" t="n">
        <v>80</v>
      </c>
      <c r="I71" s="23" t="n">
        <f aca="false">F71*G71*H71</f>
        <v>640</v>
      </c>
      <c r="J71" s="12" t="s">
        <v>2794</v>
      </c>
      <c r="K71" s="12" t="s">
        <v>2805</v>
      </c>
      <c r="L71" s="12"/>
      <c r="M71" s="4" t="s">
        <v>4128</v>
      </c>
    </row>
    <row r="72" customFormat="false" ht="23.85" hidden="false" customHeight="false" outlineLevel="0" collapsed="false">
      <c r="A72" s="4" t="s">
        <v>4060</v>
      </c>
      <c r="B72" s="12" t="s">
        <v>2918</v>
      </c>
      <c r="C72" s="4" t="s">
        <v>2928</v>
      </c>
      <c r="D72" s="12" t="s">
        <v>2882</v>
      </c>
      <c r="E72" s="12" t="s">
        <v>2601</v>
      </c>
      <c r="F72" s="30" t="n">
        <v>1</v>
      </c>
      <c r="G72" s="30" t="n">
        <v>1</v>
      </c>
      <c r="H72" s="19" t="n">
        <v>1000</v>
      </c>
      <c r="I72" s="23" t="n">
        <f aca="false">F72*G72*H72</f>
        <v>1000</v>
      </c>
      <c r="J72" s="12" t="s">
        <v>2794</v>
      </c>
      <c r="K72" s="12" t="s">
        <v>2805</v>
      </c>
      <c r="L72" s="12"/>
      <c r="M72" s="4"/>
    </row>
    <row r="73" customFormat="false" ht="23.85" hidden="false" customHeight="false" outlineLevel="0" collapsed="false">
      <c r="A73" s="4" t="s">
        <v>4060</v>
      </c>
      <c r="B73" s="12" t="s">
        <v>2930</v>
      </c>
      <c r="C73" s="4" t="s">
        <v>3237</v>
      </c>
      <c r="D73" s="12" t="s">
        <v>2793</v>
      </c>
      <c r="E73" s="12" t="s">
        <v>2484</v>
      </c>
      <c r="F73" s="30" t="n">
        <v>2</v>
      </c>
      <c r="G73" s="30" t="n">
        <v>1</v>
      </c>
      <c r="H73" s="19" t="n">
        <v>4000</v>
      </c>
      <c r="I73" s="23" t="n">
        <f aca="false">F73*G73*H73</f>
        <v>8000</v>
      </c>
      <c r="J73" s="12" t="s">
        <v>4062</v>
      </c>
      <c r="K73" s="12" t="s">
        <v>2805</v>
      </c>
      <c r="L73" s="12"/>
      <c r="M73" s="4" t="s">
        <v>4129</v>
      </c>
    </row>
    <row r="74" customFormat="false" ht="23.85" hidden="false" customHeight="false" outlineLevel="0" collapsed="false">
      <c r="A74" s="4" t="s">
        <v>4060</v>
      </c>
      <c r="B74" s="12" t="s">
        <v>2930</v>
      </c>
      <c r="C74" s="4" t="s">
        <v>3456</v>
      </c>
      <c r="D74" s="12" t="s">
        <v>2808</v>
      </c>
      <c r="E74" s="12" t="s">
        <v>2497</v>
      </c>
      <c r="F74" s="30" t="n">
        <v>2</v>
      </c>
      <c r="G74" s="30" t="n">
        <v>4</v>
      </c>
      <c r="H74" s="19" t="n">
        <v>250</v>
      </c>
      <c r="I74" s="23" t="n">
        <f aca="false">F74*G74*H74</f>
        <v>2000</v>
      </c>
      <c r="J74" s="12" t="s">
        <v>4062</v>
      </c>
      <c r="K74" s="12" t="s">
        <v>2934</v>
      </c>
      <c r="L74" s="12" t="s">
        <v>2796</v>
      </c>
      <c r="M74" s="4" t="s">
        <v>4130</v>
      </c>
    </row>
    <row r="75" customFormat="false" ht="23.85" hidden="false" customHeight="false" outlineLevel="0" collapsed="false">
      <c r="A75" s="4" t="s">
        <v>4060</v>
      </c>
      <c r="B75" s="12" t="s">
        <v>2930</v>
      </c>
      <c r="C75" s="4" t="s">
        <v>3362</v>
      </c>
      <c r="D75" s="12" t="s">
        <v>2808</v>
      </c>
      <c r="E75" s="12" t="s">
        <v>2497</v>
      </c>
      <c r="F75" s="30" t="n">
        <v>1</v>
      </c>
      <c r="G75" s="30" t="n">
        <v>4</v>
      </c>
      <c r="H75" s="19" t="n">
        <v>600</v>
      </c>
      <c r="I75" s="23" t="n">
        <f aca="false">F75*G75*H75</f>
        <v>2400</v>
      </c>
      <c r="J75" s="12" t="s">
        <v>4062</v>
      </c>
      <c r="K75" s="12" t="s">
        <v>2805</v>
      </c>
      <c r="L75" s="12"/>
      <c r="M75" s="4" t="s">
        <v>4131</v>
      </c>
    </row>
    <row r="76" customFormat="false" ht="23.85" hidden="false" customHeight="false" outlineLevel="0" collapsed="false">
      <c r="A76" s="4" t="s">
        <v>4060</v>
      </c>
      <c r="B76" s="12" t="s">
        <v>2930</v>
      </c>
      <c r="C76" s="4" t="s">
        <v>4132</v>
      </c>
      <c r="D76" s="12" t="s">
        <v>2804</v>
      </c>
      <c r="E76" s="12" t="s">
        <v>2597</v>
      </c>
      <c r="F76" s="30" t="n">
        <v>1</v>
      </c>
      <c r="G76" s="30" t="n">
        <v>1</v>
      </c>
      <c r="H76" s="19" t="n">
        <v>4000</v>
      </c>
      <c r="I76" s="23" t="n">
        <f aca="false">F76*G76*H76</f>
        <v>4000</v>
      </c>
      <c r="J76" s="12" t="s">
        <v>2794</v>
      </c>
      <c r="K76" s="12" t="s">
        <v>2937</v>
      </c>
      <c r="L76" s="12" t="s">
        <v>2796</v>
      </c>
      <c r="M76" s="4" t="s">
        <v>4133</v>
      </c>
    </row>
    <row r="77" customFormat="false" ht="23.85" hidden="false" customHeight="false" outlineLevel="0" collapsed="false">
      <c r="A77" s="4" t="s">
        <v>4060</v>
      </c>
      <c r="B77" s="12" t="s">
        <v>2930</v>
      </c>
      <c r="C77" s="4" t="s">
        <v>3365</v>
      </c>
      <c r="D77" s="12" t="s">
        <v>2793</v>
      </c>
      <c r="E77" s="12" t="s">
        <v>2484</v>
      </c>
      <c r="F77" s="30" t="n">
        <v>2</v>
      </c>
      <c r="G77" s="30" t="n">
        <v>1</v>
      </c>
      <c r="H77" s="19" t="n">
        <v>3000</v>
      </c>
      <c r="I77" s="23" t="n">
        <f aca="false">F77*G77*H77</f>
        <v>6000</v>
      </c>
      <c r="J77" s="12" t="s">
        <v>2794</v>
      </c>
      <c r="K77" s="12" t="s">
        <v>2909</v>
      </c>
      <c r="L77" s="12" t="s">
        <v>2796</v>
      </c>
      <c r="M77" s="4" t="s">
        <v>4134</v>
      </c>
    </row>
    <row r="78" customFormat="false" ht="23.85" hidden="false" customHeight="false" outlineLevel="0" collapsed="false">
      <c r="A78" s="4" t="s">
        <v>4060</v>
      </c>
      <c r="B78" s="12" t="s">
        <v>2930</v>
      </c>
      <c r="C78" s="4" t="s">
        <v>4135</v>
      </c>
      <c r="D78" s="12" t="s">
        <v>2808</v>
      </c>
      <c r="E78" s="12" t="s">
        <v>2477</v>
      </c>
      <c r="F78" s="30" t="n">
        <v>400</v>
      </c>
      <c r="G78" s="30" t="n">
        <v>1</v>
      </c>
      <c r="H78" s="19" t="n">
        <v>2.5</v>
      </c>
      <c r="I78" s="23" t="n">
        <f aca="false">F78*G78*H78</f>
        <v>1000</v>
      </c>
      <c r="J78" s="12" t="s">
        <v>4062</v>
      </c>
      <c r="K78" s="12" t="s">
        <v>2805</v>
      </c>
      <c r="L78" s="12"/>
      <c r="M78" s="4" t="s">
        <v>3247</v>
      </c>
    </row>
    <row r="79" customFormat="false" ht="23.85" hidden="false" customHeight="false" outlineLevel="0" collapsed="false">
      <c r="A79" s="4" t="s">
        <v>4060</v>
      </c>
      <c r="B79" s="12" t="s">
        <v>2930</v>
      </c>
      <c r="C79" s="4" t="s">
        <v>3063</v>
      </c>
      <c r="D79" s="12" t="s">
        <v>2882</v>
      </c>
      <c r="E79" s="12" t="s">
        <v>2601</v>
      </c>
      <c r="F79" s="30" t="n">
        <v>1</v>
      </c>
      <c r="G79" s="30" t="n">
        <v>1</v>
      </c>
      <c r="H79" s="19" t="n">
        <v>2000</v>
      </c>
      <c r="I79" s="23" t="n">
        <f aca="false">F79*G79*H79</f>
        <v>2000</v>
      </c>
      <c r="J79" s="12" t="s">
        <v>2794</v>
      </c>
      <c r="K79" s="12" t="s">
        <v>2942</v>
      </c>
      <c r="L79" s="12" t="s">
        <v>2796</v>
      </c>
      <c r="M79" s="4" t="s">
        <v>4136</v>
      </c>
    </row>
    <row r="81" customFormat="false" ht="15" hidden="false" customHeight="false" outlineLevel="0" collapsed="false">
      <c r="A81" s="10" t="s">
        <v>2952</v>
      </c>
      <c r="B81" s="23" t="n">
        <f aca="false">SUMIFS($I$69:$I$79,$B$69:$B$79,"Custos de administração")</f>
        <v>16640</v>
      </c>
      <c r="C81" s="13" t="n">
        <f aca="false">B17</f>
        <v>16666.56</v>
      </c>
      <c r="D81" s="23" t="n">
        <f aca="false">C81-B81</f>
        <v>26.5599999999977</v>
      </c>
      <c r="E81" s="12" t="str">
        <f aca="false">IF(D81&gt;=0,"OK","EXCEDE")</f>
        <v>OK</v>
      </c>
    </row>
    <row r="82" customFormat="false" ht="15" hidden="false" customHeight="false" outlineLevel="0" collapsed="false">
      <c r="A82" s="10" t="s">
        <v>2953</v>
      </c>
      <c r="B82" s="23" t="n">
        <f aca="false">SUMIFS($I$69:$I$79,$B$69:$B$79,"Custos de acessibilidade, comunicação e divulgação")</f>
        <v>25400</v>
      </c>
      <c r="C82" s="13" t="n">
        <f aca="false">B18</f>
        <v>27777.6</v>
      </c>
      <c r="D82" s="23" t="n">
        <f aca="false">C82-B82</f>
        <v>2377.6</v>
      </c>
      <c r="E82" s="12" t="str">
        <f aca="false">IF(D82&gt;=0,"OK","EXCEDE")</f>
        <v>OK</v>
      </c>
    </row>
    <row r="83" customFormat="false" ht="15" hidden="false" customHeight="false" outlineLevel="0" collapsed="false">
      <c r="A83" s="14" t="s">
        <v>2954</v>
      </c>
    </row>
    <row r="85" customFormat="false" ht="15" hidden="false" customHeight="false" outlineLevel="0" collapsed="false">
      <c r="A85" s="22" t="s">
        <v>2955</v>
      </c>
    </row>
    <row r="86" customFormat="false" ht="30" hidden="false" customHeight="true" outlineLevel="0" collapsed="false">
      <c r="A86" s="21" t="s">
        <v>4137</v>
      </c>
      <c r="B86" s="21"/>
      <c r="C86" s="21"/>
      <c r="D86" s="21"/>
      <c r="E86" s="21"/>
      <c r="F86" s="21"/>
      <c r="G86" s="21"/>
      <c r="H86" s="21"/>
      <c r="I86" s="21"/>
      <c r="J86" s="21"/>
      <c r="K86" s="21"/>
      <c r="L86" s="21"/>
      <c r="M86" s="21"/>
    </row>
    <row r="87" customFormat="false" ht="30" hidden="false" customHeight="true" outlineLevel="0" collapsed="false">
      <c r="A87" s="21" t="s">
        <v>4138</v>
      </c>
      <c r="B87" s="21"/>
      <c r="C87" s="21"/>
      <c r="D87" s="21"/>
      <c r="E87" s="21"/>
      <c r="F87" s="21"/>
      <c r="G87" s="21"/>
      <c r="H87" s="21"/>
      <c r="I87" s="21"/>
      <c r="J87" s="21"/>
      <c r="K87" s="21"/>
      <c r="L87" s="21"/>
      <c r="M87" s="21"/>
    </row>
    <row r="88" customFormat="false" ht="30" hidden="false" customHeight="true" outlineLevel="0" collapsed="false">
      <c r="A88" s="21" t="s">
        <v>4139</v>
      </c>
      <c r="B88" s="21"/>
      <c r="C88" s="21"/>
      <c r="D88" s="21"/>
      <c r="E88" s="21"/>
      <c r="F88" s="21"/>
      <c r="G88" s="21"/>
      <c r="H88" s="21"/>
      <c r="I88" s="21"/>
      <c r="J88" s="21"/>
      <c r="K88" s="21"/>
      <c r="L88" s="21"/>
      <c r="M88" s="21"/>
    </row>
    <row r="89" customFormat="false" ht="30" hidden="false" customHeight="true" outlineLevel="0" collapsed="false">
      <c r="A89" s="21" t="s">
        <v>4140</v>
      </c>
      <c r="B89" s="21"/>
      <c r="C89" s="21"/>
      <c r="D89" s="21"/>
      <c r="E89" s="21"/>
      <c r="F89" s="21"/>
      <c r="G89" s="21"/>
      <c r="H89" s="21"/>
      <c r="I89" s="21"/>
      <c r="J89" s="21"/>
      <c r="K89" s="21"/>
      <c r="L89" s="21"/>
      <c r="M89" s="21"/>
    </row>
    <row r="90" customFormat="false" ht="30" hidden="false" customHeight="true" outlineLevel="0" collapsed="false">
      <c r="A90" s="21" t="s">
        <v>4141</v>
      </c>
      <c r="B90" s="21"/>
      <c r="C90" s="21"/>
      <c r="D90" s="21"/>
      <c r="E90" s="21"/>
      <c r="F90" s="21"/>
      <c r="G90" s="21"/>
      <c r="H90" s="21"/>
      <c r="I90" s="21"/>
      <c r="J90" s="21"/>
      <c r="K90" s="21"/>
      <c r="L90" s="21"/>
      <c r="M90" s="21"/>
    </row>
    <row r="91" customFormat="false" ht="30" hidden="false" customHeight="true" outlineLevel="0" collapsed="false">
      <c r="A91" s="21" t="s">
        <v>4142</v>
      </c>
      <c r="B91" s="21"/>
      <c r="C91" s="21"/>
      <c r="D91" s="21"/>
      <c r="E91" s="21"/>
      <c r="F91" s="21"/>
      <c r="G91" s="21"/>
      <c r="H91" s="21"/>
      <c r="I91" s="21"/>
      <c r="J91" s="21"/>
      <c r="K91" s="21"/>
      <c r="L91" s="21"/>
      <c r="M91" s="21"/>
    </row>
    <row r="92" customFormat="false" ht="30" hidden="false" customHeight="true" outlineLevel="0" collapsed="false">
      <c r="A92" s="21" t="s">
        <v>4143</v>
      </c>
      <c r="B92" s="21"/>
      <c r="C92" s="21"/>
      <c r="D92" s="21"/>
      <c r="E92" s="21"/>
      <c r="F92" s="21"/>
      <c r="G92" s="21"/>
      <c r="H92" s="21"/>
      <c r="I92" s="21"/>
      <c r="J92" s="21"/>
      <c r="K92" s="21"/>
      <c r="L92" s="21"/>
      <c r="M92" s="21"/>
    </row>
    <row r="93" customFormat="false" ht="30" hidden="false" customHeight="true" outlineLevel="0" collapsed="false">
      <c r="A93" s="21" t="s">
        <v>4144</v>
      </c>
      <c r="B93" s="21"/>
      <c r="C93" s="21"/>
      <c r="D93" s="21"/>
      <c r="E93" s="21"/>
      <c r="F93" s="21"/>
      <c r="G93" s="21"/>
      <c r="H93" s="21"/>
      <c r="I93" s="21"/>
      <c r="J93" s="21"/>
      <c r="K93" s="21"/>
      <c r="L93" s="21"/>
      <c r="M93" s="21"/>
    </row>
    <row r="94" customFormat="false" ht="15" hidden="false" customHeight="true" outlineLevel="0" collapsed="false">
      <c r="A94" s="21" t="s">
        <v>4145</v>
      </c>
      <c r="B94" s="21"/>
      <c r="C94" s="21"/>
      <c r="D94" s="21"/>
      <c r="E94" s="21"/>
      <c r="F94" s="21"/>
      <c r="G94" s="21"/>
      <c r="H94" s="21"/>
      <c r="I94" s="21"/>
      <c r="J94" s="21"/>
      <c r="K94" s="21"/>
      <c r="L94" s="21"/>
      <c r="M94" s="21"/>
    </row>
    <row r="96" customFormat="false" ht="15" hidden="false" customHeight="false" outlineLevel="0" collapsed="false">
      <c r="A96" s="22" t="s">
        <v>2964</v>
      </c>
      <c r="B96" s="19" t="n">
        <v>70000</v>
      </c>
    </row>
    <row r="97" customFormat="false" ht="75" hidden="false" customHeight="true" outlineLevel="0" collapsed="false">
      <c r="A97" s="21" t="s">
        <v>4146</v>
      </c>
      <c r="B97" s="21"/>
      <c r="C97" s="21"/>
      <c r="D97" s="21"/>
      <c r="E97" s="21"/>
      <c r="F97" s="21"/>
      <c r="G97" s="21"/>
      <c r="H97" s="21"/>
      <c r="I97" s="21"/>
      <c r="J97" s="21"/>
      <c r="K97" s="21"/>
      <c r="L97" s="21"/>
      <c r="M97" s="21"/>
    </row>
  </sheetData>
  <mergeCells count="15">
    <mergeCell ref="B2:M2"/>
    <mergeCell ref="B3:M3"/>
    <mergeCell ref="B4:M4"/>
    <mergeCell ref="B5:M5"/>
    <mergeCell ref="B6:M6"/>
    <mergeCell ref="A86:M86"/>
    <mergeCell ref="A87:M87"/>
    <mergeCell ref="A88:M88"/>
    <mergeCell ref="A89:M89"/>
    <mergeCell ref="A90:M90"/>
    <mergeCell ref="A91:M91"/>
    <mergeCell ref="A92:M92"/>
    <mergeCell ref="A93:M93"/>
    <mergeCell ref="A94:M94"/>
    <mergeCell ref="A97:M97"/>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4">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9:L79">
    <cfRule type="expression" priority="11" aboveAverage="0" equalAverage="0" bottom="0" percent="0" rank="0" text="" dxfId="2">
      <formula>LEFT(L69,5)="ACIMA"</formula>
    </cfRule>
  </conditionalFormatting>
  <conditionalFormatting sqref="E81:E82">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ISNUMBER(SEARCH("EXCEDE",E81))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4147</v>
      </c>
    </row>
    <row r="2" customFormat="false" ht="30" hidden="false" customHeight="true" outlineLevel="0" collapsed="false">
      <c r="A2" s="22" t="s">
        <v>2748</v>
      </c>
      <c r="B2" s="21" t="s">
        <v>4148</v>
      </c>
      <c r="C2" s="21"/>
      <c r="D2" s="21"/>
      <c r="E2" s="21"/>
      <c r="F2" s="21"/>
      <c r="G2" s="21"/>
      <c r="H2" s="21"/>
      <c r="I2" s="21"/>
      <c r="J2" s="21"/>
      <c r="K2" s="21"/>
      <c r="L2" s="21"/>
      <c r="M2" s="21"/>
    </row>
    <row r="3" customFormat="false" ht="30" hidden="false" customHeight="true" outlineLevel="0" collapsed="false">
      <c r="A3" s="22" t="s">
        <v>2750</v>
      </c>
      <c r="B3" s="21" t="s">
        <v>4149</v>
      </c>
      <c r="C3" s="21"/>
      <c r="D3" s="21"/>
      <c r="E3" s="21"/>
      <c r="F3" s="21"/>
      <c r="G3" s="21"/>
      <c r="H3" s="21"/>
      <c r="I3" s="21"/>
      <c r="J3" s="21"/>
      <c r="K3" s="21"/>
      <c r="L3" s="21"/>
      <c r="M3" s="21"/>
    </row>
    <row r="4" customFormat="false" ht="30" hidden="false" customHeight="true" outlineLevel="0" collapsed="false">
      <c r="A4" s="22" t="s">
        <v>2752</v>
      </c>
      <c r="B4" s="21" t="s">
        <v>4150</v>
      </c>
      <c r="C4" s="21"/>
      <c r="D4" s="21"/>
      <c r="E4" s="21"/>
      <c r="F4" s="21"/>
      <c r="G4" s="21"/>
      <c r="H4" s="21"/>
      <c r="I4" s="21"/>
      <c r="J4" s="21"/>
      <c r="K4" s="21"/>
      <c r="L4" s="21"/>
      <c r="M4" s="21"/>
    </row>
    <row r="5" customFormat="false" ht="30" hidden="false" customHeight="true" outlineLevel="0" collapsed="false">
      <c r="A5" s="22" t="s">
        <v>2754</v>
      </c>
      <c r="B5" s="21" t="s">
        <v>4151</v>
      </c>
      <c r="C5" s="21"/>
      <c r="D5" s="21"/>
      <c r="E5" s="21"/>
      <c r="F5" s="21"/>
      <c r="G5" s="21"/>
      <c r="H5" s="21"/>
      <c r="I5" s="21"/>
      <c r="J5" s="21"/>
      <c r="K5" s="21"/>
      <c r="L5" s="21"/>
      <c r="M5" s="21"/>
    </row>
    <row r="6" customFormat="false" ht="30" hidden="false" customHeight="true" outlineLevel="0" collapsed="false">
      <c r="A6" s="22" t="s">
        <v>2756</v>
      </c>
      <c r="B6" s="21" t="s">
        <v>4152</v>
      </c>
      <c r="C6" s="21"/>
      <c r="D6" s="21"/>
      <c r="E6" s="21"/>
      <c r="F6" s="21"/>
      <c r="G6" s="21"/>
      <c r="H6" s="21"/>
      <c r="I6" s="21"/>
      <c r="J6" s="21"/>
      <c r="K6" s="21"/>
      <c r="L6" s="21"/>
      <c r="M6" s="21"/>
    </row>
    <row r="7" customFormat="false" ht="15" hidden="false" customHeight="false" outlineLevel="0" collapsed="false">
      <c r="A7" s="22" t="s">
        <v>2758</v>
      </c>
      <c r="B7" s="19" t="n">
        <v>300000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SUMIFS($I$26:$I$62,$B$26:$B$62,A11)</f>
        <v>10000</v>
      </c>
      <c r="C11" s="24" t="n">
        <f aca="false">IF($B$16=0,0,B11/$B$16)</f>
        <v>0.0416675347403071</v>
      </c>
    </row>
    <row r="12" customFormat="false" ht="15" hidden="false" customHeight="false" outlineLevel="0" collapsed="false">
      <c r="A12" s="12" t="s">
        <v>2765</v>
      </c>
      <c r="B12" s="23" t="n">
        <f aca="false">SUMIFS($I$26:$I$62,$B$26:$B$62,A12)</f>
        <v>189184</v>
      </c>
      <c r="C12" s="24" t="n">
        <f aca="false">IF($B$16=0,0,B12/$B$16)</f>
        <v>0.788283089231026</v>
      </c>
    </row>
    <row r="13" customFormat="false" ht="15" hidden="false" customHeight="false" outlineLevel="0" collapsed="false">
      <c r="A13" s="12" t="s">
        <v>2766</v>
      </c>
      <c r="B13" s="23" t="n">
        <f aca="false">SUMIFS($I$26:$I$62,$B$26:$B$62,A13)</f>
        <v>15851</v>
      </c>
      <c r="C13" s="24" t="n">
        <f aca="false">IF($B$16=0,0,B13/$B$16)</f>
        <v>0.0660472093168608</v>
      </c>
    </row>
    <row r="14" customFormat="false" ht="15" hidden="false" customHeight="false" outlineLevel="0" collapsed="false">
      <c r="A14" s="12" t="s">
        <v>2767</v>
      </c>
      <c r="B14" s="23" t="n">
        <f aca="false">SUMIFS($I$26:$I$62,$B$26:$B$62,A14)</f>
        <v>9200</v>
      </c>
      <c r="C14" s="24" t="n">
        <f aca="false">IF($B$16=0,0,B14/$B$16)</f>
        <v>0.0383341319610825</v>
      </c>
    </row>
    <row r="15" customFormat="false" ht="15" hidden="false" customHeight="false" outlineLevel="0" collapsed="false">
      <c r="A15" s="12" t="s">
        <v>2768</v>
      </c>
      <c r="B15" s="23" t="n">
        <f aca="false">SUMIFS($I$26:$I$62,$B$26:$B$62,A15)</f>
        <v>15760</v>
      </c>
      <c r="C15" s="24" t="n">
        <f aca="false">IF($B$16=0,0,B15/$B$16)</f>
        <v>0.065668034750724</v>
      </c>
    </row>
    <row r="16" customFormat="false" ht="15" hidden="false" customHeight="false" outlineLevel="0" collapsed="false">
      <c r="A16" s="25" t="s">
        <v>2769</v>
      </c>
      <c r="B16" s="26" t="n">
        <f aca="false">SUM(B11:B15)</f>
        <v>239995</v>
      </c>
    </row>
    <row r="17" customFormat="false" ht="23.85" hidden="false" customHeight="false" outlineLevel="0" collapsed="false">
      <c r="A17" s="4" t="s">
        <v>2770</v>
      </c>
      <c r="B17" s="23" t="n">
        <f aca="false">$B$16*C17</f>
        <v>14399.7</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21599.55</v>
      </c>
      <c r="C18" s="27" t="n">
        <v>0.09</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23999.5</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299993.75</v>
      </c>
    </row>
    <row r="21" customFormat="false" ht="15" hidden="false" customHeight="false" outlineLevel="0" collapsed="false">
      <c r="A21" s="12" t="s">
        <v>2774</v>
      </c>
      <c r="B21" s="23" t="n">
        <f aca="false">B20-B7</f>
        <v>-6.25</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4060</v>
      </c>
      <c r="B26" s="12" t="s">
        <v>2764</v>
      </c>
      <c r="C26" s="4" t="s">
        <v>4061</v>
      </c>
      <c r="D26" s="12" t="s">
        <v>2793</v>
      </c>
      <c r="E26" s="12" t="s">
        <v>2484</v>
      </c>
      <c r="F26" s="29" t="n">
        <v>1</v>
      </c>
      <c r="G26" s="29" t="n">
        <v>1</v>
      </c>
      <c r="H26" s="19" t="n">
        <v>7000</v>
      </c>
      <c r="I26" s="23" t="n">
        <f aca="false">F26*G26*H26</f>
        <v>7000</v>
      </c>
      <c r="J26" s="12" t="s">
        <v>4153</v>
      </c>
      <c r="K26" s="12" t="s">
        <v>2795</v>
      </c>
      <c r="L26" s="12" t="s">
        <v>2796</v>
      </c>
      <c r="M26" s="4" t="s">
        <v>4154</v>
      </c>
    </row>
    <row r="27" customFormat="false" ht="23.85" hidden="false" customHeight="false" outlineLevel="0" collapsed="false">
      <c r="A27" s="4" t="s">
        <v>4155</v>
      </c>
      <c r="B27" s="12" t="s">
        <v>2764</v>
      </c>
      <c r="C27" s="4" t="s">
        <v>4156</v>
      </c>
      <c r="D27" s="12" t="s">
        <v>2793</v>
      </c>
      <c r="E27" s="12" t="s">
        <v>2484</v>
      </c>
      <c r="F27" s="29" t="n">
        <v>1</v>
      </c>
      <c r="G27" s="29" t="n">
        <v>1</v>
      </c>
      <c r="H27" s="19" t="n">
        <v>3000</v>
      </c>
      <c r="I27" s="23" t="n">
        <f aca="false">F27*G27*H27</f>
        <v>3000</v>
      </c>
      <c r="J27" s="12" t="s">
        <v>4153</v>
      </c>
      <c r="K27" s="12" t="s">
        <v>2799</v>
      </c>
      <c r="L27" s="12" t="s">
        <v>2796</v>
      </c>
      <c r="M27" s="4" t="s">
        <v>4157</v>
      </c>
    </row>
    <row r="28" customFormat="false" ht="23.85" hidden="false" customHeight="false" outlineLevel="0" collapsed="false">
      <c r="A28" s="4" t="s">
        <v>4060</v>
      </c>
      <c r="B28" s="12" t="s">
        <v>2765</v>
      </c>
      <c r="C28" s="4" t="s">
        <v>4068</v>
      </c>
      <c r="D28" s="12" t="s">
        <v>2793</v>
      </c>
      <c r="E28" s="12" t="s">
        <v>2484</v>
      </c>
      <c r="F28" s="29" t="n">
        <v>1</v>
      </c>
      <c r="G28" s="29" t="n">
        <v>5</v>
      </c>
      <c r="H28" s="19" t="n">
        <v>7000</v>
      </c>
      <c r="I28" s="23" t="n">
        <f aca="false">F28*G28*H28</f>
        <v>35000</v>
      </c>
      <c r="J28" s="12" t="s">
        <v>4153</v>
      </c>
      <c r="K28" s="12" t="s">
        <v>2795</v>
      </c>
      <c r="L28" s="12" t="s">
        <v>2796</v>
      </c>
      <c r="M28" s="4" t="s">
        <v>4158</v>
      </c>
    </row>
    <row r="29" customFormat="false" ht="23.85" hidden="false" customHeight="false" outlineLevel="0" collapsed="false">
      <c r="A29" s="4" t="s">
        <v>4155</v>
      </c>
      <c r="B29" s="12" t="s">
        <v>2765</v>
      </c>
      <c r="C29" s="4" t="s">
        <v>4159</v>
      </c>
      <c r="D29" s="12" t="s">
        <v>2793</v>
      </c>
      <c r="E29" s="12" t="s">
        <v>2484</v>
      </c>
      <c r="F29" s="29" t="n">
        <v>1</v>
      </c>
      <c r="G29" s="29" t="n">
        <v>4</v>
      </c>
      <c r="H29" s="19" t="n">
        <v>1500</v>
      </c>
      <c r="I29" s="23" t="n">
        <f aca="false">F29*G29*H29</f>
        <v>6000</v>
      </c>
      <c r="J29" s="12" t="s">
        <v>4153</v>
      </c>
      <c r="K29" s="12" t="s">
        <v>2799</v>
      </c>
      <c r="L29" s="12" t="s">
        <v>2950</v>
      </c>
      <c r="M29" s="4" t="s">
        <v>4160</v>
      </c>
    </row>
    <row r="30" customFormat="false" ht="46.25" hidden="false" customHeight="false" outlineLevel="0" collapsed="false">
      <c r="A30" s="4" t="s">
        <v>4155</v>
      </c>
      <c r="B30" s="12" t="s">
        <v>2765</v>
      </c>
      <c r="C30" s="4" t="s">
        <v>4161</v>
      </c>
      <c r="D30" s="12" t="s">
        <v>2793</v>
      </c>
      <c r="E30" s="12" t="s">
        <v>2484</v>
      </c>
      <c r="F30" s="29" t="n">
        <v>4</v>
      </c>
      <c r="G30" s="29" t="n">
        <v>4</v>
      </c>
      <c r="H30" s="19" t="n">
        <v>2644</v>
      </c>
      <c r="I30" s="23" t="n">
        <f aca="false">F30*G30*H30</f>
        <v>42304</v>
      </c>
      <c r="J30" s="12" t="s">
        <v>4153</v>
      </c>
      <c r="K30" s="12" t="s">
        <v>2805</v>
      </c>
      <c r="L30" s="12"/>
      <c r="M30" s="4" t="s">
        <v>4162</v>
      </c>
    </row>
    <row r="31" customFormat="false" ht="35.05" hidden="false" customHeight="false" outlineLevel="0" collapsed="false">
      <c r="A31" s="4" t="s">
        <v>4155</v>
      </c>
      <c r="B31" s="12" t="s">
        <v>2765</v>
      </c>
      <c r="C31" s="4" t="s">
        <v>4163</v>
      </c>
      <c r="D31" s="12" t="s">
        <v>2808</v>
      </c>
      <c r="E31" s="12" t="s">
        <v>3411</v>
      </c>
      <c r="F31" s="29" t="n">
        <v>4</v>
      </c>
      <c r="G31" s="29" t="n">
        <v>1</v>
      </c>
      <c r="H31" s="19" t="n">
        <v>3000</v>
      </c>
      <c r="I31" s="23" t="n">
        <f aca="false">F31*G31*H31</f>
        <v>12000</v>
      </c>
      <c r="J31" s="12" t="s">
        <v>4153</v>
      </c>
      <c r="K31" s="12" t="s">
        <v>2805</v>
      </c>
      <c r="L31" s="12"/>
      <c r="M31" s="4" t="s">
        <v>4164</v>
      </c>
    </row>
    <row r="32" customFormat="false" ht="23.85" hidden="false" customHeight="false" outlineLevel="0" collapsed="false">
      <c r="A32" s="4" t="s">
        <v>4155</v>
      </c>
      <c r="B32" s="12" t="s">
        <v>2765</v>
      </c>
      <c r="C32" s="4" t="s">
        <v>4165</v>
      </c>
      <c r="D32" s="12" t="s">
        <v>2808</v>
      </c>
      <c r="E32" s="12" t="s">
        <v>2477</v>
      </c>
      <c r="F32" s="29" t="n">
        <v>100</v>
      </c>
      <c r="G32" s="29" t="n">
        <v>16</v>
      </c>
      <c r="H32" s="19" t="n">
        <v>8</v>
      </c>
      <c r="I32" s="23" t="n">
        <f aca="false">F32*G32*H32</f>
        <v>12800</v>
      </c>
      <c r="J32" s="12" t="s">
        <v>4153</v>
      </c>
      <c r="K32" s="12" t="s">
        <v>2805</v>
      </c>
      <c r="L32" s="12"/>
      <c r="M32" s="4" t="s">
        <v>4166</v>
      </c>
    </row>
    <row r="33" customFormat="false" ht="23.85" hidden="false" customHeight="false" outlineLevel="0" collapsed="false">
      <c r="A33" s="4" t="s">
        <v>4167</v>
      </c>
      <c r="B33" s="12" t="s">
        <v>2765</v>
      </c>
      <c r="C33" s="4" t="s">
        <v>4168</v>
      </c>
      <c r="D33" s="12" t="s">
        <v>2855</v>
      </c>
      <c r="E33" s="12" t="s">
        <v>2516</v>
      </c>
      <c r="F33" s="29" t="n">
        <v>8</v>
      </c>
      <c r="G33" s="29" t="n">
        <v>1</v>
      </c>
      <c r="H33" s="19" t="n">
        <v>1200</v>
      </c>
      <c r="I33" s="23" t="n">
        <f aca="false">F33*G33*H33</f>
        <v>9600</v>
      </c>
      <c r="J33" s="12" t="s">
        <v>4153</v>
      </c>
      <c r="K33" s="12" t="s">
        <v>2985</v>
      </c>
      <c r="L33" s="12" t="s">
        <v>2796</v>
      </c>
      <c r="M33" s="4" t="s">
        <v>4169</v>
      </c>
    </row>
    <row r="34" customFormat="false" ht="23.85" hidden="false" customHeight="false" outlineLevel="0" collapsed="false">
      <c r="A34" s="4" t="s">
        <v>4167</v>
      </c>
      <c r="B34" s="12" t="s">
        <v>2765</v>
      </c>
      <c r="C34" s="4" t="s">
        <v>4170</v>
      </c>
      <c r="D34" s="12" t="s">
        <v>2808</v>
      </c>
      <c r="E34" s="12" t="s">
        <v>2497</v>
      </c>
      <c r="F34" s="29" t="n">
        <v>8</v>
      </c>
      <c r="G34" s="29" t="n">
        <v>1</v>
      </c>
      <c r="H34" s="19" t="n">
        <v>450</v>
      </c>
      <c r="I34" s="23" t="n">
        <f aca="false">F34*G34*H34</f>
        <v>3600</v>
      </c>
      <c r="J34" s="12" t="s">
        <v>4153</v>
      </c>
      <c r="K34" s="12" t="s">
        <v>3180</v>
      </c>
      <c r="L34" s="12" t="s">
        <v>2796</v>
      </c>
      <c r="M34" s="4" t="s">
        <v>4171</v>
      </c>
    </row>
    <row r="35" customFormat="false" ht="23.85" hidden="false" customHeight="false" outlineLevel="0" collapsed="false">
      <c r="A35" s="4" t="s">
        <v>4167</v>
      </c>
      <c r="B35" s="12" t="s">
        <v>2765</v>
      </c>
      <c r="C35" s="4" t="s">
        <v>4172</v>
      </c>
      <c r="D35" s="12" t="s">
        <v>2855</v>
      </c>
      <c r="E35" s="12" t="s">
        <v>2516</v>
      </c>
      <c r="F35" s="29" t="n">
        <v>4</v>
      </c>
      <c r="G35" s="29" t="n">
        <v>1</v>
      </c>
      <c r="H35" s="19" t="n">
        <v>2500</v>
      </c>
      <c r="I35" s="23" t="n">
        <f aca="false">F35*G35*H35</f>
        <v>10000</v>
      </c>
      <c r="J35" s="12" t="s">
        <v>2794</v>
      </c>
      <c r="K35" s="12" t="s">
        <v>2985</v>
      </c>
      <c r="L35" s="12" t="s">
        <v>2796</v>
      </c>
      <c r="M35" s="4" t="s">
        <v>4173</v>
      </c>
    </row>
    <row r="36" customFormat="false" ht="23.85" hidden="false" customHeight="false" outlineLevel="0" collapsed="false">
      <c r="A36" s="4" t="s">
        <v>4167</v>
      </c>
      <c r="B36" s="12" t="s">
        <v>2765</v>
      </c>
      <c r="C36" s="4" t="s">
        <v>4174</v>
      </c>
      <c r="D36" s="12" t="s">
        <v>2855</v>
      </c>
      <c r="E36" s="12" t="s">
        <v>2516</v>
      </c>
      <c r="F36" s="29" t="n">
        <v>1</v>
      </c>
      <c r="G36" s="29" t="n">
        <v>1</v>
      </c>
      <c r="H36" s="19" t="n">
        <v>3000</v>
      </c>
      <c r="I36" s="23" t="n">
        <f aca="false">F36*G36*H36</f>
        <v>3000</v>
      </c>
      <c r="J36" s="12" t="s">
        <v>2794</v>
      </c>
      <c r="K36" s="12" t="s">
        <v>2805</v>
      </c>
      <c r="L36" s="12"/>
      <c r="M36" s="4" t="s">
        <v>4175</v>
      </c>
    </row>
    <row r="37" customFormat="false" ht="23.85" hidden="false" customHeight="false" outlineLevel="0" collapsed="false">
      <c r="A37" s="4" t="s">
        <v>4167</v>
      </c>
      <c r="B37" s="12" t="s">
        <v>2765</v>
      </c>
      <c r="C37" s="4" t="s">
        <v>4176</v>
      </c>
      <c r="D37" s="12" t="s">
        <v>2855</v>
      </c>
      <c r="E37" s="12" t="s">
        <v>2516</v>
      </c>
      <c r="F37" s="29" t="n">
        <v>1</v>
      </c>
      <c r="G37" s="29" t="n">
        <v>1</v>
      </c>
      <c r="H37" s="19" t="n">
        <v>1800</v>
      </c>
      <c r="I37" s="23" t="n">
        <f aca="false">F37*G37*H37</f>
        <v>1800</v>
      </c>
      <c r="J37" s="12" t="s">
        <v>2794</v>
      </c>
      <c r="K37" s="12" t="s">
        <v>2985</v>
      </c>
      <c r="L37" s="12" t="s">
        <v>2796</v>
      </c>
      <c r="M37" s="4" t="s">
        <v>4177</v>
      </c>
    </row>
    <row r="38" customFormat="false" ht="23.85" hidden="false" customHeight="false" outlineLevel="0" collapsed="false">
      <c r="A38" s="4" t="s">
        <v>4167</v>
      </c>
      <c r="B38" s="12" t="s">
        <v>2765</v>
      </c>
      <c r="C38" s="4" t="s">
        <v>4178</v>
      </c>
      <c r="D38" s="12" t="s">
        <v>2808</v>
      </c>
      <c r="E38" s="12" t="s">
        <v>2831</v>
      </c>
      <c r="F38" s="29" t="n">
        <v>20</v>
      </c>
      <c r="G38" s="29" t="n">
        <v>1</v>
      </c>
      <c r="H38" s="19" t="n">
        <v>80</v>
      </c>
      <c r="I38" s="23" t="n">
        <f aca="false">F38*G38*H38</f>
        <v>1600</v>
      </c>
      <c r="J38" s="12" t="s">
        <v>2794</v>
      </c>
      <c r="K38" s="12" t="s">
        <v>2805</v>
      </c>
      <c r="L38" s="12"/>
      <c r="M38" s="4" t="s">
        <v>4179</v>
      </c>
    </row>
    <row r="39" customFormat="false" ht="23.85" hidden="false" customHeight="false" outlineLevel="0" collapsed="false">
      <c r="A39" s="4" t="s">
        <v>4167</v>
      </c>
      <c r="B39" s="12" t="s">
        <v>2765</v>
      </c>
      <c r="C39" s="4" t="s">
        <v>3318</v>
      </c>
      <c r="D39" s="12" t="s">
        <v>2808</v>
      </c>
      <c r="E39" s="12" t="s">
        <v>2497</v>
      </c>
      <c r="F39" s="29" t="n">
        <v>2</v>
      </c>
      <c r="G39" s="29" t="n">
        <v>1</v>
      </c>
      <c r="H39" s="19" t="n">
        <v>1800</v>
      </c>
      <c r="I39" s="23" t="n">
        <f aca="false">F39*G39*H39</f>
        <v>3600</v>
      </c>
      <c r="J39" s="12" t="s">
        <v>2794</v>
      </c>
      <c r="K39" s="12" t="s">
        <v>2863</v>
      </c>
      <c r="L39" s="12" t="s">
        <v>2796</v>
      </c>
      <c r="M39" s="4" t="s">
        <v>4180</v>
      </c>
    </row>
    <row r="40" customFormat="false" ht="23.85" hidden="false" customHeight="false" outlineLevel="0" collapsed="false">
      <c r="A40" s="4" t="s">
        <v>4167</v>
      </c>
      <c r="B40" s="12" t="s">
        <v>2765</v>
      </c>
      <c r="C40" s="4" t="s">
        <v>2868</v>
      </c>
      <c r="D40" s="12" t="s">
        <v>2808</v>
      </c>
      <c r="E40" s="12" t="s">
        <v>2497</v>
      </c>
      <c r="F40" s="29" t="n">
        <v>2</v>
      </c>
      <c r="G40" s="29" t="n">
        <v>1</v>
      </c>
      <c r="H40" s="19" t="n">
        <v>700</v>
      </c>
      <c r="I40" s="23" t="n">
        <f aca="false">F40*G40*H40</f>
        <v>1400</v>
      </c>
      <c r="J40" s="12" t="s">
        <v>2794</v>
      </c>
      <c r="K40" s="12" t="s">
        <v>2866</v>
      </c>
      <c r="L40" s="12" t="s">
        <v>2796</v>
      </c>
      <c r="M40" s="4"/>
    </row>
    <row r="41" customFormat="false" ht="23.85" hidden="false" customHeight="false" outlineLevel="0" collapsed="false">
      <c r="A41" s="4" t="s">
        <v>4167</v>
      </c>
      <c r="B41" s="12" t="s">
        <v>2765</v>
      </c>
      <c r="C41" s="4" t="s">
        <v>3433</v>
      </c>
      <c r="D41" s="12" t="s">
        <v>2808</v>
      </c>
      <c r="E41" s="12" t="s">
        <v>2497</v>
      </c>
      <c r="F41" s="29" t="n">
        <v>2</v>
      </c>
      <c r="G41" s="29" t="n">
        <v>1</v>
      </c>
      <c r="H41" s="19" t="n">
        <v>1100</v>
      </c>
      <c r="I41" s="23" t="n">
        <f aca="false">F41*G41*H41</f>
        <v>2200</v>
      </c>
      <c r="J41" s="12" t="s">
        <v>2794</v>
      </c>
      <c r="K41" s="12" t="s">
        <v>3434</v>
      </c>
      <c r="L41" s="12" t="s">
        <v>2796</v>
      </c>
      <c r="M41" s="4" t="s">
        <v>4181</v>
      </c>
    </row>
    <row r="42" customFormat="false" ht="23.85" hidden="false" customHeight="false" outlineLevel="0" collapsed="false">
      <c r="A42" s="4" t="s">
        <v>4167</v>
      </c>
      <c r="B42" s="12" t="s">
        <v>2765</v>
      </c>
      <c r="C42" s="4" t="s">
        <v>3505</v>
      </c>
      <c r="D42" s="12" t="s">
        <v>2808</v>
      </c>
      <c r="E42" s="12" t="s">
        <v>3506</v>
      </c>
      <c r="F42" s="29" t="n">
        <v>2</v>
      </c>
      <c r="G42" s="29" t="n">
        <v>2</v>
      </c>
      <c r="H42" s="19" t="n">
        <v>220</v>
      </c>
      <c r="I42" s="23" t="n">
        <f aca="false">F42*G42*H42</f>
        <v>880</v>
      </c>
      <c r="J42" s="12" t="s">
        <v>2794</v>
      </c>
      <c r="K42" s="12" t="s">
        <v>3507</v>
      </c>
      <c r="L42" s="12" t="s">
        <v>2796</v>
      </c>
      <c r="M42" s="4" t="s">
        <v>4182</v>
      </c>
    </row>
    <row r="43" customFormat="false" ht="23.85" hidden="false" customHeight="false" outlineLevel="0" collapsed="false">
      <c r="A43" s="4" t="s">
        <v>4167</v>
      </c>
      <c r="B43" s="12" t="s">
        <v>2765</v>
      </c>
      <c r="C43" s="4" t="s">
        <v>3325</v>
      </c>
      <c r="D43" s="12" t="s">
        <v>2808</v>
      </c>
      <c r="E43" s="12" t="s">
        <v>2497</v>
      </c>
      <c r="F43" s="29" t="n">
        <v>2</v>
      </c>
      <c r="G43" s="29" t="n">
        <v>2</v>
      </c>
      <c r="H43" s="19" t="n">
        <v>300</v>
      </c>
      <c r="I43" s="23" t="n">
        <f aca="false">F43*G43*H43</f>
        <v>1200</v>
      </c>
      <c r="J43" s="12" t="s">
        <v>2794</v>
      </c>
      <c r="K43" s="12" t="s">
        <v>2875</v>
      </c>
      <c r="L43" s="12" t="s">
        <v>2796</v>
      </c>
      <c r="M43" s="4" t="s">
        <v>4183</v>
      </c>
    </row>
    <row r="44" customFormat="false" ht="23.85" hidden="false" customHeight="false" outlineLevel="0" collapsed="false">
      <c r="A44" s="4" t="s">
        <v>4167</v>
      </c>
      <c r="B44" s="12" t="s">
        <v>2765</v>
      </c>
      <c r="C44" s="4" t="s">
        <v>4102</v>
      </c>
      <c r="D44" s="12" t="s">
        <v>2808</v>
      </c>
      <c r="E44" s="12" t="s">
        <v>2497</v>
      </c>
      <c r="F44" s="29" t="n">
        <v>1</v>
      </c>
      <c r="G44" s="29" t="n">
        <v>2</v>
      </c>
      <c r="H44" s="19" t="n">
        <v>300</v>
      </c>
      <c r="I44" s="23" t="n">
        <f aca="false">F44*G44*H44</f>
        <v>600</v>
      </c>
      <c r="J44" s="12" t="s">
        <v>2794</v>
      </c>
      <c r="K44" s="12" t="s">
        <v>2870</v>
      </c>
      <c r="L44" s="12" t="s">
        <v>2796</v>
      </c>
      <c r="M44" s="4" t="s">
        <v>4184</v>
      </c>
    </row>
    <row r="45" customFormat="false" ht="23.85" hidden="false" customHeight="false" outlineLevel="0" collapsed="false">
      <c r="A45" s="4" t="s">
        <v>4167</v>
      </c>
      <c r="B45" s="12" t="s">
        <v>2765</v>
      </c>
      <c r="C45" s="4" t="s">
        <v>4185</v>
      </c>
      <c r="D45" s="12" t="s">
        <v>2808</v>
      </c>
      <c r="E45" s="12" t="s">
        <v>2497</v>
      </c>
      <c r="F45" s="29" t="n">
        <v>3</v>
      </c>
      <c r="G45" s="29" t="n">
        <v>1</v>
      </c>
      <c r="H45" s="19" t="n">
        <v>3000</v>
      </c>
      <c r="I45" s="23" t="n">
        <f aca="false">F45*G45*H45</f>
        <v>9000</v>
      </c>
      <c r="J45" s="12" t="s">
        <v>4153</v>
      </c>
      <c r="K45" s="12" t="s">
        <v>2828</v>
      </c>
      <c r="L45" s="12" t="s">
        <v>2796</v>
      </c>
      <c r="M45" s="4" t="s">
        <v>4186</v>
      </c>
    </row>
    <row r="46" customFormat="false" ht="23.85" hidden="false" customHeight="false" outlineLevel="0" collapsed="false">
      <c r="A46" s="4" t="s">
        <v>4167</v>
      </c>
      <c r="B46" s="12" t="s">
        <v>2765</v>
      </c>
      <c r="C46" s="4" t="s">
        <v>4187</v>
      </c>
      <c r="D46" s="12" t="s">
        <v>2808</v>
      </c>
      <c r="E46" s="12" t="s">
        <v>2590</v>
      </c>
      <c r="F46" s="29" t="n">
        <v>6</v>
      </c>
      <c r="G46" s="29" t="n">
        <v>1</v>
      </c>
      <c r="H46" s="19" t="n">
        <v>150</v>
      </c>
      <c r="I46" s="23" t="n">
        <f aca="false">F46*G46*H46</f>
        <v>900</v>
      </c>
      <c r="J46" s="12" t="s">
        <v>2794</v>
      </c>
      <c r="K46" s="12" t="s">
        <v>3596</v>
      </c>
      <c r="L46" s="12" t="s">
        <v>2796</v>
      </c>
      <c r="M46" s="4" t="s">
        <v>4188</v>
      </c>
    </row>
    <row r="47" customFormat="false" ht="23.85" hidden="false" customHeight="false" outlineLevel="0" collapsed="false">
      <c r="A47" s="4" t="s">
        <v>4167</v>
      </c>
      <c r="B47" s="12" t="s">
        <v>2765</v>
      </c>
      <c r="C47" s="4" t="s">
        <v>4189</v>
      </c>
      <c r="D47" s="12" t="s">
        <v>2808</v>
      </c>
      <c r="E47" s="12" t="s">
        <v>3165</v>
      </c>
      <c r="F47" s="29" t="n">
        <v>3</v>
      </c>
      <c r="G47" s="29" t="n">
        <v>2</v>
      </c>
      <c r="H47" s="19" t="n">
        <v>200</v>
      </c>
      <c r="I47" s="23" t="n">
        <f aca="false">F47*G47*H47</f>
        <v>1200</v>
      </c>
      <c r="J47" s="12" t="s">
        <v>2794</v>
      </c>
      <c r="K47" s="12" t="s">
        <v>3166</v>
      </c>
      <c r="L47" s="12" t="s">
        <v>2796</v>
      </c>
      <c r="M47" s="4" t="s">
        <v>4190</v>
      </c>
    </row>
    <row r="48" customFormat="false" ht="23.85" hidden="false" customHeight="false" outlineLevel="0" collapsed="false">
      <c r="A48" s="4" t="s">
        <v>4167</v>
      </c>
      <c r="B48" s="12" t="s">
        <v>2765</v>
      </c>
      <c r="C48" s="4" t="s">
        <v>4191</v>
      </c>
      <c r="D48" s="12" t="s">
        <v>2808</v>
      </c>
      <c r="E48" s="12" t="s">
        <v>3165</v>
      </c>
      <c r="F48" s="29" t="n">
        <v>15</v>
      </c>
      <c r="G48" s="29" t="n">
        <v>2</v>
      </c>
      <c r="H48" s="19" t="n">
        <v>90</v>
      </c>
      <c r="I48" s="23" t="n">
        <f aca="false">F48*G48*H48</f>
        <v>2700</v>
      </c>
      <c r="J48" s="12" t="s">
        <v>2794</v>
      </c>
      <c r="K48" s="12" t="s">
        <v>3169</v>
      </c>
      <c r="L48" s="12" t="s">
        <v>2796</v>
      </c>
      <c r="M48" s="4" t="s">
        <v>4192</v>
      </c>
    </row>
    <row r="49" customFormat="false" ht="23.85" hidden="false" customHeight="false" outlineLevel="0" collapsed="false">
      <c r="A49" s="4" t="s">
        <v>4167</v>
      </c>
      <c r="B49" s="12" t="s">
        <v>2765</v>
      </c>
      <c r="C49" s="4" t="s">
        <v>4193</v>
      </c>
      <c r="D49" s="12" t="s">
        <v>2808</v>
      </c>
      <c r="E49" s="12" t="s">
        <v>2477</v>
      </c>
      <c r="F49" s="29" t="n">
        <v>120</v>
      </c>
      <c r="G49" s="29" t="n">
        <v>2</v>
      </c>
      <c r="H49" s="19" t="n">
        <v>10</v>
      </c>
      <c r="I49" s="23" t="n">
        <f aca="false">F49*G49*H49</f>
        <v>2400</v>
      </c>
      <c r="J49" s="12" t="s">
        <v>2794</v>
      </c>
      <c r="K49" s="12" t="s">
        <v>2805</v>
      </c>
      <c r="L49" s="12"/>
      <c r="M49" s="4" t="s">
        <v>4194</v>
      </c>
    </row>
    <row r="50" customFormat="false" ht="23.85" hidden="false" customHeight="false" outlineLevel="0" collapsed="false">
      <c r="A50" s="4" t="s">
        <v>4060</v>
      </c>
      <c r="B50" s="12" t="s">
        <v>2765</v>
      </c>
      <c r="C50" s="4" t="s">
        <v>4195</v>
      </c>
      <c r="D50" s="12" t="s">
        <v>2808</v>
      </c>
      <c r="E50" s="12" t="s">
        <v>2683</v>
      </c>
      <c r="F50" s="29" t="n">
        <v>1</v>
      </c>
      <c r="G50" s="29" t="n">
        <v>1</v>
      </c>
      <c r="H50" s="19" t="n">
        <v>2500</v>
      </c>
      <c r="I50" s="23" t="n">
        <f aca="false">F50*G50*H50</f>
        <v>2500</v>
      </c>
      <c r="J50" s="12" t="s">
        <v>4153</v>
      </c>
      <c r="K50" s="12" t="s">
        <v>2845</v>
      </c>
      <c r="L50" s="12" t="s">
        <v>2796</v>
      </c>
      <c r="M50" s="4" t="s">
        <v>4196</v>
      </c>
    </row>
    <row r="51" customFormat="false" ht="23.85" hidden="false" customHeight="false" outlineLevel="0" collapsed="false">
      <c r="A51" s="4" t="s">
        <v>4197</v>
      </c>
      <c r="B51" s="12" t="s">
        <v>2765</v>
      </c>
      <c r="C51" s="4" t="s">
        <v>4198</v>
      </c>
      <c r="D51" s="12" t="s">
        <v>2808</v>
      </c>
      <c r="E51" s="12" t="s">
        <v>2497</v>
      </c>
      <c r="F51" s="29" t="n">
        <v>4</v>
      </c>
      <c r="G51" s="29" t="n">
        <v>1</v>
      </c>
      <c r="H51" s="19" t="n">
        <v>1800</v>
      </c>
      <c r="I51" s="23" t="n">
        <f aca="false">F51*G51*H51</f>
        <v>7200</v>
      </c>
      <c r="J51" s="12" t="s">
        <v>4153</v>
      </c>
      <c r="K51" s="12" t="s">
        <v>2851</v>
      </c>
      <c r="L51" s="12" t="s">
        <v>2796</v>
      </c>
      <c r="M51" s="4" t="s">
        <v>4199</v>
      </c>
    </row>
    <row r="52" customFormat="false" ht="23.85" hidden="false" customHeight="false" outlineLevel="0" collapsed="false">
      <c r="A52" s="4" t="s">
        <v>4197</v>
      </c>
      <c r="B52" s="12" t="s">
        <v>2765</v>
      </c>
      <c r="C52" s="4" t="s">
        <v>2613</v>
      </c>
      <c r="D52" s="12" t="s">
        <v>2808</v>
      </c>
      <c r="E52" s="12" t="s">
        <v>2497</v>
      </c>
      <c r="F52" s="29" t="n">
        <v>3</v>
      </c>
      <c r="G52" s="29" t="n">
        <v>1</v>
      </c>
      <c r="H52" s="19" t="n">
        <v>900</v>
      </c>
      <c r="I52" s="23" t="n">
        <f aca="false">F52*G52*H52</f>
        <v>2700</v>
      </c>
      <c r="J52" s="12" t="s">
        <v>4153</v>
      </c>
      <c r="K52" s="12" t="s">
        <v>2848</v>
      </c>
      <c r="L52" s="12" t="s">
        <v>2796</v>
      </c>
      <c r="M52" s="4" t="s">
        <v>4200</v>
      </c>
    </row>
    <row r="53" customFormat="false" ht="23.85" hidden="false" customHeight="false" outlineLevel="0" collapsed="false">
      <c r="A53" s="4" t="s">
        <v>4197</v>
      </c>
      <c r="B53" s="12" t="s">
        <v>2766</v>
      </c>
      <c r="C53" s="4" t="s">
        <v>4201</v>
      </c>
      <c r="D53" s="12" t="s">
        <v>2804</v>
      </c>
      <c r="E53" s="12" t="s">
        <v>2597</v>
      </c>
      <c r="F53" s="29" t="n">
        <v>1</v>
      </c>
      <c r="G53" s="29" t="n">
        <v>1</v>
      </c>
      <c r="H53" s="19" t="n">
        <v>6000</v>
      </c>
      <c r="I53" s="23" t="n">
        <f aca="false">F53*G53*H53</f>
        <v>6000</v>
      </c>
      <c r="J53" s="12" t="s">
        <v>2794</v>
      </c>
      <c r="K53" s="12" t="s">
        <v>2891</v>
      </c>
      <c r="L53" s="12" t="s">
        <v>3221</v>
      </c>
      <c r="M53" s="4" t="s">
        <v>4202</v>
      </c>
    </row>
    <row r="54" customFormat="false" ht="23.85" hidden="false" customHeight="false" outlineLevel="0" collapsed="false">
      <c r="A54" s="4" t="s">
        <v>4197</v>
      </c>
      <c r="B54" s="12" t="s">
        <v>2766</v>
      </c>
      <c r="C54" s="4" t="s">
        <v>4203</v>
      </c>
      <c r="D54" s="12" t="s">
        <v>2804</v>
      </c>
      <c r="E54" s="12" t="s">
        <v>2597</v>
      </c>
      <c r="F54" s="29" t="n">
        <v>1</v>
      </c>
      <c r="G54" s="29" t="n">
        <v>1</v>
      </c>
      <c r="H54" s="19" t="n">
        <v>6351</v>
      </c>
      <c r="I54" s="23" t="n">
        <f aca="false">F54*G54*H54</f>
        <v>6351</v>
      </c>
      <c r="J54" s="12" t="s">
        <v>2794</v>
      </c>
      <c r="K54" s="12" t="s">
        <v>2805</v>
      </c>
      <c r="L54" s="12"/>
      <c r="M54" s="4" t="s">
        <v>4204</v>
      </c>
    </row>
    <row r="55" customFormat="false" ht="23.85" hidden="false" customHeight="false" outlineLevel="0" collapsed="false">
      <c r="A55" s="4" t="s">
        <v>4197</v>
      </c>
      <c r="B55" s="12" t="s">
        <v>2766</v>
      </c>
      <c r="C55" s="4" t="s">
        <v>4205</v>
      </c>
      <c r="D55" s="12" t="s">
        <v>2804</v>
      </c>
      <c r="E55" s="12" t="s">
        <v>2597</v>
      </c>
      <c r="F55" s="29" t="n">
        <v>1</v>
      </c>
      <c r="G55" s="29" t="n">
        <v>1</v>
      </c>
      <c r="H55" s="19" t="n">
        <v>3500</v>
      </c>
      <c r="I55" s="23" t="n">
        <f aca="false">F55*G55*H55</f>
        <v>3500</v>
      </c>
      <c r="J55" s="12" t="s">
        <v>2794</v>
      </c>
      <c r="K55" s="12" t="s">
        <v>2805</v>
      </c>
      <c r="L55" s="12"/>
      <c r="M55" s="4" t="s">
        <v>4206</v>
      </c>
    </row>
    <row r="56" customFormat="false" ht="23.85" hidden="false" customHeight="false" outlineLevel="0" collapsed="false">
      <c r="A56" s="4" t="s">
        <v>4060</v>
      </c>
      <c r="B56" s="12" t="s">
        <v>2768</v>
      </c>
      <c r="C56" s="4" t="s">
        <v>2911</v>
      </c>
      <c r="D56" s="12" t="s">
        <v>2882</v>
      </c>
      <c r="E56" s="12" t="s">
        <v>2601</v>
      </c>
      <c r="F56" s="29" t="n">
        <v>1</v>
      </c>
      <c r="G56" s="29" t="n">
        <v>1</v>
      </c>
      <c r="H56" s="19" t="n">
        <v>15760</v>
      </c>
      <c r="I56" s="23" t="n">
        <f aca="false">F56*G56*H56</f>
        <v>15760</v>
      </c>
      <c r="J56" s="12" t="s">
        <v>2794</v>
      </c>
      <c r="K56" s="12" t="s">
        <v>2805</v>
      </c>
      <c r="L56" s="12"/>
      <c r="M56" s="4" t="s">
        <v>4207</v>
      </c>
    </row>
    <row r="57" customFormat="false" ht="23.85" hidden="false" customHeight="false" outlineLevel="0" collapsed="false">
      <c r="A57" s="4" t="s">
        <v>4060</v>
      </c>
      <c r="B57" s="12" t="s">
        <v>2767</v>
      </c>
      <c r="C57" s="4" t="s">
        <v>2893</v>
      </c>
      <c r="D57" s="12" t="s">
        <v>2793</v>
      </c>
      <c r="E57" s="12" t="s">
        <v>2484</v>
      </c>
      <c r="F57" s="29" t="n">
        <v>6</v>
      </c>
      <c r="G57" s="29" t="n">
        <v>1</v>
      </c>
      <c r="H57" s="19" t="n">
        <v>1200</v>
      </c>
      <c r="I57" s="23" t="n">
        <f aca="false">F57*G57*H57</f>
        <v>7200</v>
      </c>
      <c r="J57" s="12" t="s">
        <v>2794</v>
      </c>
      <c r="K57" s="12" t="s">
        <v>2894</v>
      </c>
      <c r="L57" s="12" t="s">
        <v>2796</v>
      </c>
      <c r="M57" s="4" t="s">
        <v>4208</v>
      </c>
    </row>
    <row r="58" customFormat="false" ht="23.85" hidden="false" customHeight="false" outlineLevel="0" collapsed="false">
      <c r="A58" s="4" t="s">
        <v>4060</v>
      </c>
      <c r="B58" s="12" t="s">
        <v>2767</v>
      </c>
      <c r="C58" s="4" t="s">
        <v>4209</v>
      </c>
      <c r="D58" s="12" t="s">
        <v>2793</v>
      </c>
      <c r="E58" s="12" t="s">
        <v>2484</v>
      </c>
      <c r="F58" s="29" t="n">
        <v>1</v>
      </c>
      <c r="G58" s="29" t="n">
        <v>1</v>
      </c>
      <c r="H58" s="19" t="n">
        <v>2000</v>
      </c>
      <c r="I58" s="23" t="n">
        <f aca="false">F58*G58*H58</f>
        <v>2000</v>
      </c>
      <c r="J58" s="12" t="s">
        <v>2794</v>
      </c>
      <c r="K58" s="12" t="s">
        <v>2891</v>
      </c>
      <c r="L58" s="12" t="s">
        <v>2796</v>
      </c>
      <c r="M58" s="4" t="s">
        <v>4120</v>
      </c>
    </row>
    <row r="59" customFormat="false" ht="23.85" hidden="false" customHeight="false" outlineLevel="0" collapsed="false">
      <c r="A59" s="4" t="s">
        <v>4060</v>
      </c>
      <c r="B59" s="12" t="s">
        <v>2765</v>
      </c>
      <c r="C59" s="4" t="s">
        <v>4210</v>
      </c>
      <c r="D59" s="12" t="s">
        <v>2808</v>
      </c>
      <c r="E59" s="12" t="s">
        <v>2497</v>
      </c>
      <c r="F59" s="29" t="n">
        <v>2</v>
      </c>
      <c r="G59" s="29" t="n">
        <v>1</v>
      </c>
      <c r="H59" s="19" t="n">
        <v>1300</v>
      </c>
      <c r="I59" s="23" t="n">
        <f aca="false">F59*G59*H59</f>
        <v>2600</v>
      </c>
      <c r="J59" s="12" t="s">
        <v>2794</v>
      </c>
      <c r="K59" s="12" t="s">
        <v>2805</v>
      </c>
      <c r="L59" s="12"/>
      <c r="M59" s="4" t="s">
        <v>4211</v>
      </c>
    </row>
    <row r="60" customFormat="false" ht="23.85" hidden="false" customHeight="false" outlineLevel="0" collapsed="false">
      <c r="A60" s="4" t="s">
        <v>4060</v>
      </c>
      <c r="B60" s="12" t="s">
        <v>2765</v>
      </c>
      <c r="C60" s="4" t="s">
        <v>4212</v>
      </c>
      <c r="D60" s="12" t="s">
        <v>2808</v>
      </c>
      <c r="E60" s="12" t="s">
        <v>2702</v>
      </c>
      <c r="F60" s="29" t="n">
        <v>30</v>
      </c>
      <c r="G60" s="29" t="n">
        <v>1</v>
      </c>
      <c r="H60" s="19" t="n">
        <v>180</v>
      </c>
      <c r="I60" s="23" t="n">
        <f aca="false">F60*G60*H60</f>
        <v>5400</v>
      </c>
      <c r="J60" s="12" t="s">
        <v>4153</v>
      </c>
      <c r="K60" s="12" t="s">
        <v>2899</v>
      </c>
      <c r="L60" s="12" t="s">
        <v>2796</v>
      </c>
      <c r="M60" s="4" t="s">
        <v>4213</v>
      </c>
    </row>
    <row r="61" customFormat="false" ht="23.85" hidden="false" customHeight="false" outlineLevel="0" collapsed="false">
      <c r="A61" s="4" t="s">
        <v>4060</v>
      </c>
      <c r="B61" s="12" t="s">
        <v>2765</v>
      </c>
      <c r="C61" s="4" t="s">
        <v>4214</v>
      </c>
      <c r="D61" s="12" t="s">
        <v>2804</v>
      </c>
      <c r="E61" s="12" t="s">
        <v>2597</v>
      </c>
      <c r="F61" s="29" t="n">
        <v>1</v>
      </c>
      <c r="G61" s="29" t="n">
        <v>1</v>
      </c>
      <c r="H61" s="19" t="n">
        <v>2500</v>
      </c>
      <c r="I61" s="23" t="n">
        <f aca="false">F61*G61*H61</f>
        <v>2500</v>
      </c>
      <c r="J61" s="12" t="s">
        <v>2794</v>
      </c>
      <c r="K61" s="12" t="s">
        <v>2902</v>
      </c>
      <c r="L61" s="12" t="s">
        <v>2796</v>
      </c>
      <c r="M61" s="4" t="s">
        <v>3234</v>
      </c>
    </row>
    <row r="62" customFormat="false" ht="23.85" hidden="false" customHeight="false" outlineLevel="0" collapsed="false">
      <c r="A62" s="4" t="s">
        <v>4060</v>
      </c>
      <c r="B62" s="12" t="s">
        <v>2765</v>
      </c>
      <c r="C62" s="4" t="s">
        <v>4215</v>
      </c>
      <c r="D62" s="12" t="s">
        <v>2804</v>
      </c>
      <c r="E62" s="12" t="s">
        <v>2597</v>
      </c>
      <c r="F62" s="29" t="n">
        <v>1</v>
      </c>
      <c r="G62" s="29" t="n">
        <v>1</v>
      </c>
      <c r="H62" s="19" t="n">
        <v>2500</v>
      </c>
      <c r="I62" s="23" t="n">
        <f aca="false">F62*G62*H62</f>
        <v>2500</v>
      </c>
      <c r="J62" s="12" t="s">
        <v>2794</v>
      </c>
      <c r="K62" s="12" t="s">
        <v>2902</v>
      </c>
      <c r="L62" s="12" t="s">
        <v>2796</v>
      </c>
      <c r="M62" s="4" t="s">
        <v>3234</v>
      </c>
    </row>
    <row r="63" customFormat="false" ht="15" hidden="false" customHeight="false" outlineLevel="0" collapsed="false">
      <c r="H63" s="10" t="s">
        <v>134</v>
      </c>
      <c r="I63" s="11" t="n">
        <f aca="false">SUM(I26:I62)</f>
        <v>239995</v>
      </c>
    </row>
    <row r="65" customFormat="false" ht="15" hidden="false" customHeight="false" outlineLevel="0" collapsed="false">
      <c r="A65" s="22" t="s">
        <v>2913</v>
      </c>
    </row>
    <row r="66" customFormat="false" ht="23.85" hidden="false" customHeight="false" outlineLevel="0" collapsed="false">
      <c r="A66" s="3" t="s">
        <v>2914</v>
      </c>
      <c r="B66" s="3" t="s">
        <v>2915</v>
      </c>
      <c r="C66" s="3" t="s">
        <v>2780</v>
      </c>
      <c r="D66" s="3" t="s">
        <v>2781</v>
      </c>
      <c r="E66" s="3" t="s">
        <v>2782</v>
      </c>
      <c r="F66" s="3" t="s">
        <v>2783</v>
      </c>
      <c r="G66" s="3" t="s">
        <v>2784</v>
      </c>
      <c r="H66" s="3" t="s">
        <v>2785</v>
      </c>
      <c r="I66" s="3" t="s">
        <v>2786</v>
      </c>
      <c r="J66" s="3" t="s">
        <v>1393</v>
      </c>
      <c r="K66" s="3" t="s">
        <v>2916</v>
      </c>
      <c r="L66" s="3" t="s">
        <v>2789</v>
      </c>
      <c r="M66" s="3" t="s">
        <v>368</v>
      </c>
    </row>
    <row r="67" customFormat="false" ht="23.85" hidden="false" customHeight="false" outlineLevel="0" collapsed="false">
      <c r="A67" s="4" t="s">
        <v>4060</v>
      </c>
      <c r="B67" s="12" t="s">
        <v>2918</v>
      </c>
      <c r="C67" s="4" t="s">
        <v>2919</v>
      </c>
      <c r="D67" s="12" t="s">
        <v>2804</v>
      </c>
      <c r="E67" s="12" t="s">
        <v>2597</v>
      </c>
      <c r="F67" s="30" t="n">
        <v>1</v>
      </c>
      <c r="G67" s="30" t="n">
        <v>1</v>
      </c>
      <c r="H67" s="19" t="n">
        <v>7000</v>
      </c>
      <c r="I67" s="23" t="n">
        <f aca="false">F67*G67*H67</f>
        <v>7000</v>
      </c>
      <c r="J67" s="12" t="s">
        <v>2794</v>
      </c>
      <c r="K67" s="12" t="s">
        <v>2920</v>
      </c>
      <c r="L67" s="12" t="s">
        <v>2796</v>
      </c>
      <c r="M67" s="4" t="s">
        <v>4216</v>
      </c>
    </row>
    <row r="68" customFormat="false" ht="23.85" hidden="false" customHeight="false" outlineLevel="0" collapsed="false">
      <c r="A68" s="4" t="s">
        <v>4060</v>
      </c>
      <c r="B68" s="12" t="s">
        <v>2918</v>
      </c>
      <c r="C68" s="4" t="s">
        <v>2922</v>
      </c>
      <c r="D68" s="12" t="s">
        <v>2804</v>
      </c>
      <c r="E68" s="12" t="s">
        <v>2597</v>
      </c>
      <c r="F68" s="30" t="n">
        <v>1</v>
      </c>
      <c r="G68" s="30" t="n">
        <v>1</v>
      </c>
      <c r="H68" s="19" t="n">
        <v>5000</v>
      </c>
      <c r="I68" s="23" t="n">
        <f aca="false">F68*G68*H68</f>
        <v>5000</v>
      </c>
      <c r="J68" s="12" t="s">
        <v>2794</v>
      </c>
      <c r="K68" s="12" t="s">
        <v>2805</v>
      </c>
      <c r="L68" s="12"/>
      <c r="M68" s="4"/>
    </row>
    <row r="69" customFormat="false" ht="23.85" hidden="false" customHeight="false" outlineLevel="0" collapsed="false">
      <c r="A69" s="4" t="s">
        <v>4060</v>
      </c>
      <c r="B69" s="12" t="s">
        <v>2918</v>
      </c>
      <c r="C69" s="4" t="s">
        <v>2926</v>
      </c>
      <c r="D69" s="12" t="s">
        <v>2793</v>
      </c>
      <c r="E69" s="12" t="s">
        <v>2484</v>
      </c>
      <c r="F69" s="30" t="n">
        <v>7</v>
      </c>
      <c r="G69" s="30" t="n">
        <v>1</v>
      </c>
      <c r="H69" s="19" t="n">
        <v>80</v>
      </c>
      <c r="I69" s="23" t="n">
        <f aca="false">F69*G69*H69</f>
        <v>560</v>
      </c>
      <c r="J69" s="12" t="s">
        <v>2794</v>
      </c>
      <c r="K69" s="12" t="s">
        <v>2805</v>
      </c>
      <c r="L69" s="12"/>
      <c r="M69" s="4"/>
    </row>
    <row r="70" customFormat="false" ht="23.85" hidden="false" customHeight="false" outlineLevel="0" collapsed="false">
      <c r="A70" s="4" t="s">
        <v>4060</v>
      </c>
      <c r="B70" s="12" t="s">
        <v>2918</v>
      </c>
      <c r="C70" s="4" t="s">
        <v>4217</v>
      </c>
      <c r="D70" s="12" t="s">
        <v>2882</v>
      </c>
      <c r="E70" s="12" t="s">
        <v>2601</v>
      </c>
      <c r="F70" s="30" t="n">
        <v>1</v>
      </c>
      <c r="G70" s="30" t="n">
        <v>1</v>
      </c>
      <c r="H70" s="19" t="n">
        <v>1000</v>
      </c>
      <c r="I70" s="23" t="n">
        <f aca="false">F70*G70*H70</f>
        <v>1000</v>
      </c>
      <c r="J70" s="12" t="s">
        <v>2794</v>
      </c>
      <c r="K70" s="12" t="s">
        <v>2805</v>
      </c>
      <c r="L70" s="12"/>
      <c r="M70" s="4"/>
    </row>
    <row r="71" customFormat="false" ht="23.85" hidden="false" customHeight="false" outlineLevel="0" collapsed="false">
      <c r="A71" s="4" t="s">
        <v>4060</v>
      </c>
      <c r="B71" s="12" t="s">
        <v>2930</v>
      </c>
      <c r="C71" s="4" t="s">
        <v>3237</v>
      </c>
      <c r="D71" s="12" t="s">
        <v>2793</v>
      </c>
      <c r="E71" s="12" t="s">
        <v>2484</v>
      </c>
      <c r="F71" s="30" t="n">
        <v>1</v>
      </c>
      <c r="G71" s="30" t="n">
        <v>1</v>
      </c>
      <c r="H71" s="19" t="n">
        <v>3500</v>
      </c>
      <c r="I71" s="23" t="n">
        <f aca="false">F71*G71*H71</f>
        <v>3500</v>
      </c>
      <c r="J71" s="12" t="s">
        <v>4153</v>
      </c>
      <c r="K71" s="12" t="s">
        <v>2805</v>
      </c>
      <c r="L71" s="12"/>
      <c r="M71" s="4" t="s">
        <v>4218</v>
      </c>
    </row>
    <row r="72" customFormat="false" ht="23.85" hidden="false" customHeight="false" outlineLevel="0" collapsed="false">
      <c r="A72" s="4" t="s">
        <v>4060</v>
      </c>
      <c r="B72" s="12" t="s">
        <v>2930</v>
      </c>
      <c r="C72" s="4" t="s">
        <v>3456</v>
      </c>
      <c r="D72" s="12" t="s">
        <v>2808</v>
      </c>
      <c r="E72" s="12" t="s">
        <v>2497</v>
      </c>
      <c r="F72" s="30" t="n">
        <v>2</v>
      </c>
      <c r="G72" s="30" t="n">
        <v>2</v>
      </c>
      <c r="H72" s="19" t="n">
        <v>250</v>
      </c>
      <c r="I72" s="23" t="n">
        <f aca="false">F72*G72*H72</f>
        <v>1000</v>
      </c>
      <c r="J72" s="12" t="s">
        <v>2794</v>
      </c>
      <c r="K72" s="12" t="s">
        <v>2934</v>
      </c>
      <c r="L72" s="12" t="s">
        <v>2796</v>
      </c>
      <c r="M72" s="4" t="s">
        <v>4183</v>
      </c>
    </row>
    <row r="73" customFormat="false" ht="23.85" hidden="false" customHeight="false" outlineLevel="0" collapsed="false">
      <c r="A73" s="4" t="s">
        <v>4060</v>
      </c>
      <c r="B73" s="12" t="s">
        <v>2930</v>
      </c>
      <c r="C73" s="4" t="s">
        <v>3362</v>
      </c>
      <c r="D73" s="12" t="s">
        <v>2808</v>
      </c>
      <c r="E73" s="12" t="s">
        <v>2497</v>
      </c>
      <c r="F73" s="30" t="n">
        <v>2</v>
      </c>
      <c r="G73" s="30" t="n">
        <v>1</v>
      </c>
      <c r="H73" s="19" t="n">
        <v>600</v>
      </c>
      <c r="I73" s="23" t="n">
        <f aca="false">F73*G73*H73</f>
        <v>1200</v>
      </c>
      <c r="J73" s="12" t="s">
        <v>2794</v>
      </c>
      <c r="K73" s="12" t="s">
        <v>2805</v>
      </c>
      <c r="L73" s="12"/>
      <c r="M73" s="4" t="s">
        <v>4219</v>
      </c>
    </row>
    <row r="74" customFormat="false" ht="23.85" hidden="false" customHeight="false" outlineLevel="0" collapsed="false">
      <c r="A74" s="4" t="s">
        <v>4060</v>
      </c>
      <c r="B74" s="12" t="s">
        <v>2930</v>
      </c>
      <c r="C74" s="4" t="s">
        <v>4132</v>
      </c>
      <c r="D74" s="12" t="s">
        <v>2804</v>
      </c>
      <c r="E74" s="12" t="s">
        <v>2597</v>
      </c>
      <c r="F74" s="30" t="n">
        <v>1</v>
      </c>
      <c r="G74" s="30" t="n">
        <v>1</v>
      </c>
      <c r="H74" s="19" t="n">
        <v>5000</v>
      </c>
      <c r="I74" s="23" t="n">
        <f aca="false">F74*G74*H74</f>
        <v>5000</v>
      </c>
      <c r="J74" s="12" t="s">
        <v>2794</v>
      </c>
      <c r="K74" s="12" t="s">
        <v>2937</v>
      </c>
      <c r="L74" s="12" t="s">
        <v>2796</v>
      </c>
      <c r="M74" s="4" t="s">
        <v>4220</v>
      </c>
    </row>
    <row r="75" customFormat="false" ht="23.85" hidden="false" customHeight="false" outlineLevel="0" collapsed="false">
      <c r="A75" s="4" t="s">
        <v>4060</v>
      </c>
      <c r="B75" s="12" t="s">
        <v>2930</v>
      </c>
      <c r="C75" s="4" t="s">
        <v>3365</v>
      </c>
      <c r="D75" s="12" t="s">
        <v>2793</v>
      </c>
      <c r="E75" s="12" t="s">
        <v>2484</v>
      </c>
      <c r="F75" s="30" t="n">
        <v>2</v>
      </c>
      <c r="G75" s="30" t="n">
        <v>1</v>
      </c>
      <c r="H75" s="19" t="n">
        <v>3000</v>
      </c>
      <c r="I75" s="23" t="n">
        <f aca="false">F75*G75*H75</f>
        <v>6000</v>
      </c>
      <c r="J75" s="12" t="s">
        <v>2794</v>
      </c>
      <c r="K75" s="12" t="s">
        <v>2909</v>
      </c>
      <c r="L75" s="12" t="s">
        <v>2796</v>
      </c>
      <c r="M75" s="4" t="s">
        <v>4221</v>
      </c>
    </row>
    <row r="76" customFormat="false" ht="23.85" hidden="false" customHeight="false" outlineLevel="0" collapsed="false">
      <c r="A76" s="4" t="s">
        <v>4060</v>
      </c>
      <c r="B76" s="12" t="s">
        <v>2930</v>
      </c>
      <c r="C76" s="4" t="s">
        <v>4222</v>
      </c>
      <c r="D76" s="12" t="s">
        <v>2808</v>
      </c>
      <c r="E76" s="12" t="s">
        <v>2477</v>
      </c>
      <c r="F76" s="30" t="n">
        <v>400</v>
      </c>
      <c r="G76" s="30" t="n">
        <v>1</v>
      </c>
      <c r="H76" s="19" t="n">
        <v>2.5</v>
      </c>
      <c r="I76" s="23" t="n">
        <f aca="false">F76*G76*H76</f>
        <v>1000</v>
      </c>
      <c r="J76" s="12" t="s">
        <v>4153</v>
      </c>
      <c r="K76" s="12" t="s">
        <v>2805</v>
      </c>
      <c r="L76" s="12"/>
      <c r="M76" s="4"/>
    </row>
    <row r="77" customFormat="false" ht="23.85" hidden="false" customHeight="false" outlineLevel="0" collapsed="false">
      <c r="A77" s="4" t="s">
        <v>4060</v>
      </c>
      <c r="B77" s="12" t="s">
        <v>2930</v>
      </c>
      <c r="C77" s="4" t="s">
        <v>4223</v>
      </c>
      <c r="D77" s="12" t="s">
        <v>2808</v>
      </c>
      <c r="E77" s="12" t="s">
        <v>2528</v>
      </c>
      <c r="F77" s="30" t="n">
        <v>20</v>
      </c>
      <c r="G77" s="30" t="n">
        <v>1</v>
      </c>
      <c r="H77" s="19" t="n">
        <v>65</v>
      </c>
      <c r="I77" s="23" t="n">
        <f aca="false">F77*G77*H77</f>
        <v>1300</v>
      </c>
      <c r="J77" s="12" t="s">
        <v>4153</v>
      </c>
      <c r="K77" s="12" t="s">
        <v>2949</v>
      </c>
      <c r="L77" s="12" t="s">
        <v>2950</v>
      </c>
      <c r="M77" s="4"/>
    </row>
    <row r="78" customFormat="false" ht="23.85" hidden="false" customHeight="false" outlineLevel="0" collapsed="false">
      <c r="A78" s="4" t="s">
        <v>4060</v>
      </c>
      <c r="B78" s="12" t="s">
        <v>2930</v>
      </c>
      <c r="C78" s="4" t="s">
        <v>3063</v>
      </c>
      <c r="D78" s="12" t="s">
        <v>2882</v>
      </c>
      <c r="E78" s="12" t="s">
        <v>2601</v>
      </c>
      <c r="F78" s="30" t="n">
        <v>1</v>
      </c>
      <c r="G78" s="30" t="n">
        <v>1</v>
      </c>
      <c r="H78" s="19" t="n">
        <v>2000</v>
      </c>
      <c r="I78" s="23" t="n">
        <f aca="false">F78*G78*H78</f>
        <v>2000</v>
      </c>
      <c r="J78" s="12" t="s">
        <v>2794</v>
      </c>
      <c r="K78" s="12" t="s">
        <v>2942</v>
      </c>
      <c r="L78" s="12" t="s">
        <v>2796</v>
      </c>
      <c r="M78" s="4"/>
    </row>
    <row r="80" customFormat="false" ht="15" hidden="false" customHeight="false" outlineLevel="0" collapsed="false">
      <c r="A80" s="10" t="s">
        <v>2952</v>
      </c>
      <c r="B80" s="23" t="n">
        <f aca="false">SUMIFS($I$67:$I$78,$B$67:$B$78,"Custos de administração")</f>
        <v>13560</v>
      </c>
      <c r="C80" s="13" t="n">
        <f aca="false">B17</f>
        <v>14399.7</v>
      </c>
      <c r="D80" s="23" t="n">
        <f aca="false">C80-B80</f>
        <v>839.699999999999</v>
      </c>
      <c r="E80" s="12" t="str">
        <f aca="false">IF(D80&gt;=0,"OK","EXCEDE")</f>
        <v>OK</v>
      </c>
    </row>
    <row r="81" customFormat="false" ht="15" hidden="false" customHeight="false" outlineLevel="0" collapsed="false">
      <c r="A81" s="10" t="s">
        <v>2953</v>
      </c>
      <c r="B81" s="23" t="n">
        <f aca="false">SUMIFS($I$67:$I$78,$B$67:$B$78,"Custos de acessibilidade, comunicação e divulgação")</f>
        <v>21000</v>
      </c>
      <c r="C81" s="13" t="n">
        <f aca="false">B18</f>
        <v>21599.55</v>
      </c>
      <c r="D81" s="23" t="n">
        <f aca="false">C81-B81</f>
        <v>599.549999999999</v>
      </c>
      <c r="E81" s="12" t="str">
        <f aca="false">IF(D81&gt;=0,"OK","EXCEDE")</f>
        <v>OK</v>
      </c>
    </row>
    <row r="82" customFormat="false" ht="15" hidden="false" customHeight="false" outlineLevel="0" collapsed="false">
      <c r="A82" s="14" t="s">
        <v>2954</v>
      </c>
    </row>
    <row r="84" customFormat="false" ht="15" hidden="false" customHeight="false" outlineLevel="0" collapsed="false">
      <c r="A84" s="22" t="s">
        <v>2955</v>
      </c>
    </row>
    <row r="85" customFormat="false" ht="30" hidden="false" customHeight="true" outlineLevel="0" collapsed="false">
      <c r="A85" s="21" t="s">
        <v>4224</v>
      </c>
      <c r="B85" s="21"/>
      <c r="C85" s="21"/>
      <c r="D85" s="21"/>
      <c r="E85" s="21"/>
      <c r="F85" s="21"/>
      <c r="G85" s="21"/>
      <c r="H85" s="21"/>
      <c r="I85" s="21"/>
      <c r="J85" s="21"/>
      <c r="K85" s="21"/>
      <c r="L85" s="21"/>
      <c r="M85" s="21"/>
    </row>
    <row r="86" customFormat="false" ht="30" hidden="false" customHeight="true" outlineLevel="0" collapsed="false">
      <c r="A86" s="21" t="s">
        <v>4225</v>
      </c>
      <c r="B86" s="21"/>
      <c r="C86" s="21"/>
      <c r="D86" s="21"/>
      <c r="E86" s="21"/>
      <c r="F86" s="21"/>
      <c r="G86" s="21"/>
      <c r="H86" s="21"/>
      <c r="I86" s="21"/>
      <c r="J86" s="21"/>
      <c r="K86" s="21"/>
      <c r="L86" s="21"/>
      <c r="M86" s="21"/>
    </row>
    <row r="87" customFormat="false" ht="30" hidden="false" customHeight="true" outlineLevel="0" collapsed="false">
      <c r="A87" s="21" t="s">
        <v>4226</v>
      </c>
      <c r="B87" s="21"/>
      <c r="C87" s="21"/>
      <c r="D87" s="21"/>
      <c r="E87" s="21"/>
      <c r="F87" s="21"/>
      <c r="G87" s="21"/>
      <c r="H87" s="21"/>
      <c r="I87" s="21"/>
      <c r="J87" s="21"/>
      <c r="K87" s="21"/>
      <c r="L87" s="21"/>
      <c r="M87" s="21"/>
    </row>
    <row r="88" customFormat="false" ht="30" hidden="false" customHeight="true" outlineLevel="0" collapsed="false">
      <c r="A88" s="21" t="s">
        <v>4227</v>
      </c>
      <c r="B88" s="21"/>
      <c r="C88" s="21"/>
      <c r="D88" s="21"/>
      <c r="E88" s="21"/>
      <c r="F88" s="21"/>
      <c r="G88" s="21"/>
      <c r="H88" s="21"/>
      <c r="I88" s="21"/>
      <c r="J88" s="21"/>
      <c r="K88" s="21"/>
      <c r="L88" s="21"/>
      <c r="M88" s="21"/>
    </row>
    <row r="89" customFormat="false" ht="30" hidden="false" customHeight="true" outlineLevel="0" collapsed="false">
      <c r="A89" s="21" t="s">
        <v>4228</v>
      </c>
      <c r="B89" s="21"/>
      <c r="C89" s="21"/>
      <c r="D89" s="21"/>
      <c r="E89" s="21"/>
      <c r="F89" s="21"/>
      <c r="G89" s="21"/>
      <c r="H89" s="21"/>
      <c r="I89" s="21"/>
      <c r="J89" s="21"/>
      <c r="K89" s="21"/>
      <c r="L89" s="21"/>
      <c r="M89" s="21"/>
    </row>
    <row r="90" customFormat="false" ht="30" hidden="false" customHeight="true" outlineLevel="0" collapsed="false">
      <c r="A90" s="21" t="s">
        <v>4229</v>
      </c>
      <c r="B90" s="21"/>
      <c r="C90" s="21"/>
      <c r="D90" s="21"/>
      <c r="E90" s="21"/>
      <c r="F90" s="21"/>
      <c r="G90" s="21"/>
      <c r="H90" s="21"/>
      <c r="I90" s="21"/>
      <c r="J90" s="21"/>
      <c r="K90" s="21"/>
      <c r="L90" s="21"/>
      <c r="M90" s="21"/>
    </row>
    <row r="91" customFormat="false" ht="30" hidden="false" customHeight="true" outlineLevel="0" collapsed="false">
      <c r="A91" s="21" t="s">
        <v>4230</v>
      </c>
      <c r="B91" s="21"/>
      <c r="C91" s="21"/>
      <c r="D91" s="21"/>
      <c r="E91" s="21"/>
      <c r="F91" s="21"/>
      <c r="G91" s="21"/>
      <c r="H91" s="21"/>
      <c r="I91" s="21"/>
      <c r="J91" s="21"/>
      <c r="K91" s="21"/>
      <c r="L91" s="21"/>
      <c r="M91" s="21"/>
    </row>
    <row r="92" customFormat="false" ht="30" hidden="false" customHeight="true" outlineLevel="0" collapsed="false">
      <c r="A92" s="21" t="s">
        <v>4231</v>
      </c>
      <c r="B92" s="21"/>
      <c r="C92" s="21"/>
      <c r="D92" s="21"/>
      <c r="E92" s="21"/>
      <c r="F92" s="21"/>
      <c r="G92" s="21"/>
      <c r="H92" s="21"/>
      <c r="I92" s="21"/>
      <c r="J92" s="21"/>
      <c r="K92" s="21"/>
      <c r="L92" s="21"/>
      <c r="M92" s="21"/>
    </row>
    <row r="93" customFormat="false" ht="30" hidden="false" customHeight="true" outlineLevel="0" collapsed="false">
      <c r="A93" s="21" t="s">
        <v>4232</v>
      </c>
      <c r="B93" s="21"/>
      <c r="C93" s="21"/>
      <c r="D93" s="21"/>
      <c r="E93" s="21"/>
      <c r="F93" s="21"/>
      <c r="G93" s="21"/>
      <c r="H93" s="21"/>
      <c r="I93" s="21"/>
      <c r="J93" s="21"/>
      <c r="K93" s="21"/>
      <c r="L93" s="21"/>
      <c r="M93" s="21"/>
    </row>
    <row r="94" customFormat="false" ht="15" hidden="false" customHeight="true" outlineLevel="0" collapsed="false">
      <c r="A94" s="21" t="s">
        <v>4233</v>
      </c>
      <c r="B94" s="21"/>
      <c r="C94" s="21"/>
      <c r="D94" s="21"/>
      <c r="E94" s="21"/>
      <c r="F94" s="21"/>
      <c r="G94" s="21"/>
      <c r="H94" s="21"/>
      <c r="I94" s="21"/>
      <c r="J94" s="21"/>
      <c r="K94" s="21"/>
      <c r="L94" s="21"/>
      <c r="M94" s="21"/>
    </row>
    <row r="96" customFormat="false" ht="15" hidden="false" customHeight="false" outlineLevel="0" collapsed="false">
      <c r="A96" s="22" t="s">
        <v>2964</v>
      </c>
      <c r="B96" s="19" t="n">
        <v>60000</v>
      </c>
    </row>
    <row r="97" customFormat="false" ht="75" hidden="false" customHeight="true" outlineLevel="0" collapsed="false">
      <c r="A97" s="21" t="s">
        <v>4234</v>
      </c>
      <c r="B97" s="21"/>
      <c r="C97" s="21"/>
      <c r="D97" s="21"/>
      <c r="E97" s="21"/>
      <c r="F97" s="21"/>
      <c r="G97" s="21"/>
      <c r="H97" s="21"/>
      <c r="I97" s="21"/>
      <c r="J97" s="21"/>
      <c r="K97" s="21"/>
      <c r="L97" s="21"/>
      <c r="M97" s="21"/>
    </row>
  </sheetData>
  <mergeCells count="16">
    <mergeCell ref="B2:M2"/>
    <mergeCell ref="B3:M3"/>
    <mergeCell ref="B4:M4"/>
    <mergeCell ref="B5:M5"/>
    <mergeCell ref="B6:M6"/>
    <mergeCell ref="A85:M85"/>
    <mergeCell ref="A86:M86"/>
    <mergeCell ref="A87:M87"/>
    <mergeCell ref="A88:M88"/>
    <mergeCell ref="A89:M89"/>
    <mergeCell ref="A90:M90"/>
    <mergeCell ref="A91:M91"/>
    <mergeCell ref="A92:M92"/>
    <mergeCell ref="A93:M93"/>
    <mergeCell ref="A94:M94"/>
    <mergeCell ref="A97:M97"/>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2">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7:L78">
    <cfRule type="expression" priority="11" aboveAverage="0" equalAverage="0" bottom="0" percent="0" rank="0" text="" dxfId="2">
      <formula>LEFT(L67,5)="ACIMA"</formula>
    </cfRule>
  </conditionalFormatting>
  <conditionalFormatting sqref="E80:E81">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ISNUMBER(SEARCH("EXCEDE",E80))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4235</v>
      </c>
    </row>
    <row r="2" customFormat="false" ht="30" hidden="false" customHeight="true" outlineLevel="0" collapsed="false">
      <c r="A2" s="22" t="s">
        <v>2748</v>
      </c>
      <c r="B2" s="21" t="s">
        <v>2967</v>
      </c>
      <c r="C2" s="21"/>
      <c r="D2" s="21"/>
      <c r="E2" s="21"/>
      <c r="F2" s="21"/>
      <c r="G2" s="21"/>
      <c r="H2" s="21"/>
      <c r="I2" s="21"/>
      <c r="J2" s="21"/>
      <c r="K2" s="21"/>
      <c r="L2" s="21"/>
      <c r="M2" s="21"/>
    </row>
    <row r="3" customFormat="false" ht="30" hidden="false" customHeight="true" outlineLevel="0" collapsed="false">
      <c r="A3" s="22" t="s">
        <v>2750</v>
      </c>
      <c r="B3" s="21" t="s">
        <v>4236</v>
      </c>
      <c r="C3" s="21"/>
      <c r="D3" s="21"/>
      <c r="E3" s="21"/>
      <c r="F3" s="21"/>
      <c r="G3" s="21"/>
      <c r="H3" s="21"/>
      <c r="I3" s="21"/>
      <c r="J3" s="21"/>
      <c r="K3" s="21"/>
      <c r="L3" s="21"/>
      <c r="M3" s="21"/>
    </row>
    <row r="4" customFormat="false" ht="30" hidden="false" customHeight="true" outlineLevel="0" collapsed="false">
      <c r="A4" s="22" t="s">
        <v>2752</v>
      </c>
      <c r="B4" s="21" t="s">
        <v>4237</v>
      </c>
      <c r="C4" s="21"/>
      <c r="D4" s="21"/>
      <c r="E4" s="21"/>
      <c r="F4" s="21"/>
      <c r="G4" s="21"/>
      <c r="H4" s="21"/>
      <c r="I4" s="21"/>
      <c r="J4" s="21"/>
      <c r="K4" s="21"/>
      <c r="L4" s="21"/>
      <c r="M4" s="21"/>
    </row>
    <row r="5" customFormat="false" ht="30" hidden="false" customHeight="true" outlineLevel="0" collapsed="false">
      <c r="A5" s="22" t="s">
        <v>2754</v>
      </c>
      <c r="B5" s="21" t="s">
        <v>4238</v>
      </c>
      <c r="C5" s="21"/>
      <c r="D5" s="21"/>
      <c r="E5" s="21"/>
      <c r="F5" s="21"/>
      <c r="G5" s="21"/>
      <c r="H5" s="21"/>
      <c r="I5" s="21"/>
      <c r="J5" s="21"/>
      <c r="K5" s="21"/>
      <c r="L5" s="21"/>
      <c r="M5" s="21"/>
    </row>
    <row r="6" customFormat="false" ht="30" hidden="false" customHeight="true" outlineLevel="0" collapsed="false">
      <c r="A6" s="22" t="s">
        <v>2756</v>
      </c>
      <c r="B6" s="21" t="s">
        <v>4239</v>
      </c>
      <c r="C6" s="21"/>
      <c r="D6" s="21"/>
      <c r="E6" s="21"/>
      <c r="F6" s="21"/>
      <c r="G6" s="21"/>
      <c r="H6" s="21"/>
      <c r="I6" s="21"/>
      <c r="J6" s="21"/>
      <c r="K6" s="21"/>
      <c r="L6" s="21"/>
      <c r="M6" s="21"/>
    </row>
    <row r="7" customFormat="false" ht="15" hidden="false" customHeight="false" outlineLevel="0" collapsed="false">
      <c r="A7" s="22" t="s">
        <v>2758</v>
      </c>
      <c r="B7" s="19" t="n">
        <v>450000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SUMIFS($I$26:$I$56,$B$26:$B$56,A11)</f>
        <v>34068</v>
      </c>
      <c r="C11" s="24" t="n">
        <f aca="false">IF($B$16=0,0,B11/$B$16)</f>
        <v>0.0947017290265192</v>
      </c>
    </row>
    <row r="12" customFormat="false" ht="15" hidden="false" customHeight="false" outlineLevel="0" collapsed="false">
      <c r="A12" s="12" t="s">
        <v>2765</v>
      </c>
      <c r="B12" s="23" t="n">
        <f aca="false">SUMIFS($I$26:$I$56,$B$26:$B$56,A12)</f>
        <v>266636</v>
      </c>
      <c r="C12" s="24" t="n">
        <f aca="false">IF($B$16=0,0,B12/$B$16)</f>
        <v>0.741190860065603</v>
      </c>
    </row>
    <row r="13" customFormat="false" ht="15" hidden="false" customHeight="false" outlineLevel="0" collapsed="false">
      <c r="A13" s="12" t="s">
        <v>2766</v>
      </c>
      <c r="B13" s="23" t="n">
        <f aca="false">SUMIFS($I$26:$I$56,$B$26:$B$56,A13)</f>
        <v>15500</v>
      </c>
      <c r="C13" s="24" t="n">
        <f aca="false">IF($B$16=0,0,B13/$B$16)</f>
        <v>0.0430866737087897</v>
      </c>
    </row>
    <row r="14" customFormat="false" ht="15" hidden="false" customHeight="false" outlineLevel="0" collapsed="false">
      <c r="A14" s="12" t="s">
        <v>2767</v>
      </c>
      <c r="B14" s="23" t="n">
        <f aca="false">SUMIFS($I$26:$I$56,$B$26:$B$56,A14)</f>
        <v>13600</v>
      </c>
      <c r="C14" s="24" t="n">
        <f aca="false">IF($B$16=0,0,B14/$B$16)</f>
        <v>0.0378050814477122</v>
      </c>
    </row>
    <row r="15" customFormat="false" ht="15" hidden="false" customHeight="false" outlineLevel="0" collapsed="false">
      <c r="A15" s="12" t="s">
        <v>2768</v>
      </c>
      <c r="B15" s="23" t="n">
        <f aca="false">SUMIFS($I$26:$I$56,$B$26:$B$56,A15)</f>
        <v>29936</v>
      </c>
      <c r="C15" s="24" t="n">
        <f aca="false">IF($B$16=0,0,B15/$B$16)</f>
        <v>0.083215655751376</v>
      </c>
    </row>
    <row r="16" customFormat="false" ht="15" hidden="false" customHeight="false" outlineLevel="0" collapsed="false">
      <c r="A16" s="25" t="s">
        <v>2769</v>
      </c>
      <c r="B16" s="26" t="n">
        <f aca="false">SUM(B11:B15)</f>
        <v>359740</v>
      </c>
    </row>
    <row r="17" customFormat="false" ht="23.85" hidden="false" customHeight="false" outlineLevel="0" collapsed="false">
      <c r="A17" s="4" t="s">
        <v>2770</v>
      </c>
      <c r="B17" s="23" t="n">
        <f aca="false">$B$16*C17</f>
        <v>21584.4</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32376.6</v>
      </c>
      <c r="C18" s="27" t="n">
        <v>0.09</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35974</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449675</v>
      </c>
    </row>
    <row r="21" customFormat="false" ht="15" hidden="false" customHeight="false" outlineLevel="0" collapsed="false">
      <c r="A21" s="12" t="s">
        <v>2774</v>
      </c>
      <c r="B21" s="23" t="n">
        <f aca="false">B20-B7</f>
        <v>-325</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35.05" hidden="false" customHeight="false" outlineLevel="0" collapsed="false">
      <c r="A26" s="4" t="s">
        <v>4240</v>
      </c>
      <c r="B26" s="12" t="s">
        <v>2764</v>
      </c>
      <c r="C26" s="4" t="s">
        <v>4241</v>
      </c>
      <c r="D26" s="12" t="s">
        <v>2793</v>
      </c>
      <c r="E26" s="12" t="s">
        <v>2484</v>
      </c>
      <c r="F26" s="29" t="n">
        <v>1</v>
      </c>
      <c r="G26" s="29" t="n">
        <v>1</v>
      </c>
      <c r="H26" s="19" t="n">
        <v>6500</v>
      </c>
      <c r="I26" s="23" t="n">
        <f aca="false">F26*G26*H26</f>
        <v>6500</v>
      </c>
      <c r="J26" s="12" t="s">
        <v>2794</v>
      </c>
      <c r="K26" s="12" t="s">
        <v>2795</v>
      </c>
      <c r="L26" s="12" t="s">
        <v>2796</v>
      </c>
      <c r="M26" s="4" t="s">
        <v>4242</v>
      </c>
    </row>
    <row r="27" customFormat="false" ht="23.85" hidden="false" customHeight="false" outlineLevel="0" collapsed="false">
      <c r="A27" s="4" t="s">
        <v>4243</v>
      </c>
      <c r="B27" s="12" t="s">
        <v>2764</v>
      </c>
      <c r="C27" s="4" t="s">
        <v>4244</v>
      </c>
      <c r="D27" s="12" t="s">
        <v>2793</v>
      </c>
      <c r="E27" s="12" t="s">
        <v>2484</v>
      </c>
      <c r="F27" s="29" t="n">
        <v>1</v>
      </c>
      <c r="G27" s="29" t="n">
        <v>1</v>
      </c>
      <c r="H27" s="19" t="n">
        <v>4000</v>
      </c>
      <c r="I27" s="23" t="n">
        <f aca="false">F27*G27*H27</f>
        <v>4000</v>
      </c>
      <c r="J27" s="12" t="s">
        <v>2794</v>
      </c>
      <c r="K27" s="12" t="s">
        <v>3083</v>
      </c>
      <c r="L27" s="12" t="s">
        <v>2796</v>
      </c>
      <c r="M27" s="4" t="s">
        <v>4245</v>
      </c>
    </row>
    <row r="28" customFormat="false" ht="23.85" hidden="false" customHeight="false" outlineLevel="0" collapsed="false">
      <c r="A28" s="4" t="s">
        <v>4246</v>
      </c>
      <c r="B28" s="12" t="s">
        <v>2764</v>
      </c>
      <c r="C28" s="4" t="s">
        <v>4247</v>
      </c>
      <c r="D28" s="12" t="s">
        <v>2808</v>
      </c>
      <c r="E28" s="12" t="s">
        <v>2501</v>
      </c>
      <c r="F28" s="29" t="n">
        <v>12</v>
      </c>
      <c r="G28" s="29" t="n">
        <v>1</v>
      </c>
      <c r="H28" s="19" t="n">
        <v>180</v>
      </c>
      <c r="I28" s="23" t="n">
        <f aca="false">F28*G28*H28</f>
        <v>2160</v>
      </c>
      <c r="J28" s="12" t="s">
        <v>2794</v>
      </c>
      <c r="K28" s="12" t="s">
        <v>2821</v>
      </c>
      <c r="L28" s="12" t="s">
        <v>2796</v>
      </c>
      <c r="M28" s="4" t="s">
        <v>4248</v>
      </c>
    </row>
    <row r="29" customFormat="false" ht="23.85" hidden="false" customHeight="false" outlineLevel="0" collapsed="false">
      <c r="A29" s="4" t="s">
        <v>4246</v>
      </c>
      <c r="B29" s="12" t="s">
        <v>2764</v>
      </c>
      <c r="C29" s="4" t="s">
        <v>4249</v>
      </c>
      <c r="D29" s="12" t="s">
        <v>2855</v>
      </c>
      <c r="E29" s="12" t="s">
        <v>2516</v>
      </c>
      <c r="F29" s="29" t="n">
        <v>10</v>
      </c>
      <c r="G29" s="29" t="n">
        <v>4</v>
      </c>
      <c r="H29" s="19" t="n">
        <v>100</v>
      </c>
      <c r="I29" s="23" t="n">
        <f aca="false">F29*G29*H29</f>
        <v>4000</v>
      </c>
      <c r="J29" s="12" t="s">
        <v>2794</v>
      </c>
      <c r="K29" s="12" t="s">
        <v>2805</v>
      </c>
      <c r="L29" s="12"/>
      <c r="M29" s="4" t="s">
        <v>4250</v>
      </c>
    </row>
    <row r="30" customFormat="false" ht="23.85" hidden="false" customHeight="false" outlineLevel="0" collapsed="false">
      <c r="A30" s="4" t="s">
        <v>4243</v>
      </c>
      <c r="B30" s="12" t="s">
        <v>2764</v>
      </c>
      <c r="C30" s="4" t="s">
        <v>4251</v>
      </c>
      <c r="D30" s="12" t="s">
        <v>2808</v>
      </c>
      <c r="E30" s="12" t="s">
        <v>2477</v>
      </c>
      <c r="F30" s="29" t="n">
        <v>20</v>
      </c>
      <c r="G30" s="29" t="n">
        <v>1</v>
      </c>
      <c r="H30" s="19" t="n">
        <v>600</v>
      </c>
      <c r="I30" s="23" t="n">
        <f aca="false">F30*G30*H30</f>
        <v>12000</v>
      </c>
      <c r="J30" s="12" t="s">
        <v>2794</v>
      </c>
      <c r="K30" s="12" t="s">
        <v>3655</v>
      </c>
      <c r="L30" s="12" t="s">
        <v>2796</v>
      </c>
      <c r="M30" s="4" t="s">
        <v>4252</v>
      </c>
    </row>
    <row r="31" customFormat="false" ht="35.05" hidden="false" customHeight="false" outlineLevel="0" collapsed="false">
      <c r="A31" s="4" t="s">
        <v>4243</v>
      </c>
      <c r="B31" s="12" t="s">
        <v>2764</v>
      </c>
      <c r="C31" s="4" t="s">
        <v>4253</v>
      </c>
      <c r="D31" s="12" t="s">
        <v>2882</v>
      </c>
      <c r="E31" s="12" t="s">
        <v>2601</v>
      </c>
      <c r="F31" s="29" t="n">
        <v>1</v>
      </c>
      <c r="G31" s="29" t="n">
        <v>1</v>
      </c>
      <c r="H31" s="19" t="n">
        <v>5408</v>
      </c>
      <c r="I31" s="23" t="n">
        <f aca="false">F31*G31*H31</f>
        <v>5408</v>
      </c>
      <c r="J31" s="12" t="s">
        <v>2794</v>
      </c>
      <c r="K31" s="12" t="s">
        <v>2805</v>
      </c>
      <c r="L31" s="12"/>
      <c r="M31" s="4" t="s">
        <v>4254</v>
      </c>
    </row>
    <row r="32" customFormat="false" ht="23.85" hidden="false" customHeight="false" outlineLevel="0" collapsed="false">
      <c r="A32" s="4" t="s">
        <v>4243</v>
      </c>
      <c r="B32" s="12" t="s">
        <v>2765</v>
      </c>
      <c r="C32" s="4" t="s">
        <v>4255</v>
      </c>
      <c r="D32" s="12" t="s">
        <v>2793</v>
      </c>
      <c r="E32" s="12" t="s">
        <v>2484</v>
      </c>
      <c r="F32" s="29" t="n">
        <v>1</v>
      </c>
      <c r="G32" s="29" t="n">
        <v>6</v>
      </c>
      <c r="H32" s="19" t="n">
        <v>4000</v>
      </c>
      <c r="I32" s="23" t="n">
        <f aca="false">F32*G32*H32</f>
        <v>24000</v>
      </c>
      <c r="J32" s="12" t="s">
        <v>2794</v>
      </c>
      <c r="K32" s="12" t="s">
        <v>3083</v>
      </c>
      <c r="L32" s="12" t="s">
        <v>2796</v>
      </c>
      <c r="M32" s="4" t="s">
        <v>4256</v>
      </c>
    </row>
    <row r="33" customFormat="false" ht="23.85" hidden="false" customHeight="false" outlineLevel="0" collapsed="false">
      <c r="A33" s="4" t="s">
        <v>4240</v>
      </c>
      <c r="B33" s="12" t="s">
        <v>2765</v>
      </c>
      <c r="C33" s="4" t="s">
        <v>4257</v>
      </c>
      <c r="D33" s="12" t="s">
        <v>2793</v>
      </c>
      <c r="E33" s="12" t="s">
        <v>2484</v>
      </c>
      <c r="F33" s="29" t="n">
        <v>1</v>
      </c>
      <c r="G33" s="29" t="n">
        <v>6</v>
      </c>
      <c r="H33" s="19" t="n">
        <v>6500</v>
      </c>
      <c r="I33" s="23" t="n">
        <f aca="false">F33*G33*H33</f>
        <v>39000</v>
      </c>
      <c r="J33" s="12" t="s">
        <v>2794</v>
      </c>
      <c r="K33" s="12" t="s">
        <v>2795</v>
      </c>
      <c r="L33" s="12" t="s">
        <v>2796</v>
      </c>
      <c r="M33" s="4" t="s">
        <v>4258</v>
      </c>
    </row>
    <row r="34" customFormat="false" ht="46.25" hidden="false" customHeight="false" outlineLevel="0" collapsed="false">
      <c r="A34" s="4" t="s">
        <v>4243</v>
      </c>
      <c r="B34" s="12" t="s">
        <v>2765</v>
      </c>
      <c r="C34" s="4" t="s">
        <v>4259</v>
      </c>
      <c r="D34" s="12" t="s">
        <v>2855</v>
      </c>
      <c r="E34" s="12" t="s">
        <v>2516</v>
      </c>
      <c r="F34" s="29" t="n">
        <v>2</v>
      </c>
      <c r="G34" s="29" t="n">
        <v>144</v>
      </c>
      <c r="H34" s="19" t="n">
        <v>380</v>
      </c>
      <c r="I34" s="23" t="n">
        <f aca="false">F34*G34*H34</f>
        <v>109440</v>
      </c>
      <c r="J34" s="12" t="s">
        <v>4260</v>
      </c>
      <c r="K34" s="12" t="s">
        <v>2805</v>
      </c>
      <c r="L34" s="12"/>
      <c r="M34" s="4" t="s">
        <v>4261</v>
      </c>
    </row>
    <row r="35" customFormat="false" ht="23.85" hidden="false" customHeight="false" outlineLevel="0" collapsed="false">
      <c r="A35" s="4" t="s">
        <v>4246</v>
      </c>
      <c r="B35" s="12" t="s">
        <v>2765</v>
      </c>
      <c r="C35" s="4" t="s">
        <v>4262</v>
      </c>
      <c r="D35" s="12" t="s">
        <v>2808</v>
      </c>
      <c r="E35" s="12" t="s">
        <v>2501</v>
      </c>
      <c r="F35" s="29" t="n">
        <v>24</v>
      </c>
      <c r="G35" s="29" t="n">
        <v>1</v>
      </c>
      <c r="H35" s="19" t="n">
        <v>180</v>
      </c>
      <c r="I35" s="23" t="n">
        <f aca="false">F35*G35*H35</f>
        <v>4320</v>
      </c>
      <c r="J35" s="12" t="s">
        <v>2794</v>
      </c>
      <c r="K35" s="12" t="s">
        <v>2821</v>
      </c>
      <c r="L35" s="12" t="s">
        <v>2796</v>
      </c>
      <c r="M35" s="4" t="s">
        <v>4263</v>
      </c>
    </row>
    <row r="36" customFormat="false" ht="23.85" hidden="false" customHeight="false" outlineLevel="0" collapsed="false">
      <c r="A36" s="4" t="s">
        <v>4246</v>
      </c>
      <c r="B36" s="12" t="s">
        <v>2765</v>
      </c>
      <c r="C36" s="4" t="s">
        <v>4264</v>
      </c>
      <c r="D36" s="12" t="s">
        <v>2855</v>
      </c>
      <c r="E36" s="12" t="s">
        <v>2516</v>
      </c>
      <c r="F36" s="29" t="n">
        <v>10</v>
      </c>
      <c r="G36" s="29" t="n">
        <v>8</v>
      </c>
      <c r="H36" s="19" t="n">
        <v>100</v>
      </c>
      <c r="I36" s="23" t="n">
        <f aca="false">F36*G36*H36</f>
        <v>8000</v>
      </c>
      <c r="J36" s="12" t="s">
        <v>2794</v>
      </c>
      <c r="K36" s="12" t="s">
        <v>2805</v>
      </c>
      <c r="L36" s="12"/>
      <c r="M36" s="4" t="s">
        <v>4265</v>
      </c>
    </row>
    <row r="37" customFormat="false" ht="23.85" hidden="false" customHeight="false" outlineLevel="0" collapsed="false">
      <c r="A37" s="4" t="s">
        <v>4243</v>
      </c>
      <c r="B37" s="12" t="s">
        <v>2765</v>
      </c>
      <c r="C37" s="4" t="s">
        <v>4266</v>
      </c>
      <c r="D37" s="12" t="s">
        <v>2808</v>
      </c>
      <c r="E37" s="12" t="s">
        <v>2590</v>
      </c>
      <c r="F37" s="29" t="n">
        <v>288</v>
      </c>
      <c r="G37" s="29" t="n">
        <v>1</v>
      </c>
      <c r="H37" s="19" t="n">
        <v>60</v>
      </c>
      <c r="I37" s="23" t="n">
        <f aca="false">F37*G37*H37</f>
        <v>17280</v>
      </c>
      <c r="J37" s="12" t="s">
        <v>4260</v>
      </c>
      <c r="K37" s="12" t="s">
        <v>3596</v>
      </c>
      <c r="L37" s="12" t="s">
        <v>2796</v>
      </c>
      <c r="M37" s="4" t="s">
        <v>4267</v>
      </c>
    </row>
    <row r="38" customFormat="false" ht="23.85" hidden="false" customHeight="false" outlineLevel="0" collapsed="false">
      <c r="A38" s="4" t="s">
        <v>4243</v>
      </c>
      <c r="B38" s="12" t="s">
        <v>2765</v>
      </c>
      <c r="C38" s="4" t="s">
        <v>4268</v>
      </c>
      <c r="D38" s="12" t="s">
        <v>2808</v>
      </c>
      <c r="E38" s="12" t="s">
        <v>2590</v>
      </c>
      <c r="F38" s="29" t="n">
        <v>288</v>
      </c>
      <c r="G38" s="29" t="n">
        <v>1</v>
      </c>
      <c r="H38" s="19" t="n">
        <v>7</v>
      </c>
      <c r="I38" s="23" t="n">
        <f aca="false">F38*G38*H38</f>
        <v>2016</v>
      </c>
      <c r="J38" s="12" t="s">
        <v>4269</v>
      </c>
      <c r="K38" s="12" t="s">
        <v>2805</v>
      </c>
      <c r="L38" s="12"/>
      <c r="M38" s="4" t="s">
        <v>4270</v>
      </c>
    </row>
    <row r="39" customFormat="false" ht="23.85" hidden="false" customHeight="false" outlineLevel="0" collapsed="false">
      <c r="A39" s="4" t="s">
        <v>4243</v>
      </c>
      <c r="B39" s="12" t="s">
        <v>2765</v>
      </c>
      <c r="C39" s="4" t="s">
        <v>4271</v>
      </c>
      <c r="D39" s="12" t="s">
        <v>2808</v>
      </c>
      <c r="E39" s="12" t="s">
        <v>2583</v>
      </c>
      <c r="F39" s="29" t="n">
        <v>144</v>
      </c>
      <c r="G39" s="29" t="n">
        <v>1</v>
      </c>
      <c r="H39" s="19" t="n">
        <v>45</v>
      </c>
      <c r="I39" s="23" t="n">
        <f aca="false">F39*G39*H39</f>
        <v>6480</v>
      </c>
      <c r="J39" s="12" t="s">
        <v>4260</v>
      </c>
      <c r="K39" s="12" t="s">
        <v>3169</v>
      </c>
      <c r="L39" s="12" t="s">
        <v>2950</v>
      </c>
      <c r="M39" s="4" t="s">
        <v>4272</v>
      </c>
    </row>
    <row r="40" customFormat="false" ht="23.85" hidden="false" customHeight="false" outlineLevel="0" collapsed="false">
      <c r="A40" s="4" t="s">
        <v>4243</v>
      </c>
      <c r="B40" s="12" t="s">
        <v>2765</v>
      </c>
      <c r="C40" s="4" t="s">
        <v>4273</v>
      </c>
      <c r="D40" s="12" t="s">
        <v>2793</v>
      </c>
      <c r="E40" s="12" t="s">
        <v>2484</v>
      </c>
      <c r="F40" s="29" t="n">
        <v>1</v>
      </c>
      <c r="G40" s="29" t="n">
        <v>6</v>
      </c>
      <c r="H40" s="19" t="n">
        <v>400</v>
      </c>
      <c r="I40" s="23" t="n">
        <f aca="false">F40*G40*H40</f>
        <v>2400</v>
      </c>
      <c r="J40" s="12" t="s">
        <v>2794</v>
      </c>
      <c r="K40" s="12" t="s">
        <v>2805</v>
      </c>
      <c r="L40" s="12"/>
      <c r="M40" s="4" t="s">
        <v>4274</v>
      </c>
    </row>
    <row r="41" customFormat="false" ht="23.85" hidden="false" customHeight="false" outlineLevel="0" collapsed="false">
      <c r="A41" s="4" t="s">
        <v>4243</v>
      </c>
      <c r="B41" s="12" t="s">
        <v>2765</v>
      </c>
      <c r="C41" s="4" t="s">
        <v>4275</v>
      </c>
      <c r="D41" s="12" t="s">
        <v>2808</v>
      </c>
      <c r="E41" s="12" t="s">
        <v>2683</v>
      </c>
      <c r="F41" s="29" t="n">
        <v>1</v>
      </c>
      <c r="G41" s="29" t="n">
        <v>1</v>
      </c>
      <c r="H41" s="19" t="n">
        <v>3500</v>
      </c>
      <c r="I41" s="23" t="n">
        <f aca="false">F41*G41*H41</f>
        <v>3500</v>
      </c>
      <c r="J41" s="12" t="s">
        <v>4260</v>
      </c>
      <c r="K41" s="12" t="s">
        <v>2845</v>
      </c>
      <c r="L41" s="12" t="s">
        <v>2796</v>
      </c>
      <c r="M41" s="4" t="s">
        <v>4276</v>
      </c>
    </row>
    <row r="42" customFormat="false" ht="23.85" hidden="false" customHeight="false" outlineLevel="0" collapsed="false">
      <c r="A42" s="4" t="s">
        <v>4277</v>
      </c>
      <c r="B42" s="12" t="s">
        <v>2765</v>
      </c>
      <c r="C42" s="4" t="s">
        <v>4278</v>
      </c>
      <c r="D42" s="12" t="s">
        <v>2855</v>
      </c>
      <c r="E42" s="12" t="s">
        <v>2516</v>
      </c>
      <c r="F42" s="29" t="n">
        <v>4</v>
      </c>
      <c r="G42" s="29" t="n">
        <v>1</v>
      </c>
      <c r="H42" s="19" t="n">
        <v>4000</v>
      </c>
      <c r="I42" s="23" t="n">
        <f aca="false">F42*G42*H42</f>
        <v>16000</v>
      </c>
      <c r="J42" s="12" t="s">
        <v>4279</v>
      </c>
      <c r="K42" s="12" t="s">
        <v>2858</v>
      </c>
      <c r="L42" s="12" t="s">
        <v>2950</v>
      </c>
      <c r="M42" s="4" t="s">
        <v>4280</v>
      </c>
    </row>
    <row r="43" customFormat="false" ht="23.85" hidden="false" customHeight="false" outlineLevel="0" collapsed="false">
      <c r="A43" s="4" t="s">
        <v>4277</v>
      </c>
      <c r="B43" s="12" t="s">
        <v>2765</v>
      </c>
      <c r="C43" s="4" t="s">
        <v>3318</v>
      </c>
      <c r="D43" s="12" t="s">
        <v>2808</v>
      </c>
      <c r="E43" s="12" t="s">
        <v>2497</v>
      </c>
      <c r="F43" s="29" t="n">
        <v>4</v>
      </c>
      <c r="G43" s="29" t="n">
        <v>1</v>
      </c>
      <c r="H43" s="19" t="n">
        <v>1800</v>
      </c>
      <c r="I43" s="23" t="n">
        <f aca="false">F43*G43*H43</f>
        <v>7200</v>
      </c>
      <c r="J43" s="12" t="s">
        <v>4279</v>
      </c>
      <c r="K43" s="12" t="s">
        <v>2863</v>
      </c>
      <c r="L43" s="12" t="s">
        <v>2796</v>
      </c>
      <c r="M43" s="4" t="s">
        <v>4281</v>
      </c>
    </row>
    <row r="44" customFormat="false" ht="23.85" hidden="false" customHeight="false" outlineLevel="0" collapsed="false">
      <c r="A44" s="4" t="s">
        <v>4277</v>
      </c>
      <c r="B44" s="12" t="s">
        <v>2765</v>
      </c>
      <c r="C44" s="4" t="s">
        <v>3321</v>
      </c>
      <c r="D44" s="12" t="s">
        <v>2808</v>
      </c>
      <c r="E44" s="12" t="s">
        <v>2497</v>
      </c>
      <c r="F44" s="29" t="n">
        <v>4</v>
      </c>
      <c r="G44" s="29" t="n">
        <v>1</v>
      </c>
      <c r="H44" s="19" t="n">
        <v>700</v>
      </c>
      <c r="I44" s="23" t="n">
        <f aca="false">F44*G44*H44</f>
        <v>2800</v>
      </c>
      <c r="J44" s="12" t="s">
        <v>4279</v>
      </c>
      <c r="K44" s="12" t="s">
        <v>2866</v>
      </c>
      <c r="L44" s="12" t="s">
        <v>2796</v>
      </c>
      <c r="M44" s="4" t="s">
        <v>4282</v>
      </c>
    </row>
    <row r="45" customFormat="false" ht="23.85" hidden="false" customHeight="false" outlineLevel="0" collapsed="false">
      <c r="A45" s="4" t="s">
        <v>4277</v>
      </c>
      <c r="B45" s="12" t="s">
        <v>2765</v>
      </c>
      <c r="C45" s="4" t="s">
        <v>4283</v>
      </c>
      <c r="D45" s="12" t="s">
        <v>2808</v>
      </c>
      <c r="E45" s="12" t="s">
        <v>2497</v>
      </c>
      <c r="F45" s="29" t="n">
        <v>4</v>
      </c>
      <c r="G45" s="29" t="n">
        <v>1</v>
      </c>
      <c r="H45" s="19" t="n">
        <v>1000</v>
      </c>
      <c r="I45" s="23" t="n">
        <f aca="false">F45*G45*H45</f>
        <v>4000</v>
      </c>
      <c r="J45" s="12" t="s">
        <v>4279</v>
      </c>
      <c r="K45" s="12" t="s">
        <v>2810</v>
      </c>
      <c r="L45" s="12" t="s">
        <v>2796</v>
      </c>
      <c r="M45" s="4" t="s">
        <v>4284</v>
      </c>
    </row>
    <row r="46" customFormat="false" ht="23.85" hidden="false" customHeight="false" outlineLevel="0" collapsed="false">
      <c r="A46" s="4" t="s">
        <v>4277</v>
      </c>
      <c r="B46" s="12" t="s">
        <v>2765</v>
      </c>
      <c r="C46" s="4" t="s">
        <v>4285</v>
      </c>
      <c r="D46" s="12" t="s">
        <v>2882</v>
      </c>
      <c r="E46" s="12" t="s">
        <v>2601</v>
      </c>
      <c r="F46" s="29" t="n">
        <v>1</v>
      </c>
      <c r="G46" s="29" t="n">
        <v>1</v>
      </c>
      <c r="H46" s="19" t="n">
        <v>1500</v>
      </c>
      <c r="I46" s="23" t="n">
        <f aca="false">F46*G46*H46</f>
        <v>1500</v>
      </c>
      <c r="J46" s="12" t="s">
        <v>4279</v>
      </c>
      <c r="K46" s="12" t="s">
        <v>2805</v>
      </c>
      <c r="L46" s="12"/>
      <c r="M46" s="4" t="s">
        <v>4286</v>
      </c>
    </row>
    <row r="47" customFormat="false" ht="23.85" hidden="false" customHeight="false" outlineLevel="0" collapsed="false">
      <c r="A47" s="4" t="s">
        <v>4243</v>
      </c>
      <c r="B47" s="12" t="s">
        <v>2765</v>
      </c>
      <c r="C47" s="4" t="s">
        <v>4287</v>
      </c>
      <c r="D47" s="12" t="s">
        <v>2808</v>
      </c>
      <c r="E47" s="12" t="s">
        <v>2497</v>
      </c>
      <c r="F47" s="29" t="n">
        <v>5</v>
      </c>
      <c r="G47" s="29" t="n">
        <v>1</v>
      </c>
      <c r="H47" s="19" t="n">
        <v>900</v>
      </c>
      <c r="I47" s="23" t="n">
        <f aca="false">F47*G47*H47</f>
        <v>4500</v>
      </c>
      <c r="J47" s="12" t="s">
        <v>4260</v>
      </c>
      <c r="K47" s="12" t="s">
        <v>2848</v>
      </c>
      <c r="L47" s="12" t="s">
        <v>2796</v>
      </c>
      <c r="M47" s="4" t="s">
        <v>4288</v>
      </c>
    </row>
    <row r="48" customFormat="false" ht="23.85" hidden="false" customHeight="false" outlineLevel="0" collapsed="false">
      <c r="A48" s="4" t="s">
        <v>4289</v>
      </c>
      <c r="B48" s="12" t="s">
        <v>2766</v>
      </c>
      <c r="C48" s="4" t="s">
        <v>4290</v>
      </c>
      <c r="D48" s="12" t="s">
        <v>2804</v>
      </c>
      <c r="E48" s="12" t="s">
        <v>2597</v>
      </c>
      <c r="F48" s="29" t="n">
        <v>1</v>
      </c>
      <c r="G48" s="29" t="n">
        <v>1</v>
      </c>
      <c r="H48" s="19" t="n">
        <v>5000</v>
      </c>
      <c r="I48" s="23" t="n">
        <f aca="false">F48*G48*H48</f>
        <v>5000</v>
      </c>
      <c r="J48" s="12" t="s">
        <v>2794</v>
      </c>
      <c r="K48" s="12" t="s">
        <v>2805</v>
      </c>
      <c r="L48" s="12"/>
      <c r="M48" s="4" t="s">
        <v>4291</v>
      </c>
    </row>
    <row r="49" customFormat="false" ht="23.85" hidden="false" customHeight="false" outlineLevel="0" collapsed="false">
      <c r="A49" s="4" t="s">
        <v>4289</v>
      </c>
      <c r="B49" s="12" t="s">
        <v>2766</v>
      </c>
      <c r="C49" s="4" t="s">
        <v>4292</v>
      </c>
      <c r="D49" s="12" t="s">
        <v>2804</v>
      </c>
      <c r="E49" s="12" t="s">
        <v>2597</v>
      </c>
      <c r="F49" s="29" t="n">
        <v>1</v>
      </c>
      <c r="G49" s="29" t="n">
        <v>1</v>
      </c>
      <c r="H49" s="19" t="n">
        <v>4000</v>
      </c>
      <c r="I49" s="23" t="n">
        <f aca="false">F49*G49*H49</f>
        <v>4000</v>
      </c>
      <c r="J49" s="12" t="s">
        <v>2794</v>
      </c>
      <c r="K49" s="12" t="s">
        <v>2937</v>
      </c>
      <c r="L49" s="12" t="s">
        <v>2796</v>
      </c>
      <c r="M49" s="4" t="s">
        <v>4293</v>
      </c>
    </row>
    <row r="50" customFormat="false" ht="15" hidden="false" customHeight="false" outlineLevel="0" collapsed="false">
      <c r="A50" s="4" t="s">
        <v>4240</v>
      </c>
      <c r="B50" s="12" t="s">
        <v>2766</v>
      </c>
      <c r="C50" s="4" t="s">
        <v>4294</v>
      </c>
      <c r="D50" s="12" t="s">
        <v>2793</v>
      </c>
      <c r="E50" s="12" t="s">
        <v>2484</v>
      </c>
      <c r="F50" s="29" t="n">
        <v>1</v>
      </c>
      <c r="G50" s="29" t="n">
        <v>1</v>
      </c>
      <c r="H50" s="19" t="n">
        <v>6500</v>
      </c>
      <c r="I50" s="23" t="n">
        <f aca="false">F50*G50*H50</f>
        <v>6500</v>
      </c>
      <c r="J50" s="12" t="s">
        <v>2794</v>
      </c>
      <c r="K50" s="12" t="s">
        <v>2795</v>
      </c>
      <c r="L50" s="12" t="s">
        <v>2796</v>
      </c>
      <c r="M50" s="4" t="s">
        <v>4295</v>
      </c>
    </row>
    <row r="51" customFormat="false" ht="35.05" hidden="false" customHeight="false" outlineLevel="0" collapsed="false">
      <c r="A51" s="4" t="s">
        <v>4240</v>
      </c>
      <c r="B51" s="12" t="s">
        <v>2768</v>
      </c>
      <c r="C51" s="4" t="s">
        <v>2911</v>
      </c>
      <c r="D51" s="12" t="s">
        <v>2882</v>
      </c>
      <c r="E51" s="12" t="s">
        <v>2601</v>
      </c>
      <c r="F51" s="29" t="n">
        <v>1</v>
      </c>
      <c r="G51" s="29" t="n">
        <v>1</v>
      </c>
      <c r="H51" s="19" t="n">
        <v>29936</v>
      </c>
      <c r="I51" s="23" t="n">
        <f aca="false">F51*G51*H51</f>
        <v>29936</v>
      </c>
      <c r="J51" s="12" t="s">
        <v>2794</v>
      </c>
      <c r="K51" s="12" t="s">
        <v>2805</v>
      </c>
      <c r="L51" s="12"/>
      <c r="M51" s="4" t="s">
        <v>4296</v>
      </c>
    </row>
    <row r="52" customFormat="false" ht="15" hidden="false" customHeight="false" outlineLevel="0" collapsed="false">
      <c r="A52" s="4" t="s">
        <v>4240</v>
      </c>
      <c r="B52" s="12" t="s">
        <v>2767</v>
      </c>
      <c r="C52" s="4" t="s">
        <v>2893</v>
      </c>
      <c r="D52" s="12" t="s">
        <v>2793</v>
      </c>
      <c r="E52" s="12" t="s">
        <v>2484</v>
      </c>
      <c r="F52" s="29" t="n">
        <v>1</v>
      </c>
      <c r="G52" s="29" t="n">
        <v>8</v>
      </c>
      <c r="H52" s="19" t="n">
        <v>1200</v>
      </c>
      <c r="I52" s="23" t="n">
        <f aca="false">F52*G52*H52</f>
        <v>9600</v>
      </c>
      <c r="J52" s="12" t="s">
        <v>2794</v>
      </c>
      <c r="K52" s="12" t="s">
        <v>2894</v>
      </c>
      <c r="L52" s="12" t="s">
        <v>2796</v>
      </c>
      <c r="M52" s="4" t="s">
        <v>4297</v>
      </c>
    </row>
    <row r="53" customFormat="false" ht="23.85" hidden="false" customHeight="false" outlineLevel="0" collapsed="false">
      <c r="A53" s="4" t="s">
        <v>4240</v>
      </c>
      <c r="B53" s="12" t="s">
        <v>2767</v>
      </c>
      <c r="C53" s="4" t="s">
        <v>4298</v>
      </c>
      <c r="D53" s="12" t="s">
        <v>2793</v>
      </c>
      <c r="E53" s="12" t="s">
        <v>2484</v>
      </c>
      <c r="F53" s="29" t="n">
        <v>1</v>
      </c>
      <c r="G53" s="29" t="n">
        <v>2</v>
      </c>
      <c r="H53" s="19" t="n">
        <v>2000</v>
      </c>
      <c r="I53" s="23" t="n">
        <f aca="false">F53*G53*H53</f>
        <v>4000</v>
      </c>
      <c r="J53" s="12" t="s">
        <v>2794</v>
      </c>
      <c r="K53" s="12" t="s">
        <v>2891</v>
      </c>
      <c r="L53" s="12" t="s">
        <v>2796</v>
      </c>
      <c r="M53" s="4" t="s">
        <v>4299</v>
      </c>
    </row>
    <row r="54" customFormat="false" ht="23.85" hidden="false" customHeight="false" outlineLevel="0" collapsed="false">
      <c r="A54" s="4" t="s">
        <v>4243</v>
      </c>
      <c r="B54" s="12" t="s">
        <v>2765</v>
      </c>
      <c r="C54" s="4" t="s">
        <v>4300</v>
      </c>
      <c r="D54" s="12" t="s">
        <v>2808</v>
      </c>
      <c r="E54" s="12" t="s">
        <v>2497</v>
      </c>
      <c r="F54" s="29" t="n">
        <v>4</v>
      </c>
      <c r="G54" s="29" t="n">
        <v>1</v>
      </c>
      <c r="H54" s="19" t="n">
        <v>1300</v>
      </c>
      <c r="I54" s="23" t="n">
        <f aca="false">F54*G54*H54</f>
        <v>5200</v>
      </c>
      <c r="J54" s="12" t="s">
        <v>4279</v>
      </c>
      <c r="K54" s="12" t="s">
        <v>2805</v>
      </c>
      <c r="L54" s="12"/>
      <c r="M54" s="4" t="s">
        <v>4301</v>
      </c>
    </row>
    <row r="55" customFormat="false" ht="23.85" hidden="false" customHeight="false" outlineLevel="0" collapsed="false">
      <c r="A55" s="4" t="s">
        <v>4243</v>
      </c>
      <c r="B55" s="12" t="s">
        <v>2765</v>
      </c>
      <c r="C55" s="4" t="s">
        <v>4302</v>
      </c>
      <c r="D55" s="12" t="s">
        <v>2804</v>
      </c>
      <c r="E55" s="12" t="s">
        <v>2597</v>
      </c>
      <c r="F55" s="29" t="n">
        <v>4</v>
      </c>
      <c r="G55" s="29" t="n">
        <v>1</v>
      </c>
      <c r="H55" s="19" t="n">
        <v>2000</v>
      </c>
      <c r="I55" s="23" t="n">
        <f aca="false">F55*G55*H55</f>
        <v>8000</v>
      </c>
      <c r="J55" s="12" t="s">
        <v>4279</v>
      </c>
      <c r="K55" s="12" t="s">
        <v>2902</v>
      </c>
      <c r="L55" s="12" t="s">
        <v>2950</v>
      </c>
      <c r="M55" s="4" t="s">
        <v>4303</v>
      </c>
    </row>
    <row r="56" customFormat="false" ht="23.85" hidden="false" customHeight="false" outlineLevel="0" collapsed="false">
      <c r="A56" s="4" t="s">
        <v>4243</v>
      </c>
      <c r="B56" s="12" t="s">
        <v>2765</v>
      </c>
      <c r="C56" s="4" t="s">
        <v>4304</v>
      </c>
      <c r="D56" s="12" t="s">
        <v>2808</v>
      </c>
      <c r="E56" s="12" t="s">
        <v>2477</v>
      </c>
      <c r="F56" s="29" t="n">
        <v>40</v>
      </c>
      <c r="G56" s="29" t="n">
        <v>1</v>
      </c>
      <c r="H56" s="19" t="n">
        <v>25</v>
      </c>
      <c r="I56" s="23" t="n">
        <f aca="false">F56*G56*H56</f>
        <v>1000</v>
      </c>
      <c r="J56" s="12" t="s">
        <v>4279</v>
      </c>
      <c r="K56" s="12" t="s">
        <v>2805</v>
      </c>
      <c r="L56" s="12"/>
      <c r="M56" s="4" t="s">
        <v>4305</v>
      </c>
    </row>
    <row r="57" customFormat="false" ht="15" hidden="false" customHeight="false" outlineLevel="0" collapsed="false">
      <c r="H57" s="10" t="s">
        <v>134</v>
      </c>
      <c r="I57" s="11" t="n">
        <f aca="false">SUM(I26:I56)</f>
        <v>359740</v>
      </c>
    </row>
    <row r="59" customFormat="false" ht="15" hidden="false" customHeight="false" outlineLevel="0" collapsed="false">
      <c r="A59" s="22" t="s">
        <v>2913</v>
      </c>
    </row>
    <row r="60" customFormat="false" ht="23.85" hidden="false" customHeight="false" outlineLevel="0" collapsed="false">
      <c r="A60" s="3" t="s">
        <v>2914</v>
      </c>
      <c r="B60" s="3" t="s">
        <v>2915</v>
      </c>
      <c r="C60" s="3" t="s">
        <v>2780</v>
      </c>
      <c r="D60" s="3" t="s">
        <v>2781</v>
      </c>
      <c r="E60" s="3" t="s">
        <v>2782</v>
      </c>
      <c r="F60" s="3" t="s">
        <v>2783</v>
      </c>
      <c r="G60" s="3" t="s">
        <v>2784</v>
      </c>
      <c r="H60" s="3" t="s">
        <v>2785</v>
      </c>
      <c r="I60" s="3" t="s">
        <v>2786</v>
      </c>
      <c r="J60" s="3" t="s">
        <v>1393</v>
      </c>
      <c r="K60" s="3" t="s">
        <v>2916</v>
      </c>
      <c r="L60" s="3" t="s">
        <v>2789</v>
      </c>
      <c r="M60" s="3" t="s">
        <v>368</v>
      </c>
    </row>
    <row r="61" customFormat="false" ht="15" hidden="false" customHeight="false" outlineLevel="0" collapsed="false">
      <c r="A61" s="4" t="s">
        <v>4240</v>
      </c>
      <c r="B61" s="12" t="s">
        <v>2918</v>
      </c>
      <c r="C61" s="4" t="s">
        <v>2919</v>
      </c>
      <c r="D61" s="12" t="s">
        <v>2804</v>
      </c>
      <c r="E61" s="12" t="s">
        <v>2597</v>
      </c>
      <c r="F61" s="30" t="n">
        <v>1</v>
      </c>
      <c r="G61" s="30" t="n">
        <v>1</v>
      </c>
      <c r="H61" s="19" t="n">
        <v>13500</v>
      </c>
      <c r="I61" s="23" t="n">
        <f aca="false">F61*G61*H61</f>
        <v>13500</v>
      </c>
      <c r="J61" s="12" t="s">
        <v>2794</v>
      </c>
      <c r="K61" s="12" t="s">
        <v>2920</v>
      </c>
      <c r="L61" s="12" t="s">
        <v>2796</v>
      </c>
      <c r="M61" s="4" t="s">
        <v>4306</v>
      </c>
    </row>
    <row r="62" customFormat="false" ht="15" hidden="false" customHeight="false" outlineLevel="0" collapsed="false">
      <c r="A62" s="4" t="s">
        <v>4240</v>
      </c>
      <c r="B62" s="12" t="s">
        <v>2918</v>
      </c>
      <c r="C62" s="4" t="s">
        <v>2922</v>
      </c>
      <c r="D62" s="12" t="s">
        <v>2804</v>
      </c>
      <c r="E62" s="12" t="s">
        <v>2597</v>
      </c>
      <c r="F62" s="30" t="n">
        <v>1</v>
      </c>
      <c r="G62" s="30" t="n">
        <v>1</v>
      </c>
      <c r="H62" s="19" t="n">
        <v>6000</v>
      </c>
      <c r="I62" s="23" t="n">
        <f aca="false">F62*G62*H62</f>
        <v>6000</v>
      </c>
      <c r="J62" s="12" t="s">
        <v>2794</v>
      </c>
      <c r="K62" s="12" t="s">
        <v>2805</v>
      </c>
      <c r="L62" s="12"/>
      <c r="M62" s="4" t="s">
        <v>4307</v>
      </c>
    </row>
    <row r="63" customFormat="false" ht="15" hidden="false" customHeight="false" outlineLevel="0" collapsed="false">
      <c r="A63" s="4" t="s">
        <v>4240</v>
      </c>
      <c r="B63" s="12" t="s">
        <v>2918</v>
      </c>
      <c r="C63" s="4" t="s">
        <v>2926</v>
      </c>
      <c r="D63" s="12" t="s">
        <v>2793</v>
      </c>
      <c r="E63" s="12" t="s">
        <v>2484</v>
      </c>
      <c r="F63" s="30" t="n">
        <v>1</v>
      </c>
      <c r="G63" s="30" t="n">
        <v>8</v>
      </c>
      <c r="H63" s="19" t="n">
        <v>80</v>
      </c>
      <c r="I63" s="23" t="n">
        <f aca="false">F63*G63*H63</f>
        <v>640</v>
      </c>
      <c r="J63" s="12" t="s">
        <v>2794</v>
      </c>
      <c r="K63" s="12" t="s">
        <v>2805</v>
      </c>
      <c r="L63" s="12"/>
      <c r="M63" s="4" t="s">
        <v>4308</v>
      </c>
    </row>
    <row r="64" customFormat="false" ht="15" hidden="false" customHeight="false" outlineLevel="0" collapsed="false">
      <c r="A64" s="4" t="s">
        <v>4240</v>
      </c>
      <c r="B64" s="12" t="s">
        <v>2918</v>
      </c>
      <c r="C64" s="4" t="s">
        <v>2928</v>
      </c>
      <c r="D64" s="12" t="s">
        <v>2882</v>
      </c>
      <c r="E64" s="12" t="s">
        <v>2601</v>
      </c>
      <c r="F64" s="30" t="n">
        <v>1</v>
      </c>
      <c r="G64" s="30" t="n">
        <v>1</v>
      </c>
      <c r="H64" s="19" t="n">
        <v>1000</v>
      </c>
      <c r="I64" s="23" t="n">
        <f aca="false">F64*G64*H64</f>
        <v>1000</v>
      </c>
      <c r="J64" s="12" t="s">
        <v>2794</v>
      </c>
      <c r="K64" s="12" t="s">
        <v>2805</v>
      </c>
      <c r="L64" s="12"/>
      <c r="M64" s="4" t="s">
        <v>4309</v>
      </c>
    </row>
    <row r="65" customFormat="false" ht="23.85" hidden="false" customHeight="false" outlineLevel="0" collapsed="false">
      <c r="A65" s="4" t="s">
        <v>4310</v>
      </c>
      <c r="B65" s="12" t="s">
        <v>2930</v>
      </c>
      <c r="C65" s="4" t="s">
        <v>3823</v>
      </c>
      <c r="D65" s="12" t="s">
        <v>2793</v>
      </c>
      <c r="E65" s="12" t="s">
        <v>2484</v>
      </c>
      <c r="F65" s="30" t="n">
        <v>1</v>
      </c>
      <c r="G65" s="30" t="n">
        <v>2</v>
      </c>
      <c r="H65" s="19" t="n">
        <v>4000</v>
      </c>
      <c r="I65" s="23" t="n">
        <f aca="false">F65*G65*H65</f>
        <v>8000</v>
      </c>
      <c r="J65" s="12" t="s">
        <v>2794</v>
      </c>
      <c r="K65" s="12" t="s">
        <v>2805</v>
      </c>
      <c r="L65" s="12"/>
      <c r="M65" s="4" t="s">
        <v>4311</v>
      </c>
    </row>
    <row r="66" customFormat="false" ht="23.85" hidden="false" customHeight="false" outlineLevel="0" collapsed="false">
      <c r="A66" s="4" t="s">
        <v>4310</v>
      </c>
      <c r="B66" s="12" t="s">
        <v>2930</v>
      </c>
      <c r="C66" s="4" t="s">
        <v>4312</v>
      </c>
      <c r="D66" s="12" t="s">
        <v>2808</v>
      </c>
      <c r="E66" s="12" t="s">
        <v>2497</v>
      </c>
      <c r="F66" s="30" t="n">
        <v>8</v>
      </c>
      <c r="G66" s="30" t="n">
        <v>1</v>
      </c>
      <c r="H66" s="19" t="n">
        <v>250</v>
      </c>
      <c r="I66" s="23" t="n">
        <f aca="false">F66*G66*H66</f>
        <v>2000</v>
      </c>
      <c r="J66" s="12" t="s">
        <v>4279</v>
      </c>
      <c r="K66" s="12" t="s">
        <v>2934</v>
      </c>
      <c r="L66" s="12" t="s">
        <v>2796</v>
      </c>
      <c r="M66" s="4" t="s">
        <v>4313</v>
      </c>
    </row>
    <row r="67" customFormat="false" ht="23.85" hidden="false" customHeight="false" outlineLevel="0" collapsed="false">
      <c r="A67" s="4" t="s">
        <v>4310</v>
      </c>
      <c r="B67" s="12" t="s">
        <v>2930</v>
      </c>
      <c r="C67" s="4" t="s">
        <v>4314</v>
      </c>
      <c r="D67" s="12" t="s">
        <v>2804</v>
      </c>
      <c r="E67" s="12" t="s">
        <v>2597</v>
      </c>
      <c r="F67" s="30" t="n">
        <v>1</v>
      </c>
      <c r="G67" s="30" t="n">
        <v>1</v>
      </c>
      <c r="H67" s="19" t="n">
        <v>6000</v>
      </c>
      <c r="I67" s="23" t="n">
        <f aca="false">F67*G67*H67</f>
        <v>6000</v>
      </c>
      <c r="J67" s="12" t="s">
        <v>2794</v>
      </c>
      <c r="K67" s="12" t="s">
        <v>2937</v>
      </c>
      <c r="L67" s="12" t="s">
        <v>2796</v>
      </c>
      <c r="M67" s="4" t="s">
        <v>4315</v>
      </c>
    </row>
    <row r="68" customFormat="false" ht="23.85" hidden="false" customHeight="false" outlineLevel="0" collapsed="false">
      <c r="A68" s="4" t="s">
        <v>4310</v>
      </c>
      <c r="B68" s="12" t="s">
        <v>2930</v>
      </c>
      <c r="C68" s="4" t="s">
        <v>4316</v>
      </c>
      <c r="D68" s="12" t="s">
        <v>2808</v>
      </c>
      <c r="E68" s="12" t="s">
        <v>2477</v>
      </c>
      <c r="F68" s="30" t="n">
        <v>500</v>
      </c>
      <c r="G68" s="30" t="n">
        <v>1</v>
      </c>
      <c r="H68" s="19" t="n">
        <v>2.5</v>
      </c>
      <c r="I68" s="23" t="n">
        <f aca="false">F68*G68*H68</f>
        <v>1250</v>
      </c>
      <c r="J68" s="12" t="s">
        <v>4260</v>
      </c>
      <c r="K68" s="12" t="s">
        <v>2805</v>
      </c>
      <c r="L68" s="12"/>
      <c r="M68" s="4" t="s">
        <v>4317</v>
      </c>
    </row>
    <row r="69" customFormat="false" ht="15" hidden="false" customHeight="false" outlineLevel="0" collapsed="false">
      <c r="A69" s="4" t="s">
        <v>4310</v>
      </c>
      <c r="B69" s="12" t="s">
        <v>2930</v>
      </c>
      <c r="C69" s="4" t="s">
        <v>2946</v>
      </c>
      <c r="D69" s="12" t="s">
        <v>2808</v>
      </c>
      <c r="E69" s="12" t="s">
        <v>2661</v>
      </c>
      <c r="F69" s="30" t="n">
        <v>2</v>
      </c>
      <c r="G69" s="30" t="n">
        <v>1</v>
      </c>
      <c r="H69" s="19" t="n">
        <v>450</v>
      </c>
      <c r="I69" s="23" t="n">
        <f aca="false">F69*G69*H69</f>
        <v>900</v>
      </c>
      <c r="J69" s="12" t="s">
        <v>4260</v>
      </c>
      <c r="K69" s="12" t="s">
        <v>2805</v>
      </c>
      <c r="L69" s="12"/>
      <c r="M69" s="4" t="s">
        <v>4318</v>
      </c>
    </row>
    <row r="70" customFormat="false" ht="15" hidden="false" customHeight="false" outlineLevel="0" collapsed="false">
      <c r="A70" s="4" t="s">
        <v>4310</v>
      </c>
      <c r="B70" s="12" t="s">
        <v>2930</v>
      </c>
      <c r="C70" s="4" t="s">
        <v>2651</v>
      </c>
      <c r="D70" s="12" t="s">
        <v>2793</v>
      </c>
      <c r="E70" s="12" t="s">
        <v>2484</v>
      </c>
      <c r="F70" s="30" t="n">
        <v>1</v>
      </c>
      <c r="G70" s="30" t="n">
        <v>1</v>
      </c>
      <c r="H70" s="19" t="n">
        <v>4500</v>
      </c>
      <c r="I70" s="23" t="n">
        <f aca="false">F70*G70*H70</f>
        <v>4500</v>
      </c>
      <c r="J70" s="12" t="s">
        <v>2794</v>
      </c>
      <c r="K70" s="12" t="s">
        <v>2939</v>
      </c>
      <c r="L70" s="12" t="s">
        <v>2796</v>
      </c>
      <c r="M70" s="4" t="s">
        <v>4319</v>
      </c>
    </row>
    <row r="71" customFormat="false" ht="15" hidden="false" customHeight="false" outlineLevel="0" collapsed="false">
      <c r="A71" s="4" t="s">
        <v>4310</v>
      </c>
      <c r="B71" s="12" t="s">
        <v>2930</v>
      </c>
      <c r="C71" s="4" t="s">
        <v>3365</v>
      </c>
      <c r="D71" s="12" t="s">
        <v>2793</v>
      </c>
      <c r="E71" s="12" t="s">
        <v>2484</v>
      </c>
      <c r="F71" s="30" t="n">
        <v>1</v>
      </c>
      <c r="G71" s="30" t="n">
        <v>2</v>
      </c>
      <c r="H71" s="19" t="n">
        <v>3800</v>
      </c>
      <c r="I71" s="23" t="n">
        <f aca="false">F71*G71*H71</f>
        <v>7600</v>
      </c>
      <c r="J71" s="12" t="s">
        <v>2794</v>
      </c>
      <c r="K71" s="12" t="s">
        <v>2909</v>
      </c>
      <c r="L71" s="12" t="s">
        <v>2796</v>
      </c>
      <c r="M71" s="4" t="s">
        <v>4320</v>
      </c>
    </row>
    <row r="72" customFormat="false" ht="15" hidden="false" customHeight="false" outlineLevel="0" collapsed="false">
      <c r="A72" s="4" t="s">
        <v>4310</v>
      </c>
      <c r="B72" s="12" t="s">
        <v>2930</v>
      </c>
      <c r="C72" s="4" t="s">
        <v>3063</v>
      </c>
      <c r="D72" s="12" t="s">
        <v>2882</v>
      </c>
      <c r="E72" s="12" t="s">
        <v>2601</v>
      </c>
      <c r="F72" s="30" t="n">
        <v>1</v>
      </c>
      <c r="G72" s="30" t="n">
        <v>1</v>
      </c>
      <c r="H72" s="19" t="n">
        <v>1500</v>
      </c>
      <c r="I72" s="23" t="n">
        <f aca="false">F72*G72*H72</f>
        <v>1500</v>
      </c>
      <c r="J72" s="12" t="s">
        <v>2794</v>
      </c>
      <c r="K72" s="12" t="s">
        <v>2942</v>
      </c>
      <c r="L72" s="12" t="s">
        <v>2796</v>
      </c>
      <c r="M72" s="4" t="s">
        <v>4321</v>
      </c>
    </row>
    <row r="74" customFormat="false" ht="15" hidden="false" customHeight="false" outlineLevel="0" collapsed="false">
      <c r="A74" s="10" t="s">
        <v>2952</v>
      </c>
      <c r="B74" s="23" t="n">
        <f aca="false">SUMIFS($I$61:$I$72,$B$61:$B$72,"Custos de administração")</f>
        <v>21140</v>
      </c>
      <c r="C74" s="13" t="n">
        <f aca="false">B17</f>
        <v>21584.4</v>
      </c>
      <c r="D74" s="23" t="n">
        <f aca="false">C74-B74</f>
        <v>444.399999999998</v>
      </c>
      <c r="E74" s="12" t="str">
        <f aca="false">IF(D74&gt;=0,"OK","EXCEDE")</f>
        <v>OK</v>
      </c>
    </row>
    <row r="75" customFormat="false" ht="15" hidden="false" customHeight="false" outlineLevel="0" collapsed="false">
      <c r="A75" s="10" t="s">
        <v>2953</v>
      </c>
      <c r="B75" s="23" t="n">
        <f aca="false">SUMIFS($I$61:$I$72,$B$61:$B$72,"Custos de acessibilidade, comunicação e divulgação")</f>
        <v>31750</v>
      </c>
      <c r="C75" s="13" t="n">
        <f aca="false">B18</f>
        <v>32376.6</v>
      </c>
      <c r="D75" s="23" t="n">
        <f aca="false">C75-B75</f>
        <v>626.599999999999</v>
      </c>
      <c r="E75" s="12" t="str">
        <f aca="false">IF(D75&gt;=0,"OK","EXCEDE")</f>
        <v>OK</v>
      </c>
    </row>
    <row r="76" customFormat="false" ht="15" hidden="false" customHeight="false" outlineLevel="0" collapsed="false">
      <c r="A76" s="14" t="s">
        <v>2954</v>
      </c>
    </row>
    <row r="78" customFormat="false" ht="15" hidden="false" customHeight="false" outlineLevel="0" collapsed="false">
      <c r="A78" s="22" t="s">
        <v>2955</v>
      </c>
    </row>
    <row r="79" customFormat="false" ht="30" hidden="false" customHeight="true" outlineLevel="0" collapsed="false">
      <c r="A79" s="21" t="s">
        <v>4322</v>
      </c>
      <c r="B79" s="21"/>
      <c r="C79" s="21"/>
      <c r="D79" s="21"/>
      <c r="E79" s="21"/>
      <c r="F79" s="21"/>
      <c r="G79" s="21"/>
      <c r="H79" s="21"/>
      <c r="I79" s="21"/>
      <c r="J79" s="21"/>
      <c r="K79" s="21"/>
      <c r="L79" s="21"/>
      <c r="M79" s="21"/>
    </row>
    <row r="80" customFormat="false" ht="30" hidden="false" customHeight="true" outlineLevel="0" collapsed="false">
      <c r="A80" s="21" t="s">
        <v>4323</v>
      </c>
      <c r="B80" s="21"/>
      <c r="C80" s="21"/>
      <c r="D80" s="21"/>
      <c r="E80" s="21"/>
      <c r="F80" s="21"/>
      <c r="G80" s="21"/>
      <c r="H80" s="21"/>
      <c r="I80" s="21"/>
      <c r="J80" s="21"/>
      <c r="K80" s="21"/>
      <c r="L80" s="21"/>
      <c r="M80" s="21"/>
    </row>
    <row r="81" customFormat="false" ht="30" hidden="false" customHeight="true" outlineLevel="0" collapsed="false">
      <c r="A81" s="21" t="s">
        <v>4324</v>
      </c>
      <c r="B81" s="21"/>
      <c r="C81" s="21"/>
      <c r="D81" s="21"/>
      <c r="E81" s="21"/>
      <c r="F81" s="21"/>
      <c r="G81" s="21"/>
      <c r="H81" s="21"/>
      <c r="I81" s="21"/>
      <c r="J81" s="21"/>
      <c r="K81" s="21"/>
      <c r="L81" s="21"/>
      <c r="M81" s="21"/>
    </row>
    <row r="82" customFormat="false" ht="30" hidden="false" customHeight="true" outlineLevel="0" collapsed="false">
      <c r="A82" s="21" t="s">
        <v>4325</v>
      </c>
      <c r="B82" s="21"/>
      <c r="C82" s="21"/>
      <c r="D82" s="21"/>
      <c r="E82" s="21"/>
      <c r="F82" s="21"/>
      <c r="G82" s="21"/>
      <c r="H82" s="21"/>
      <c r="I82" s="21"/>
      <c r="J82" s="21"/>
      <c r="K82" s="21"/>
      <c r="L82" s="21"/>
      <c r="M82" s="21"/>
    </row>
    <row r="83" customFormat="false" ht="30" hidden="false" customHeight="true" outlineLevel="0" collapsed="false">
      <c r="A83" s="21" t="s">
        <v>4326</v>
      </c>
      <c r="B83" s="21"/>
      <c r="C83" s="21"/>
      <c r="D83" s="21"/>
      <c r="E83" s="21"/>
      <c r="F83" s="21"/>
      <c r="G83" s="21"/>
      <c r="H83" s="21"/>
      <c r="I83" s="21"/>
      <c r="J83" s="21"/>
      <c r="K83" s="21"/>
      <c r="L83" s="21"/>
      <c r="M83" s="21"/>
    </row>
    <row r="84" customFormat="false" ht="30" hidden="false" customHeight="true" outlineLevel="0" collapsed="false">
      <c r="A84" s="21" t="s">
        <v>4327</v>
      </c>
      <c r="B84" s="21"/>
      <c r="C84" s="21"/>
      <c r="D84" s="21"/>
      <c r="E84" s="21"/>
      <c r="F84" s="21"/>
      <c r="G84" s="21"/>
      <c r="H84" s="21"/>
      <c r="I84" s="21"/>
      <c r="J84" s="21"/>
      <c r="K84" s="21"/>
      <c r="L84" s="21"/>
      <c r="M84" s="21"/>
    </row>
    <row r="85" customFormat="false" ht="30" hidden="false" customHeight="true" outlineLevel="0" collapsed="false">
      <c r="A85" s="21" t="s">
        <v>4328</v>
      </c>
      <c r="B85" s="21"/>
      <c r="C85" s="21"/>
      <c r="D85" s="21"/>
      <c r="E85" s="21"/>
      <c r="F85" s="21"/>
      <c r="G85" s="21"/>
      <c r="H85" s="21"/>
      <c r="I85" s="21"/>
      <c r="J85" s="21"/>
      <c r="K85" s="21"/>
      <c r="L85" s="21"/>
      <c r="M85" s="21"/>
    </row>
    <row r="86" customFormat="false" ht="30" hidden="false" customHeight="true" outlineLevel="0" collapsed="false">
      <c r="A86" s="21" t="s">
        <v>4329</v>
      </c>
      <c r="B86" s="21"/>
      <c r="C86" s="21"/>
      <c r="D86" s="21"/>
      <c r="E86" s="21"/>
      <c r="F86" s="21"/>
      <c r="G86" s="21"/>
      <c r="H86" s="21"/>
      <c r="I86" s="21"/>
      <c r="J86" s="21"/>
      <c r="K86" s="21"/>
      <c r="L86" s="21"/>
      <c r="M86" s="21"/>
    </row>
    <row r="87" customFormat="false" ht="15" hidden="false" customHeight="true" outlineLevel="0" collapsed="false">
      <c r="A87" s="21" t="s">
        <v>4330</v>
      </c>
      <c r="B87" s="21"/>
      <c r="C87" s="21"/>
      <c r="D87" s="21"/>
      <c r="E87" s="21"/>
      <c r="F87" s="21"/>
      <c r="G87" s="21"/>
      <c r="H87" s="21"/>
      <c r="I87" s="21"/>
      <c r="J87" s="21"/>
      <c r="K87" s="21"/>
      <c r="L87" s="21"/>
      <c r="M87" s="21"/>
    </row>
    <row r="89" customFormat="false" ht="15" hidden="false" customHeight="false" outlineLevel="0" collapsed="false">
      <c r="A89" s="22" t="s">
        <v>2964</v>
      </c>
      <c r="B89" s="19" t="n">
        <v>90000</v>
      </c>
    </row>
    <row r="90" customFormat="false" ht="75" hidden="false" customHeight="true" outlineLevel="0" collapsed="false">
      <c r="A90" s="21" t="s">
        <v>4331</v>
      </c>
      <c r="B90" s="21"/>
      <c r="C90" s="21"/>
      <c r="D90" s="21"/>
      <c r="E90" s="21"/>
      <c r="F90" s="21"/>
      <c r="G90" s="21"/>
      <c r="H90" s="21"/>
      <c r="I90" s="21"/>
      <c r="J90" s="21"/>
      <c r="K90" s="21"/>
      <c r="L90" s="21"/>
      <c r="M90" s="21"/>
    </row>
  </sheetData>
  <mergeCells count="15">
    <mergeCell ref="B2:M2"/>
    <mergeCell ref="B3:M3"/>
    <mergeCell ref="B4:M4"/>
    <mergeCell ref="B5:M5"/>
    <mergeCell ref="B6:M6"/>
    <mergeCell ref="A79:M79"/>
    <mergeCell ref="A80:M80"/>
    <mergeCell ref="A81:M81"/>
    <mergeCell ref="A82:M82"/>
    <mergeCell ref="A83:M83"/>
    <mergeCell ref="A84:M84"/>
    <mergeCell ref="A85:M85"/>
    <mergeCell ref="A86:M86"/>
    <mergeCell ref="A87:M87"/>
    <mergeCell ref="A90:M90"/>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56">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1:L72">
    <cfRule type="expression" priority="11" aboveAverage="0" equalAverage="0" bottom="0" percent="0" rank="0" text="" dxfId="2">
      <formula>LEFT(L61,5)="ACIMA"</formula>
    </cfRule>
  </conditionalFormatting>
  <conditionalFormatting sqref="E74:E75">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ISNUMBER(SEARCH("EXCEDE",E74))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4332</v>
      </c>
    </row>
    <row r="2" customFormat="false" ht="30" hidden="false" customHeight="true" outlineLevel="0" collapsed="false">
      <c r="A2" s="22" t="s">
        <v>2748</v>
      </c>
      <c r="B2" s="21" t="s">
        <v>4333</v>
      </c>
      <c r="C2" s="21"/>
      <c r="D2" s="21"/>
      <c r="E2" s="21"/>
      <c r="F2" s="21"/>
      <c r="G2" s="21"/>
      <c r="H2" s="21"/>
      <c r="I2" s="21"/>
      <c r="J2" s="21"/>
      <c r="K2" s="21"/>
      <c r="L2" s="21"/>
      <c r="M2" s="21"/>
    </row>
    <row r="3" customFormat="false" ht="30" hidden="false" customHeight="true" outlineLevel="0" collapsed="false">
      <c r="A3" s="22" t="s">
        <v>2750</v>
      </c>
      <c r="B3" s="21" t="s">
        <v>4334</v>
      </c>
      <c r="C3" s="21"/>
      <c r="D3" s="21"/>
      <c r="E3" s="21"/>
      <c r="F3" s="21"/>
      <c r="G3" s="21"/>
      <c r="H3" s="21"/>
      <c r="I3" s="21"/>
      <c r="J3" s="21"/>
      <c r="K3" s="21"/>
      <c r="L3" s="21"/>
      <c r="M3" s="21"/>
    </row>
    <row r="4" customFormat="false" ht="30" hidden="false" customHeight="true" outlineLevel="0" collapsed="false">
      <c r="A4" s="22" t="s">
        <v>2752</v>
      </c>
      <c r="B4" s="21" t="s">
        <v>4335</v>
      </c>
      <c r="C4" s="21"/>
      <c r="D4" s="21"/>
      <c r="E4" s="21"/>
      <c r="F4" s="21"/>
      <c r="G4" s="21"/>
      <c r="H4" s="21"/>
      <c r="I4" s="21"/>
      <c r="J4" s="21"/>
      <c r="K4" s="21"/>
      <c r="L4" s="21"/>
      <c r="M4" s="21"/>
    </row>
    <row r="5" customFormat="false" ht="30" hidden="false" customHeight="true" outlineLevel="0" collapsed="false">
      <c r="A5" s="22" t="s">
        <v>2754</v>
      </c>
      <c r="B5" s="21" t="s">
        <v>4336</v>
      </c>
      <c r="C5" s="21"/>
      <c r="D5" s="21"/>
      <c r="E5" s="21"/>
      <c r="F5" s="21"/>
      <c r="G5" s="21"/>
      <c r="H5" s="21"/>
      <c r="I5" s="21"/>
      <c r="J5" s="21"/>
      <c r="K5" s="21"/>
      <c r="L5" s="21"/>
      <c r="M5" s="21"/>
    </row>
    <row r="6" customFormat="false" ht="30" hidden="false" customHeight="true" outlineLevel="0" collapsed="false">
      <c r="A6" s="22" t="s">
        <v>2756</v>
      </c>
      <c r="B6" s="21" t="s">
        <v>4337</v>
      </c>
      <c r="C6" s="21"/>
      <c r="D6" s="21"/>
      <c r="E6" s="21"/>
      <c r="F6" s="21"/>
      <c r="G6" s="21"/>
      <c r="H6" s="21"/>
      <c r="I6" s="21"/>
      <c r="J6" s="21"/>
      <c r="K6" s="21"/>
      <c r="L6" s="21"/>
      <c r="M6" s="21"/>
    </row>
    <row r="7" customFormat="false" ht="15" hidden="false" customHeight="false" outlineLevel="0" collapsed="false">
      <c r="A7" s="22" t="s">
        <v>2758</v>
      </c>
      <c r="B7" s="19" t="n">
        <v>200000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SUMIFS($I$26:$I$47,$B$26:$B$47,A11)</f>
        <v>22600</v>
      </c>
      <c r="C11" s="24" t="n">
        <f aca="false">IF($B$16=0,0,B11/$B$16)</f>
        <v>0.146982310093652</v>
      </c>
    </row>
    <row r="12" customFormat="false" ht="15" hidden="false" customHeight="false" outlineLevel="0" collapsed="false">
      <c r="A12" s="12" t="s">
        <v>2765</v>
      </c>
      <c r="B12" s="23" t="n">
        <f aca="false">SUMIFS($I$26:$I$47,$B$26:$B$47,A12)</f>
        <v>102796</v>
      </c>
      <c r="C12" s="24" t="n">
        <f aca="false">IF($B$16=0,0,B12/$B$16)</f>
        <v>0.668548387096774</v>
      </c>
    </row>
    <row r="13" customFormat="false" ht="15" hidden="false" customHeight="false" outlineLevel="0" collapsed="false">
      <c r="A13" s="12" t="s">
        <v>2766</v>
      </c>
      <c r="B13" s="23" t="n">
        <f aca="false">SUMIFS($I$26:$I$47,$B$26:$B$47,A13)</f>
        <v>2500</v>
      </c>
      <c r="C13" s="24" t="n">
        <f aca="false">IF($B$16=0,0,B13/$B$16)</f>
        <v>0.0162591050988554</v>
      </c>
    </row>
    <row r="14" customFormat="false" ht="15" hidden="false" customHeight="false" outlineLevel="0" collapsed="false">
      <c r="A14" s="12" t="s">
        <v>2767</v>
      </c>
      <c r="B14" s="23" t="n">
        <f aca="false">SUMIFS($I$26:$I$47,$B$26:$B$47,A14)</f>
        <v>11400</v>
      </c>
      <c r="C14" s="24" t="n">
        <f aca="false">IF($B$16=0,0,B14/$B$16)</f>
        <v>0.0741415192507804</v>
      </c>
    </row>
    <row r="15" customFormat="false" ht="15" hidden="false" customHeight="false" outlineLevel="0" collapsed="false">
      <c r="A15" s="12" t="s">
        <v>2768</v>
      </c>
      <c r="B15" s="23" t="n">
        <f aca="false">SUMIFS($I$26:$I$47,$B$26:$B$47,A15)</f>
        <v>14464</v>
      </c>
      <c r="C15" s="24" t="n">
        <f aca="false">IF($B$16=0,0,B15/$B$16)</f>
        <v>0.0940686784599376</v>
      </c>
    </row>
    <row r="16" customFormat="false" ht="15" hidden="false" customHeight="false" outlineLevel="0" collapsed="false">
      <c r="A16" s="25" t="s">
        <v>2769</v>
      </c>
      <c r="B16" s="26" t="n">
        <f aca="false">SUM(B11:B15)</f>
        <v>153760</v>
      </c>
    </row>
    <row r="17" customFormat="false" ht="23.85" hidden="false" customHeight="false" outlineLevel="0" collapsed="false">
      <c r="A17" s="4" t="s">
        <v>2770</v>
      </c>
      <c r="B17" s="23" t="n">
        <f aca="false">$B$16*C17</f>
        <v>12300.8</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18451.2</v>
      </c>
      <c r="C18" s="27" t="n">
        <v>0.12</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15376</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199888</v>
      </c>
    </row>
    <row r="21" customFormat="false" ht="15" hidden="false" customHeight="false" outlineLevel="0" collapsed="false">
      <c r="A21" s="12" t="s">
        <v>2774</v>
      </c>
      <c r="B21" s="23" t="n">
        <f aca="false">B20-B7</f>
        <v>-112</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4240</v>
      </c>
      <c r="B26" s="12" t="s">
        <v>2764</v>
      </c>
      <c r="C26" s="4" t="s">
        <v>4338</v>
      </c>
      <c r="D26" s="12" t="s">
        <v>2793</v>
      </c>
      <c r="E26" s="12" t="s">
        <v>2484</v>
      </c>
      <c r="F26" s="29" t="n">
        <v>1</v>
      </c>
      <c r="G26" s="29" t="n">
        <v>2</v>
      </c>
      <c r="H26" s="19" t="n">
        <v>2500</v>
      </c>
      <c r="I26" s="23" t="n">
        <f aca="false">F26*G26*H26</f>
        <v>5000</v>
      </c>
      <c r="J26" s="12" t="s">
        <v>2794</v>
      </c>
      <c r="K26" s="12" t="s">
        <v>2795</v>
      </c>
      <c r="L26" s="12" t="s">
        <v>2950</v>
      </c>
      <c r="M26" s="4" t="s">
        <v>4339</v>
      </c>
    </row>
    <row r="27" customFormat="false" ht="35.05" hidden="false" customHeight="false" outlineLevel="0" collapsed="false">
      <c r="A27" s="4" t="s">
        <v>4340</v>
      </c>
      <c r="B27" s="12" t="s">
        <v>2764</v>
      </c>
      <c r="C27" s="4" t="s">
        <v>4341</v>
      </c>
      <c r="D27" s="12" t="s">
        <v>2804</v>
      </c>
      <c r="E27" s="12" t="s">
        <v>2597</v>
      </c>
      <c r="F27" s="29" t="n">
        <v>1</v>
      </c>
      <c r="G27" s="29" t="n">
        <v>1</v>
      </c>
      <c r="H27" s="19" t="n">
        <v>8000</v>
      </c>
      <c r="I27" s="23" t="n">
        <f aca="false">F27*G27*H27</f>
        <v>8000</v>
      </c>
      <c r="J27" s="12" t="s">
        <v>2794</v>
      </c>
      <c r="K27" s="12" t="s">
        <v>2805</v>
      </c>
      <c r="L27" s="12"/>
      <c r="M27" s="4" t="s">
        <v>4342</v>
      </c>
    </row>
    <row r="28" customFormat="false" ht="23.85" hidden="false" customHeight="false" outlineLevel="0" collapsed="false">
      <c r="A28" s="4" t="s">
        <v>4240</v>
      </c>
      <c r="B28" s="12" t="s">
        <v>2764</v>
      </c>
      <c r="C28" s="4" t="s">
        <v>4343</v>
      </c>
      <c r="D28" s="12" t="s">
        <v>2793</v>
      </c>
      <c r="E28" s="12" t="s">
        <v>2484</v>
      </c>
      <c r="F28" s="29" t="n">
        <v>1</v>
      </c>
      <c r="G28" s="29" t="n">
        <v>2</v>
      </c>
      <c r="H28" s="19" t="n">
        <v>3000</v>
      </c>
      <c r="I28" s="23" t="n">
        <f aca="false">F28*G28*H28</f>
        <v>6000</v>
      </c>
      <c r="J28" s="12" t="s">
        <v>2794</v>
      </c>
      <c r="K28" s="12" t="s">
        <v>2818</v>
      </c>
      <c r="L28" s="12" t="s">
        <v>2796</v>
      </c>
      <c r="M28" s="4" t="s">
        <v>4344</v>
      </c>
    </row>
    <row r="29" customFormat="false" ht="35.05" hidden="false" customHeight="false" outlineLevel="0" collapsed="false">
      <c r="A29" s="4" t="s">
        <v>4340</v>
      </c>
      <c r="B29" s="12" t="s">
        <v>2764</v>
      </c>
      <c r="C29" s="4" t="s">
        <v>4345</v>
      </c>
      <c r="D29" s="12" t="s">
        <v>2855</v>
      </c>
      <c r="E29" s="12" t="s">
        <v>2516</v>
      </c>
      <c r="F29" s="29" t="n">
        <v>3</v>
      </c>
      <c r="G29" s="29" t="n">
        <v>6</v>
      </c>
      <c r="H29" s="19" t="n">
        <v>200</v>
      </c>
      <c r="I29" s="23" t="n">
        <f aca="false">F29*G29*H29</f>
        <v>3600</v>
      </c>
      <c r="J29" s="12" t="s">
        <v>2794</v>
      </c>
      <c r="K29" s="12" t="s">
        <v>2848</v>
      </c>
      <c r="L29" s="12" t="s">
        <v>2950</v>
      </c>
      <c r="M29" s="4" t="s">
        <v>4346</v>
      </c>
    </row>
    <row r="30" customFormat="false" ht="23.85" hidden="false" customHeight="false" outlineLevel="0" collapsed="false">
      <c r="A30" s="4" t="s">
        <v>4240</v>
      </c>
      <c r="B30" s="12" t="s">
        <v>2765</v>
      </c>
      <c r="C30" s="4" t="s">
        <v>4347</v>
      </c>
      <c r="D30" s="12" t="s">
        <v>2793</v>
      </c>
      <c r="E30" s="12" t="s">
        <v>2484</v>
      </c>
      <c r="F30" s="29" t="n">
        <v>1</v>
      </c>
      <c r="G30" s="29" t="n">
        <v>4</v>
      </c>
      <c r="H30" s="19" t="n">
        <v>2500</v>
      </c>
      <c r="I30" s="23" t="n">
        <f aca="false">F30*G30*H30</f>
        <v>10000</v>
      </c>
      <c r="J30" s="12" t="s">
        <v>2794</v>
      </c>
      <c r="K30" s="12" t="s">
        <v>2795</v>
      </c>
      <c r="L30" s="12" t="s">
        <v>2950</v>
      </c>
      <c r="M30" s="4" t="s">
        <v>4348</v>
      </c>
    </row>
    <row r="31" customFormat="false" ht="23.85" hidden="false" customHeight="false" outlineLevel="0" collapsed="false">
      <c r="A31" s="4" t="s">
        <v>4240</v>
      </c>
      <c r="B31" s="12" t="s">
        <v>2765</v>
      </c>
      <c r="C31" s="4" t="s">
        <v>4349</v>
      </c>
      <c r="D31" s="12" t="s">
        <v>2793</v>
      </c>
      <c r="E31" s="12" t="s">
        <v>2484</v>
      </c>
      <c r="F31" s="29" t="n">
        <v>1</v>
      </c>
      <c r="G31" s="29" t="n">
        <v>3</v>
      </c>
      <c r="H31" s="19" t="n">
        <v>3000</v>
      </c>
      <c r="I31" s="23" t="n">
        <f aca="false">F31*G31*H31</f>
        <v>9000</v>
      </c>
      <c r="J31" s="12" t="s">
        <v>2794</v>
      </c>
      <c r="K31" s="12" t="s">
        <v>2818</v>
      </c>
      <c r="L31" s="12" t="s">
        <v>2796</v>
      </c>
      <c r="M31" s="4" t="s">
        <v>4350</v>
      </c>
    </row>
    <row r="32" customFormat="false" ht="46.25" hidden="false" customHeight="false" outlineLevel="0" collapsed="false">
      <c r="A32" s="4" t="s">
        <v>4340</v>
      </c>
      <c r="B32" s="12" t="s">
        <v>2765</v>
      </c>
      <c r="C32" s="4" t="s">
        <v>4351</v>
      </c>
      <c r="D32" s="12" t="s">
        <v>2855</v>
      </c>
      <c r="E32" s="12" t="s">
        <v>2516</v>
      </c>
      <c r="F32" s="29" t="n">
        <v>3</v>
      </c>
      <c r="G32" s="29" t="n">
        <v>30</v>
      </c>
      <c r="H32" s="19" t="n">
        <v>588</v>
      </c>
      <c r="I32" s="23" t="n">
        <f aca="false">F32*G32*H32</f>
        <v>52920</v>
      </c>
      <c r="J32" s="12" t="s">
        <v>4352</v>
      </c>
      <c r="K32" s="12" t="s">
        <v>2805</v>
      </c>
      <c r="L32" s="12"/>
      <c r="M32" s="4" t="s">
        <v>4353</v>
      </c>
    </row>
    <row r="33" customFormat="false" ht="15" hidden="false" customHeight="false" outlineLevel="0" collapsed="false">
      <c r="A33" s="4" t="s">
        <v>4354</v>
      </c>
      <c r="B33" s="12" t="s">
        <v>2765</v>
      </c>
      <c r="C33" s="4" t="s">
        <v>4355</v>
      </c>
      <c r="D33" s="12" t="s">
        <v>2808</v>
      </c>
      <c r="E33" s="12" t="s">
        <v>2501</v>
      </c>
      <c r="F33" s="29" t="n">
        <v>24</v>
      </c>
      <c r="G33" s="29" t="n">
        <v>1</v>
      </c>
      <c r="H33" s="19" t="n">
        <v>130</v>
      </c>
      <c r="I33" s="23" t="n">
        <f aca="false">F33*G33*H33</f>
        <v>3120</v>
      </c>
      <c r="J33" s="12" t="s">
        <v>4352</v>
      </c>
      <c r="K33" s="12" t="s">
        <v>2821</v>
      </c>
      <c r="L33" s="12" t="s">
        <v>2796</v>
      </c>
      <c r="M33" s="4" t="s">
        <v>4356</v>
      </c>
    </row>
    <row r="34" customFormat="false" ht="15" hidden="false" customHeight="false" outlineLevel="0" collapsed="false">
      <c r="A34" s="4" t="s">
        <v>4354</v>
      </c>
      <c r="B34" s="12" t="s">
        <v>2765</v>
      </c>
      <c r="C34" s="4" t="s">
        <v>4357</v>
      </c>
      <c r="D34" s="12" t="s">
        <v>2855</v>
      </c>
      <c r="E34" s="12" t="s">
        <v>2516</v>
      </c>
      <c r="F34" s="29" t="n">
        <v>12</v>
      </c>
      <c r="G34" s="29" t="n">
        <v>1</v>
      </c>
      <c r="H34" s="19" t="n">
        <v>300</v>
      </c>
      <c r="I34" s="23" t="n">
        <f aca="false">F34*G34*H34</f>
        <v>3600</v>
      </c>
      <c r="J34" s="12" t="s">
        <v>4352</v>
      </c>
      <c r="K34" s="12" t="s">
        <v>2805</v>
      </c>
      <c r="L34" s="12"/>
      <c r="M34" s="4" t="s">
        <v>4358</v>
      </c>
    </row>
    <row r="35" customFormat="false" ht="23.85" hidden="false" customHeight="false" outlineLevel="0" collapsed="false">
      <c r="A35" s="4" t="s">
        <v>4354</v>
      </c>
      <c r="B35" s="12" t="s">
        <v>2765</v>
      </c>
      <c r="C35" s="4" t="s">
        <v>4359</v>
      </c>
      <c r="D35" s="12" t="s">
        <v>2882</v>
      </c>
      <c r="E35" s="12" t="s">
        <v>2601</v>
      </c>
      <c r="F35" s="29" t="n">
        <v>1</v>
      </c>
      <c r="G35" s="29" t="n">
        <v>1</v>
      </c>
      <c r="H35" s="19" t="n">
        <v>4096</v>
      </c>
      <c r="I35" s="23" t="n">
        <f aca="false">F35*G35*H35</f>
        <v>4096</v>
      </c>
      <c r="J35" s="12" t="s">
        <v>4352</v>
      </c>
      <c r="K35" s="12" t="s">
        <v>2805</v>
      </c>
      <c r="L35" s="12"/>
      <c r="M35" s="4" t="s">
        <v>4360</v>
      </c>
    </row>
    <row r="36" customFormat="false" ht="35.05" hidden="false" customHeight="false" outlineLevel="0" collapsed="false">
      <c r="A36" s="4" t="s">
        <v>4340</v>
      </c>
      <c r="B36" s="12" t="s">
        <v>2765</v>
      </c>
      <c r="C36" s="4" t="s">
        <v>4361</v>
      </c>
      <c r="D36" s="12" t="s">
        <v>2882</v>
      </c>
      <c r="E36" s="12" t="s">
        <v>2601</v>
      </c>
      <c r="F36" s="29" t="n">
        <v>1</v>
      </c>
      <c r="G36" s="29" t="n">
        <v>1</v>
      </c>
      <c r="H36" s="19" t="n">
        <v>600</v>
      </c>
      <c r="I36" s="23" t="n">
        <f aca="false">F36*G36*H36</f>
        <v>600</v>
      </c>
      <c r="J36" s="12" t="s">
        <v>4352</v>
      </c>
      <c r="K36" s="12" t="s">
        <v>2805</v>
      </c>
      <c r="L36" s="12"/>
      <c r="M36" s="4" t="s">
        <v>4362</v>
      </c>
    </row>
    <row r="37" customFormat="false" ht="35.05" hidden="false" customHeight="false" outlineLevel="0" collapsed="false">
      <c r="A37" s="4" t="s">
        <v>4340</v>
      </c>
      <c r="B37" s="12" t="s">
        <v>2765</v>
      </c>
      <c r="C37" s="4" t="s">
        <v>4363</v>
      </c>
      <c r="D37" s="12" t="s">
        <v>2808</v>
      </c>
      <c r="E37" s="12" t="s">
        <v>2497</v>
      </c>
      <c r="F37" s="29" t="n">
        <v>6</v>
      </c>
      <c r="G37" s="29" t="n">
        <v>1</v>
      </c>
      <c r="H37" s="19" t="n">
        <v>400</v>
      </c>
      <c r="I37" s="23" t="n">
        <f aca="false">F37*G37*H37</f>
        <v>2400</v>
      </c>
      <c r="J37" s="12" t="s">
        <v>4352</v>
      </c>
      <c r="K37" s="12" t="s">
        <v>2863</v>
      </c>
      <c r="L37" s="12" t="s">
        <v>2950</v>
      </c>
      <c r="M37" s="4" t="s">
        <v>4364</v>
      </c>
    </row>
    <row r="38" customFormat="false" ht="35.05" hidden="false" customHeight="false" outlineLevel="0" collapsed="false">
      <c r="A38" s="4" t="s">
        <v>4340</v>
      </c>
      <c r="B38" s="12" t="s">
        <v>2765</v>
      </c>
      <c r="C38" s="4" t="s">
        <v>4365</v>
      </c>
      <c r="D38" s="12" t="s">
        <v>2808</v>
      </c>
      <c r="E38" s="12" t="s">
        <v>4366</v>
      </c>
      <c r="F38" s="29" t="n">
        <v>42</v>
      </c>
      <c r="G38" s="29" t="n">
        <v>1</v>
      </c>
      <c r="H38" s="19" t="n">
        <v>120</v>
      </c>
      <c r="I38" s="23" t="n">
        <f aca="false">F38*G38*H38</f>
        <v>5040</v>
      </c>
      <c r="J38" s="12" t="s">
        <v>4352</v>
      </c>
      <c r="K38" s="12" t="s">
        <v>2805</v>
      </c>
      <c r="L38" s="12"/>
      <c r="M38" s="4" t="s">
        <v>4367</v>
      </c>
    </row>
    <row r="39" customFormat="false" ht="35.05" hidden="false" customHeight="false" outlineLevel="0" collapsed="false">
      <c r="A39" s="4" t="s">
        <v>4340</v>
      </c>
      <c r="B39" s="12" t="s">
        <v>2765</v>
      </c>
      <c r="C39" s="4" t="s">
        <v>4368</v>
      </c>
      <c r="D39" s="12" t="s">
        <v>2808</v>
      </c>
      <c r="E39" s="12" t="s">
        <v>2683</v>
      </c>
      <c r="F39" s="29" t="n">
        <v>1</v>
      </c>
      <c r="G39" s="29" t="n">
        <v>1</v>
      </c>
      <c r="H39" s="19" t="n">
        <v>1500</v>
      </c>
      <c r="I39" s="23" t="n">
        <f aca="false">F39*G39*H39</f>
        <v>1500</v>
      </c>
      <c r="J39" s="12" t="s">
        <v>4352</v>
      </c>
      <c r="K39" s="12" t="s">
        <v>2845</v>
      </c>
      <c r="L39" s="12" t="s">
        <v>2796</v>
      </c>
      <c r="M39" s="4" t="s">
        <v>4369</v>
      </c>
    </row>
    <row r="40" customFormat="false" ht="35.05" hidden="false" customHeight="false" outlineLevel="0" collapsed="false">
      <c r="A40" s="4" t="s">
        <v>4340</v>
      </c>
      <c r="B40" s="12" t="s">
        <v>2765</v>
      </c>
      <c r="C40" s="4" t="s">
        <v>4370</v>
      </c>
      <c r="D40" s="12" t="s">
        <v>2882</v>
      </c>
      <c r="E40" s="12" t="s">
        <v>2601</v>
      </c>
      <c r="F40" s="29" t="n">
        <v>1</v>
      </c>
      <c r="G40" s="29" t="n">
        <v>1</v>
      </c>
      <c r="H40" s="19" t="n">
        <v>2000</v>
      </c>
      <c r="I40" s="23" t="n">
        <f aca="false">F40*G40*H40</f>
        <v>2000</v>
      </c>
      <c r="J40" s="12" t="s">
        <v>4352</v>
      </c>
      <c r="K40" s="12" t="s">
        <v>2805</v>
      </c>
      <c r="L40" s="12"/>
      <c r="M40" s="4" t="s">
        <v>4371</v>
      </c>
    </row>
    <row r="41" customFormat="false" ht="35.05" hidden="false" customHeight="false" outlineLevel="0" collapsed="false">
      <c r="A41" s="4" t="s">
        <v>4340</v>
      </c>
      <c r="B41" s="12" t="s">
        <v>2765</v>
      </c>
      <c r="C41" s="4" t="s">
        <v>4372</v>
      </c>
      <c r="D41" s="12" t="s">
        <v>2808</v>
      </c>
      <c r="E41" s="12" t="s">
        <v>2497</v>
      </c>
      <c r="F41" s="29" t="n">
        <v>3</v>
      </c>
      <c r="G41" s="29" t="n">
        <v>1</v>
      </c>
      <c r="H41" s="19" t="n">
        <v>900</v>
      </c>
      <c r="I41" s="23" t="n">
        <f aca="false">F41*G41*H41</f>
        <v>2700</v>
      </c>
      <c r="J41" s="12" t="s">
        <v>4352</v>
      </c>
      <c r="K41" s="12" t="s">
        <v>2848</v>
      </c>
      <c r="L41" s="12" t="s">
        <v>2796</v>
      </c>
      <c r="M41" s="4" t="s">
        <v>4373</v>
      </c>
    </row>
    <row r="42" customFormat="false" ht="23.85" hidden="false" customHeight="false" outlineLevel="0" collapsed="false">
      <c r="A42" s="4" t="s">
        <v>4240</v>
      </c>
      <c r="B42" s="12" t="s">
        <v>2766</v>
      </c>
      <c r="C42" s="4" t="s">
        <v>4374</v>
      </c>
      <c r="D42" s="12" t="s">
        <v>2793</v>
      </c>
      <c r="E42" s="12" t="s">
        <v>2484</v>
      </c>
      <c r="F42" s="29" t="n">
        <v>1</v>
      </c>
      <c r="G42" s="29" t="n">
        <v>1</v>
      </c>
      <c r="H42" s="19" t="n">
        <v>2500</v>
      </c>
      <c r="I42" s="23" t="n">
        <f aca="false">F42*G42*H42</f>
        <v>2500</v>
      </c>
      <c r="J42" s="12" t="s">
        <v>2794</v>
      </c>
      <c r="K42" s="12" t="s">
        <v>2795</v>
      </c>
      <c r="L42" s="12" t="s">
        <v>2950</v>
      </c>
      <c r="M42" s="4" t="s">
        <v>4375</v>
      </c>
    </row>
    <row r="43" customFormat="false" ht="46.25" hidden="false" customHeight="false" outlineLevel="0" collapsed="false">
      <c r="A43" s="4" t="s">
        <v>4240</v>
      </c>
      <c r="B43" s="12" t="s">
        <v>2768</v>
      </c>
      <c r="C43" s="4" t="s">
        <v>2911</v>
      </c>
      <c r="D43" s="12" t="s">
        <v>2882</v>
      </c>
      <c r="E43" s="12" t="s">
        <v>2601</v>
      </c>
      <c r="F43" s="29" t="n">
        <v>1</v>
      </c>
      <c r="G43" s="29" t="n">
        <v>1</v>
      </c>
      <c r="H43" s="19" t="n">
        <v>14464</v>
      </c>
      <c r="I43" s="23" t="n">
        <f aca="false">F43*G43*H43</f>
        <v>14464</v>
      </c>
      <c r="J43" s="12" t="s">
        <v>2794</v>
      </c>
      <c r="K43" s="12" t="s">
        <v>2805</v>
      </c>
      <c r="L43" s="12"/>
      <c r="M43" s="4" t="s">
        <v>4376</v>
      </c>
    </row>
    <row r="44" customFormat="false" ht="15" hidden="false" customHeight="false" outlineLevel="0" collapsed="false">
      <c r="A44" s="4" t="s">
        <v>4240</v>
      </c>
      <c r="B44" s="12" t="s">
        <v>2767</v>
      </c>
      <c r="C44" s="4" t="s">
        <v>2893</v>
      </c>
      <c r="D44" s="12" t="s">
        <v>2793</v>
      </c>
      <c r="E44" s="12" t="s">
        <v>2484</v>
      </c>
      <c r="F44" s="29" t="n">
        <v>1</v>
      </c>
      <c r="G44" s="29" t="n">
        <v>7</v>
      </c>
      <c r="H44" s="19" t="n">
        <v>1200</v>
      </c>
      <c r="I44" s="23" t="n">
        <f aca="false">F44*G44*H44</f>
        <v>8400</v>
      </c>
      <c r="J44" s="12" t="s">
        <v>2794</v>
      </c>
      <c r="K44" s="12" t="s">
        <v>2894</v>
      </c>
      <c r="L44" s="12" t="s">
        <v>2796</v>
      </c>
      <c r="M44" s="4" t="s">
        <v>4377</v>
      </c>
    </row>
    <row r="45" customFormat="false" ht="23.85" hidden="false" customHeight="false" outlineLevel="0" collapsed="false">
      <c r="A45" s="4" t="s">
        <v>4240</v>
      </c>
      <c r="B45" s="12" t="s">
        <v>2767</v>
      </c>
      <c r="C45" s="4" t="s">
        <v>4378</v>
      </c>
      <c r="D45" s="12" t="s">
        <v>2793</v>
      </c>
      <c r="E45" s="12" t="s">
        <v>2484</v>
      </c>
      <c r="F45" s="29" t="n">
        <v>1</v>
      </c>
      <c r="G45" s="29" t="n">
        <v>2</v>
      </c>
      <c r="H45" s="19" t="n">
        <v>1500</v>
      </c>
      <c r="I45" s="23" t="n">
        <f aca="false">F45*G45*H45</f>
        <v>3000</v>
      </c>
      <c r="J45" s="12" t="s">
        <v>2794</v>
      </c>
      <c r="K45" s="12" t="s">
        <v>2891</v>
      </c>
      <c r="L45" s="12" t="s">
        <v>2796</v>
      </c>
      <c r="M45" s="4" t="s">
        <v>4379</v>
      </c>
    </row>
    <row r="46" customFormat="false" ht="35.05" hidden="false" customHeight="false" outlineLevel="0" collapsed="false">
      <c r="A46" s="4" t="s">
        <v>4340</v>
      </c>
      <c r="B46" s="12" t="s">
        <v>2765</v>
      </c>
      <c r="C46" s="4" t="s">
        <v>4380</v>
      </c>
      <c r="D46" s="12" t="s">
        <v>2808</v>
      </c>
      <c r="E46" s="12" t="s">
        <v>2702</v>
      </c>
      <c r="F46" s="29" t="n">
        <v>24</v>
      </c>
      <c r="G46" s="29" t="n">
        <v>1</v>
      </c>
      <c r="H46" s="19" t="n">
        <v>180</v>
      </c>
      <c r="I46" s="23" t="n">
        <f aca="false">F46*G46*H46</f>
        <v>4320</v>
      </c>
      <c r="J46" s="12" t="s">
        <v>4352</v>
      </c>
      <c r="K46" s="12" t="s">
        <v>2899</v>
      </c>
      <c r="L46" s="12" t="s">
        <v>2796</v>
      </c>
      <c r="M46" s="4" t="s">
        <v>4381</v>
      </c>
    </row>
    <row r="47" customFormat="false" ht="35.05" hidden="false" customHeight="false" outlineLevel="0" collapsed="false">
      <c r="A47" s="4" t="s">
        <v>4340</v>
      </c>
      <c r="B47" s="12" t="s">
        <v>2765</v>
      </c>
      <c r="C47" s="4" t="s">
        <v>4382</v>
      </c>
      <c r="D47" s="12" t="s">
        <v>2808</v>
      </c>
      <c r="E47" s="12" t="s">
        <v>2477</v>
      </c>
      <c r="F47" s="29" t="n">
        <v>60</v>
      </c>
      <c r="G47" s="29" t="n">
        <v>1</v>
      </c>
      <c r="H47" s="19" t="n">
        <v>25</v>
      </c>
      <c r="I47" s="23" t="n">
        <f aca="false">F47*G47*H47</f>
        <v>1500</v>
      </c>
      <c r="J47" s="12" t="s">
        <v>4352</v>
      </c>
      <c r="K47" s="12" t="s">
        <v>2805</v>
      </c>
      <c r="L47" s="12"/>
      <c r="M47" s="4" t="s">
        <v>4383</v>
      </c>
    </row>
    <row r="48" customFormat="false" ht="15" hidden="false" customHeight="false" outlineLevel="0" collapsed="false">
      <c r="H48" s="10" t="s">
        <v>134</v>
      </c>
      <c r="I48" s="11" t="n">
        <f aca="false">SUM(I26:I47)</f>
        <v>153760</v>
      </c>
    </row>
    <row r="50" customFormat="false" ht="15" hidden="false" customHeight="false" outlineLevel="0" collapsed="false">
      <c r="A50" s="22" t="s">
        <v>2913</v>
      </c>
    </row>
    <row r="51" customFormat="false" ht="23.85" hidden="false" customHeight="false" outlineLevel="0" collapsed="false">
      <c r="A51" s="3" t="s">
        <v>2914</v>
      </c>
      <c r="B51" s="3" t="s">
        <v>2915</v>
      </c>
      <c r="C51" s="3" t="s">
        <v>2780</v>
      </c>
      <c r="D51" s="3" t="s">
        <v>2781</v>
      </c>
      <c r="E51" s="3" t="s">
        <v>2782</v>
      </c>
      <c r="F51" s="3" t="s">
        <v>2783</v>
      </c>
      <c r="G51" s="3" t="s">
        <v>2784</v>
      </c>
      <c r="H51" s="3" t="s">
        <v>2785</v>
      </c>
      <c r="I51" s="3" t="s">
        <v>2786</v>
      </c>
      <c r="J51" s="3" t="s">
        <v>1393</v>
      </c>
      <c r="K51" s="3" t="s">
        <v>2916</v>
      </c>
      <c r="L51" s="3" t="s">
        <v>2789</v>
      </c>
      <c r="M51" s="3" t="s">
        <v>368</v>
      </c>
    </row>
    <row r="52" customFormat="false" ht="15" hidden="false" customHeight="false" outlineLevel="0" collapsed="false">
      <c r="A52" s="4" t="s">
        <v>4240</v>
      </c>
      <c r="B52" s="12" t="s">
        <v>2918</v>
      </c>
      <c r="C52" s="4" t="s">
        <v>2919</v>
      </c>
      <c r="D52" s="12" t="s">
        <v>2804</v>
      </c>
      <c r="E52" s="12" t="s">
        <v>2597</v>
      </c>
      <c r="F52" s="30" t="n">
        <v>1</v>
      </c>
      <c r="G52" s="30" t="n">
        <v>1</v>
      </c>
      <c r="H52" s="19" t="n">
        <v>6000</v>
      </c>
      <c r="I52" s="23" t="n">
        <f aca="false">F52*G52*H52</f>
        <v>6000</v>
      </c>
      <c r="J52" s="12" t="s">
        <v>2794</v>
      </c>
      <c r="K52" s="12" t="s">
        <v>2920</v>
      </c>
      <c r="L52" s="12" t="s">
        <v>2796</v>
      </c>
      <c r="M52" s="4" t="s">
        <v>4384</v>
      </c>
    </row>
    <row r="53" customFormat="false" ht="15" hidden="false" customHeight="false" outlineLevel="0" collapsed="false">
      <c r="A53" s="4" t="s">
        <v>4240</v>
      </c>
      <c r="B53" s="12" t="s">
        <v>2918</v>
      </c>
      <c r="C53" s="4" t="s">
        <v>2922</v>
      </c>
      <c r="D53" s="12" t="s">
        <v>2804</v>
      </c>
      <c r="E53" s="12" t="s">
        <v>2597</v>
      </c>
      <c r="F53" s="30" t="n">
        <v>1</v>
      </c>
      <c r="G53" s="30" t="n">
        <v>1</v>
      </c>
      <c r="H53" s="19" t="n">
        <v>5000</v>
      </c>
      <c r="I53" s="23" t="n">
        <f aca="false">F53*G53*H53</f>
        <v>5000</v>
      </c>
      <c r="J53" s="12" t="s">
        <v>2794</v>
      </c>
      <c r="K53" s="12" t="s">
        <v>2805</v>
      </c>
      <c r="L53" s="12"/>
      <c r="M53" s="4" t="s">
        <v>4385</v>
      </c>
    </row>
    <row r="54" customFormat="false" ht="15" hidden="false" customHeight="false" outlineLevel="0" collapsed="false">
      <c r="A54" s="4" t="s">
        <v>4240</v>
      </c>
      <c r="B54" s="12" t="s">
        <v>2918</v>
      </c>
      <c r="C54" s="4" t="s">
        <v>2926</v>
      </c>
      <c r="D54" s="12" t="s">
        <v>2793</v>
      </c>
      <c r="E54" s="12" t="s">
        <v>2484</v>
      </c>
      <c r="F54" s="30" t="n">
        <v>1</v>
      </c>
      <c r="G54" s="30" t="n">
        <v>7</v>
      </c>
      <c r="H54" s="19" t="n">
        <v>80</v>
      </c>
      <c r="I54" s="23" t="n">
        <f aca="false">F54*G54*H54</f>
        <v>560</v>
      </c>
      <c r="J54" s="12" t="s">
        <v>2794</v>
      </c>
      <c r="K54" s="12" t="s">
        <v>2805</v>
      </c>
      <c r="L54" s="12"/>
      <c r="M54" s="4"/>
    </row>
    <row r="55" customFormat="false" ht="15" hidden="false" customHeight="false" outlineLevel="0" collapsed="false">
      <c r="A55" s="4" t="s">
        <v>4240</v>
      </c>
      <c r="B55" s="12" t="s">
        <v>2918</v>
      </c>
      <c r="C55" s="4" t="s">
        <v>2928</v>
      </c>
      <c r="D55" s="12" t="s">
        <v>2882</v>
      </c>
      <c r="E55" s="12" t="s">
        <v>2601</v>
      </c>
      <c r="F55" s="30" t="n">
        <v>1</v>
      </c>
      <c r="G55" s="30" t="n">
        <v>1</v>
      </c>
      <c r="H55" s="19" t="n">
        <v>600</v>
      </c>
      <c r="I55" s="23" t="n">
        <f aca="false">F55*G55*H55</f>
        <v>600</v>
      </c>
      <c r="J55" s="12" t="s">
        <v>2794</v>
      </c>
      <c r="K55" s="12" t="s">
        <v>2805</v>
      </c>
      <c r="L55" s="12"/>
      <c r="M55" s="4" t="s">
        <v>4386</v>
      </c>
    </row>
    <row r="56" customFormat="false" ht="15" hidden="false" customHeight="false" outlineLevel="0" collapsed="false">
      <c r="A56" s="4" t="s">
        <v>4310</v>
      </c>
      <c r="B56" s="12" t="s">
        <v>2930</v>
      </c>
      <c r="C56" s="4" t="s">
        <v>3823</v>
      </c>
      <c r="D56" s="12" t="s">
        <v>2793</v>
      </c>
      <c r="E56" s="12" t="s">
        <v>2484</v>
      </c>
      <c r="F56" s="30" t="n">
        <v>1</v>
      </c>
      <c r="G56" s="30" t="n">
        <v>2</v>
      </c>
      <c r="H56" s="19" t="n">
        <v>3000</v>
      </c>
      <c r="I56" s="23" t="n">
        <f aca="false">F56*G56*H56</f>
        <v>6000</v>
      </c>
      <c r="J56" s="12" t="s">
        <v>2794</v>
      </c>
      <c r="K56" s="12" t="s">
        <v>2805</v>
      </c>
      <c r="L56" s="12"/>
      <c r="M56" s="4" t="s">
        <v>4387</v>
      </c>
    </row>
    <row r="57" customFormat="false" ht="15" hidden="false" customHeight="false" outlineLevel="0" collapsed="false">
      <c r="A57" s="4" t="s">
        <v>4310</v>
      </c>
      <c r="B57" s="12" t="s">
        <v>2930</v>
      </c>
      <c r="C57" s="4" t="s">
        <v>4132</v>
      </c>
      <c r="D57" s="12" t="s">
        <v>2804</v>
      </c>
      <c r="E57" s="12" t="s">
        <v>2597</v>
      </c>
      <c r="F57" s="30" t="n">
        <v>1</v>
      </c>
      <c r="G57" s="30" t="n">
        <v>1</v>
      </c>
      <c r="H57" s="19" t="n">
        <v>4000</v>
      </c>
      <c r="I57" s="23" t="n">
        <f aca="false">F57*G57*H57</f>
        <v>4000</v>
      </c>
      <c r="J57" s="12" t="s">
        <v>2794</v>
      </c>
      <c r="K57" s="12" t="s">
        <v>2937</v>
      </c>
      <c r="L57" s="12" t="s">
        <v>2796</v>
      </c>
      <c r="M57" s="4" t="s">
        <v>4388</v>
      </c>
    </row>
    <row r="58" customFormat="false" ht="15" hidden="false" customHeight="false" outlineLevel="0" collapsed="false">
      <c r="A58" s="4" t="s">
        <v>4310</v>
      </c>
      <c r="B58" s="12" t="s">
        <v>2930</v>
      </c>
      <c r="C58" s="4" t="s">
        <v>3365</v>
      </c>
      <c r="D58" s="12" t="s">
        <v>2793</v>
      </c>
      <c r="E58" s="12" t="s">
        <v>2484</v>
      </c>
      <c r="F58" s="30" t="n">
        <v>1</v>
      </c>
      <c r="G58" s="30" t="n">
        <v>2</v>
      </c>
      <c r="H58" s="19" t="n">
        <v>3800</v>
      </c>
      <c r="I58" s="23" t="n">
        <f aca="false">F58*G58*H58</f>
        <v>7600</v>
      </c>
      <c r="J58" s="12" t="s">
        <v>2794</v>
      </c>
      <c r="K58" s="12" t="s">
        <v>2909</v>
      </c>
      <c r="L58" s="12" t="s">
        <v>2796</v>
      </c>
      <c r="M58" s="4" t="s">
        <v>4389</v>
      </c>
    </row>
    <row r="59" customFormat="false" ht="23.85" hidden="false" customHeight="false" outlineLevel="0" collapsed="false">
      <c r="A59" s="4" t="s">
        <v>4310</v>
      </c>
      <c r="B59" s="12" t="s">
        <v>2930</v>
      </c>
      <c r="C59" s="4" t="s">
        <v>4390</v>
      </c>
      <c r="D59" s="12" t="s">
        <v>2808</v>
      </c>
      <c r="E59" s="12" t="s">
        <v>2477</v>
      </c>
      <c r="F59" s="30" t="n">
        <v>200</v>
      </c>
      <c r="G59" s="30" t="n">
        <v>1</v>
      </c>
      <c r="H59" s="19" t="n">
        <v>2.5</v>
      </c>
      <c r="I59" s="23" t="n">
        <f aca="false">F59*G59*H59</f>
        <v>500</v>
      </c>
      <c r="J59" s="12" t="s">
        <v>4352</v>
      </c>
      <c r="K59" s="12" t="s">
        <v>2805</v>
      </c>
      <c r="L59" s="12"/>
      <c r="M59" s="4"/>
    </row>
    <row r="61" customFormat="false" ht="15" hidden="false" customHeight="false" outlineLevel="0" collapsed="false">
      <c r="A61" s="10" t="s">
        <v>2952</v>
      </c>
      <c r="B61" s="23" t="n">
        <f aca="false">SUMIFS($I$52:$I$59,$B$52:$B$59,"Custos de administração")</f>
        <v>12160</v>
      </c>
      <c r="C61" s="13" t="n">
        <f aca="false">B17</f>
        <v>12300.8</v>
      </c>
      <c r="D61" s="23" t="n">
        <f aca="false">C61-B61</f>
        <v>140.800000000001</v>
      </c>
      <c r="E61" s="12" t="str">
        <f aca="false">IF(D61&gt;=0,"OK","EXCEDE")</f>
        <v>OK</v>
      </c>
    </row>
    <row r="62" customFormat="false" ht="15" hidden="false" customHeight="false" outlineLevel="0" collapsed="false">
      <c r="A62" s="10" t="s">
        <v>2953</v>
      </c>
      <c r="B62" s="23" t="n">
        <f aca="false">SUMIFS($I$52:$I$59,$B$52:$B$59,"Custos de acessibilidade, comunicação e divulgação")</f>
        <v>18100</v>
      </c>
      <c r="C62" s="13" t="n">
        <f aca="false">B18</f>
        <v>18451.2</v>
      </c>
      <c r="D62" s="23" t="n">
        <f aca="false">C62-B62</f>
        <v>351.200000000001</v>
      </c>
      <c r="E62" s="12" t="str">
        <f aca="false">IF(D62&gt;=0,"OK","EXCEDE")</f>
        <v>OK</v>
      </c>
    </row>
    <row r="63" customFormat="false" ht="15" hidden="false" customHeight="false" outlineLevel="0" collapsed="false">
      <c r="A63" s="14" t="s">
        <v>2954</v>
      </c>
    </row>
    <row r="65" customFormat="false" ht="15" hidden="false" customHeight="false" outlineLevel="0" collapsed="false">
      <c r="A65" s="22" t="s">
        <v>2955</v>
      </c>
    </row>
    <row r="66" customFormat="false" ht="30" hidden="false" customHeight="true" outlineLevel="0" collapsed="false">
      <c r="A66" s="21" t="s">
        <v>4391</v>
      </c>
      <c r="B66" s="21"/>
      <c r="C66" s="21"/>
      <c r="D66" s="21"/>
      <c r="E66" s="21"/>
      <c r="F66" s="21"/>
      <c r="G66" s="21"/>
      <c r="H66" s="21"/>
      <c r="I66" s="21"/>
      <c r="J66" s="21"/>
      <c r="K66" s="21"/>
      <c r="L66" s="21"/>
      <c r="M66" s="21"/>
    </row>
    <row r="67" customFormat="false" ht="30" hidden="false" customHeight="true" outlineLevel="0" collapsed="false">
      <c r="A67" s="21" t="s">
        <v>4392</v>
      </c>
      <c r="B67" s="21"/>
      <c r="C67" s="21"/>
      <c r="D67" s="21"/>
      <c r="E67" s="21"/>
      <c r="F67" s="21"/>
      <c r="G67" s="21"/>
      <c r="H67" s="21"/>
      <c r="I67" s="21"/>
      <c r="J67" s="21"/>
      <c r="K67" s="21"/>
      <c r="L67" s="21"/>
      <c r="M67" s="21"/>
    </row>
    <row r="68" customFormat="false" ht="30" hidden="false" customHeight="true" outlineLevel="0" collapsed="false">
      <c r="A68" s="21" t="s">
        <v>4393</v>
      </c>
      <c r="B68" s="21"/>
      <c r="C68" s="21"/>
      <c r="D68" s="21"/>
      <c r="E68" s="21"/>
      <c r="F68" s="21"/>
      <c r="G68" s="21"/>
      <c r="H68" s="21"/>
      <c r="I68" s="21"/>
      <c r="J68" s="21"/>
      <c r="K68" s="21"/>
      <c r="L68" s="21"/>
      <c r="M68" s="21"/>
    </row>
    <row r="69" customFormat="false" ht="30" hidden="false" customHeight="true" outlineLevel="0" collapsed="false">
      <c r="A69" s="21" t="s">
        <v>4394</v>
      </c>
      <c r="B69" s="21"/>
      <c r="C69" s="21"/>
      <c r="D69" s="21"/>
      <c r="E69" s="21"/>
      <c r="F69" s="21"/>
      <c r="G69" s="21"/>
      <c r="H69" s="21"/>
      <c r="I69" s="21"/>
      <c r="J69" s="21"/>
      <c r="K69" s="21"/>
      <c r="L69" s="21"/>
      <c r="M69" s="21"/>
    </row>
    <row r="70" customFormat="false" ht="30" hidden="false" customHeight="true" outlineLevel="0" collapsed="false">
      <c r="A70" s="21" t="s">
        <v>4395</v>
      </c>
      <c r="B70" s="21"/>
      <c r="C70" s="21"/>
      <c r="D70" s="21"/>
      <c r="E70" s="21"/>
      <c r="F70" s="21"/>
      <c r="G70" s="21"/>
      <c r="H70" s="21"/>
      <c r="I70" s="21"/>
      <c r="J70" s="21"/>
      <c r="K70" s="21"/>
      <c r="L70" s="21"/>
      <c r="M70" s="21"/>
    </row>
    <row r="71" customFormat="false" ht="30" hidden="false" customHeight="true" outlineLevel="0" collapsed="false">
      <c r="A71" s="21" t="s">
        <v>4396</v>
      </c>
      <c r="B71" s="21"/>
      <c r="C71" s="21"/>
      <c r="D71" s="21"/>
      <c r="E71" s="21"/>
      <c r="F71" s="21"/>
      <c r="G71" s="21"/>
      <c r="H71" s="21"/>
      <c r="I71" s="21"/>
      <c r="J71" s="21"/>
      <c r="K71" s="21"/>
      <c r="L71" s="21"/>
      <c r="M71" s="21"/>
    </row>
    <row r="72" customFormat="false" ht="30" hidden="false" customHeight="true" outlineLevel="0" collapsed="false">
      <c r="A72" s="21" t="s">
        <v>4397</v>
      </c>
      <c r="B72" s="21"/>
      <c r="C72" s="21"/>
      <c r="D72" s="21"/>
      <c r="E72" s="21"/>
      <c r="F72" s="21"/>
      <c r="G72" s="21"/>
      <c r="H72" s="21"/>
      <c r="I72" s="21"/>
      <c r="J72" s="21"/>
      <c r="K72" s="21"/>
      <c r="L72" s="21"/>
      <c r="M72" s="21"/>
    </row>
    <row r="73" customFormat="false" ht="30" hidden="false" customHeight="true" outlineLevel="0" collapsed="false">
      <c r="A73" s="21" t="s">
        <v>4398</v>
      </c>
      <c r="B73" s="21"/>
      <c r="C73" s="21"/>
      <c r="D73" s="21"/>
      <c r="E73" s="21"/>
      <c r="F73" s="21"/>
      <c r="G73" s="21"/>
      <c r="H73" s="21"/>
      <c r="I73" s="21"/>
      <c r="J73" s="21"/>
      <c r="K73" s="21"/>
      <c r="L73" s="21"/>
      <c r="M73" s="21"/>
    </row>
    <row r="74" customFormat="false" ht="15" hidden="false" customHeight="true" outlineLevel="0" collapsed="false">
      <c r="A74" s="21" t="s">
        <v>4399</v>
      </c>
      <c r="B74" s="21"/>
      <c r="C74" s="21"/>
      <c r="D74" s="21"/>
      <c r="E74" s="21"/>
      <c r="F74" s="21"/>
      <c r="G74" s="21"/>
      <c r="H74" s="21"/>
      <c r="I74" s="21"/>
      <c r="J74" s="21"/>
      <c r="K74" s="21"/>
      <c r="L74" s="21"/>
      <c r="M74" s="21"/>
    </row>
    <row r="76" customFormat="false" ht="15" hidden="false" customHeight="false" outlineLevel="0" collapsed="false">
      <c r="A76" s="22" t="s">
        <v>2964</v>
      </c>
      <c r="B76" s="19" t="n">
        <v>40000</v>
      </c>
    </row>
    <row r="77" customFormat="false" ht="75" hidden="false" customHeight="true" outlineLevel="0" collapsed="false">
      <c r="A77" s="21" t="s">
        <v>4400</v>
      </c>
      <c r="B77" s="21"/>
      <c r="C77" s="21"/>
      <c r="D77" s="21"/>
      <c r="E77" s="21"/>
      <c r="F77" s="21"/>
      <c r="G77" s="21"/>
      <c r="H77" s="21"/>
      <c r="I77" s="21"/>
      <c r="J77" s="21"/>
      <c r="K77" s="21"/>
      <c r="L77" s="21"/>
      <c r="M77" s="21"/>
    </row>
  </sheetData>
  <mergeCells count="15">
    <mergeCell ref="B2:M2"/>
    <mergeCell ref="B3:M3"/>
    <mergeCell ref="B4:M4"/>
    <mergeCell ref="B5:M5"/>
    <mergeCell ref="B6:M6"/>
    <mergeCell ref="A66:M66"/>
    <mergeCell ref="A67:M67"/>
    <mergeCell ref="A68:M68"/>
    <mergeCell ref="A69:M69"/>
    <mergeCell ref="A70:M70"/>
    <mergeCell ref="A71:M71"/>
    <mergeCell ref="A72:M72"/>
    <mergeCell ref="A73:M73"/>
    <mergeCell ref="A74:M74"/>
    <mergeCell ref="A77:M77"/>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47">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52:L59">
    <cfRule type="expression" priority="11" aboveAverage="0" equalAverage="0" bottom="0" percent="0" rank="0" text="" dxfId="2">
      <formula>LEFT(L52,5)="ACIMA"</formula>
    </cfRule>
  </conditionalFormatting>
  <conditionalFormatting sqref="E61:E62">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ISNUMBER(SEARCH("EXCEDE",E61))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4401</v>
      </c>
    </row>
    <row r="2" customFormat="false" ht="30" hidden="false" customHeight="true" outlineLevel="0" collapsed="false">
      <c r="A2" s="22" t="s">
        <v>2748</v>
      </c>
      <c r="B2" s="21" t="s">
        <v>4402</v>
      </c>
      <c r="C2" s="21"/>
      <c r="D2" s="21"/>
      <c r="E2" s="21"/>
      <c r="F2" s="21"/>
      <c r="G2" s="21"/>
      <c r="H2" s="21"/>
      <c r="I2" s="21"/>
      <c r="J2" s="21"/>
      <c r="K2" s="21"/>
      <c r="L2" s="21"/>
      <c r="M2" s="21"/>
    </row>
    <row r="3" customFormat="false" ht="30" hidden="false" customHeight="true" outlineLevel="0" collapsed="false">
      <c r="A3" s="22" t="s">
        <v>2750</v>
      </c>
      <c r="B3" s="21" t="s">
        <v>4403</v>
      </c>
      <c r="C3" s="21"/>
      <c r="D3" s="21"/>
      <c r="E3" s="21"/>
      <c r="F3" s="21"/>
      <c r="G3" s="21"/>
      <c r="H3" s="21"/>
      <c r="I3" s="21"/>
      <c r="J3" s="21"/>
      <c r="K3" s="21"/>
      <c r="L3" s="21"/>
      <c r="M3" s="21"/>
    </row>
    <row r="4" customFormat="false" ht="30" hidden="false" customHeight="true" outlineLevel="0" collapsed="false">
      <c r="A4" s="22" t="s">
        <v>2752</v>
      </c>
      <c r="B4" s="21" t="s">
        <v>4404</v>
      </c>
      <c r="C4" s="21"/>
      <c r="D4" s="21"/>
      <c r="E4" s="21"/>
      <c r="F4" s="21"/>
      <c r="G4" s="21"/>
      <c r="H4" s="21"/>
      <c r="I4" s="21"/>
      <c r="J4" s="21"/>
      <c r="K4" s="21"/>
      <c r="L4" s="21"/>
      <c r="M4" s="21"/>
    </row>
    <row r="5" customFormat="false" ht="30" hidden="false" customHeight="true" outlineLevel="0" collapsed="false">
      <c r="A5" s="22" t="s">
        <v>2754</v>
      </c>
      <c r="B5" s="21" t="s">
        <v>4405</v>
      </c>
      <c r="C5" s="21"/>
      <c r="D5" s="21"/>
      <c r="E5" s="21"/>
      <c r="F5" s="21"/>
      <c r="G5" s="21"/>
      <c r="H5" s="21"/>
      <c r="I5" s="21"/>
      <c r="J5" s="21"/>
      <c r="K5" s="21"/>
      <c r="L5" s="21"/>
      <c r="M5" s="21"/>
    </row>
    <row r="6" customFormat="false" ht="30" hidden="false" customHeight="true" outlineLevel="0" collapsed="false">
      <c r="A6" s="22" t="s">
        <v>2756</v>
      </c>
      <c r="B6" s="21" t="s">
        <v>4406</v>
      </c>
      <c r="C6" s="21"/>
      <c r="D6" s="21"/>
      <c r="E6" s="21"/>
      <c r="F6" s="21"/>
      <c r="G6" s="21"/>
      <c r="H6" s="21"/>
      <c r="I6" s="21"/>
      <c r="J6" s="21"/>
      <c r="K6" s="21"/>
      <c r="L6" s="21"/>
      <c r="M6" s="21"/>
    </row>
    <row r="7" customFormat="false" ht="15" hidden="false" customHeight="false" outlineLevel="0" collapsed="false">
      <c r="A7" s="22" t="s">
        <v>2758</v>
      </c>
      <c r="B7" s="19" t="n">
        <v>200000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SUMIFS($I$26:$I$60,$B$26:$B$60,A11)</f>
        <v>10400</v>
      </c>
      <c r="C11" s="24" t="n">
        <f aca="false">IF($B$16=0,0,B11/$B$16)</f>
        <v>0.0660443259033467</v>
      </c>
    </row>
    <row r="12" customFormat="false" ht="15" hidden="false" customHeight="false" outlineLevel="0" collapsed="false">
      <c r="A12" s="12" t="s">
        <v>2765</v>
      </c>
      <c r="B12" s="23" t="n">
        <f aca="false">SUMIFS($I$26:$I$60,$B$26:$B$60,A12)</f>
        <v>122406</v>
      </c>
      <c r="C12" s="24" t="n">
        <f aca="false">IF($B$16=0,0,B12/$B$16)</f>
        <v>0.777329015050486</v>
      </c>
    </row>
    <row r="13" customFormat="false" ht="15" hidden="false" customHeight="false" outlineLevel="0" collapsed="false">
      <c r="A13" s="12" t="s">
        <v>2766</v>
      </c>
      <c r="B13" s="23" t="n">
        <f aca="false">SUMIFS($I$26:$I$60,$B$26:$B$60,A13)</f>
        <v>7400</v>
      </c>
      <c r="C13" s="24" t="n">
        <f aca="false">IF($B$16=0,0,B13/$B$16)</f>
        <v>0.0469930780466121</v>
      </c>
    </row>
    <row r="14" customFormat="false" ht="15" hidden="false" customHeight="false" outlineLevel="0" collapsed="false">
      <c r="A14" s="12" t="s">
        <v>2767</v>
      </c>
      <c r="B14" s="23" t="n">
        <f aca="false">SUMIFS($I$26:$I$60,$B$26:$B$60,A14)</f>
        <v>11600</v>
      </c>
      <c r="C14" s="24" t="n">
        <f aca="false">IF($B$16=0,0,B14/$B$16)</f>
        <v>0.0736648250460405</v>
      </c>
    </row>
    <row r="15" customFormat="false" ht="15" hidden="false" customHeight="false" outlineLevel="0" collapsed="false">
      <c r="A15" s="12" t="s">
        <v>2768</v>
      </c>
      <c r="B15" s="23" t="n">
        <f aca="false">SUMIFS($I$26:$I$60,$B$26:$B$60,A15)</f>
        <v>5664</v>
      </c>
      <c r="C15" s="24" t="n">
        <f aca="false">IF($B$16=0,0,B15/$B$16)</f>
        <v>0.035968755953515</v>
      </c>
    </row>
    <row r="16" customFormat="false" ht="15" hidden="false" customHeight="false" outlineLevel="0" collapsed="false">
      <c r="A16" s="25" t="s">
        <v>2769</v>
      </c>
      <c r="B16" s="26" t="n">
        <f aca="false">SUM(B11:B15)</f>
        <v>157470</v>
      </c>
    </row>
    <row r="17" customFormat="false" ht="23.85" hidden="false" customHeight="false" outlineLevel="0" collapsed="false">
      <c r="A17" s="4" t="s">
        <v>2770</v>
      </c>
      <c r="B17" s="23" t="n">
        <f aca="false">$B$16*C17</f>
        <v>12597.6</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14172.3</v>
      </c>
      <c r="C18" s="27" t="n">
        <v>0.09</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15747</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199986.9</v>
      </c>
    </row>
    <row r="21" customFormat="false" ht="15" hidden="false" customHeight="false" outlineLevel="0" collapsed="false">
      <c r="A21" s="12" t="s">
        <v>2774</v>
      </c>
      <c r="B21" s="23" t="n">
        <f aca="false">B20-B7</f>
        <v>-13.1000000000058</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4240</v>
      </c>
      <c r="B26" s="12" t="s">
        <v>2764</v>
      </c>
      <c r="C26" s="4" t="s">
        <v>4407</v>
      </c>
      <c r="D26" s="12" t="s">
        <v>2793</v>
      </c>
      <c r="E26" s="12" t="s">
        <v>2484</v>
      </c>
      <c r="F26" s="29" t="n">
        <v>1</v>
      </c>
      <c r="G26" s="29" t="n">
        <v>2</v>
      </c>
      <c r="H26" s="19" t="n">
        <v>2200</v>
      </c>
      <c r="I26" s="23" t="n">
        <f aca="false">F26*G26*H26</f>
        <v>4400</v>
      </c>
      <c r="J26" s="12" t="s">
        <v>2794</v>
      </c>
      <c r="K26" s="12" t="s">
        <v>2795</v>
      </c>
      <c r="L26" s="12" t="s">
        <v>2950</v>
      </c>
      <c r="M26" s="4" t="s">
        <v>4408</v>
      </c>
    </row>
    <row r="27" customFormat="false" ht="23.85" hidden="false" customHeight="false" outlineLevel="0" collapsed="false">
      <c r="A27" s="4" t="s">
        <v>4240</v>
      </c>
      <c r="B27" s="12" t="s">
        <v>2764</v>
      </c>
      <c r="C27" s="4" t="s">
        <v>4409</v>
      </c>
      <c r="D27" s="12" t="s">
        <v>2793</v>
      </c>
      <c r="E27" s="12" t="s">
        <v>2484</v>
      </c>
      <c r="F27" s="29" t="n">
        <v>1</v>
      </c>
      <c r="G27" s="29" t="n">
        <v>1</v>
      </c>
      <c r="H27" s="19" t="n">
        <v>3000</v>
      </c>
      <c r="I27" s="23" t="n">
        <f aca="false">F27*G27*H27</f>
        <v>3000</v>
      </c>
      <c r="J27" s="12" t="s">
        <v>2794</v>
      </c>
      <c r="K27" s="12" t="s">
        <v>2818</v>
      </c>
      <c r="L27" s="12" t="s">
        <v>2796</v>
      </c>
      <c r="M27" s="4" t="s">
        <v>4410</v>
      </c>
    </row>
    <row r="28" customFormat="false" ht="35.05" hidden="false" customHeight="false" outlineLevel="0" collapsed="false">
      <c r="A28" s="4" t="s">
        <v>4411</v>
      </c>
      <c r="B28" s="12" t="s">
        <v>2764</v>
      </c>
      <c r="C28" s="4" t="s">
        <v>4412</v>
      </c>
      <c r="D28" s="12" t="s">
        <v>2793</v>
      </c>
      <c r="E28" s="12" t="s">
        <v>2484</v>
      </c>
      <c r="F28" s="29" t="n">
        <v>1</v>
      </c>
      <c r="G28" s="29" t="n">
        <v>1</v>
      </c>
      <c r="H28" s="19" t="n">
        <v>3000</v>
      </c>
      <c r="I28" s="23" t="n">
        <f aca="false">F28*G28*H28</f>
        <v>3000</v>
      </c>
      <c r="J28" s="12" t="s">
        <v>2794</v>
      </c>
      <c r="K28" s="12" t="s">
        <v>3083</v>
      </c>
      <c r="L28" s="12" t="s">
        <v>2796</v>
      </c>
      <c r="M28" s="4" t="s">
        <v>4413</v>
      </c>
    </row>
    <row r="29" customFormat="false" ht="15" hidden="false" customHeight="false" outlineLevel="0" collapsed="false">
      <c r="A29" s="4" t="s">
        <v>4240</v>
      </c>
      <c r="B29" s="12" t="s">
        <v>2765</v>
      </c>
      <c r="C29" s="4" t="s">
        <v>4414</v>
      </c>
      <c r="D29" s="12" t="s">
        <v>2793</v>
      </c>
      <c r="E29" s="12" t="s">
        <v>2484</v>
      </c>
      <c r="F29" s="29" t="n">
        <v>1</v>
      </c>
      <c r="G29" s="29" t="n">
        <v>4</v>
      </c>
      <c r="H29" s="19" t="n">
        <v>2200</v>
      </c>
      <c r="I29" s="23" t="n">
        <f aca="false">F29*G29*H29</f>
        <v>8800</v>
      </c>
      <c r="J29" s="12" t="s">
        <v>2794</v>
      </c>
      <c r="K29" s="12" t="s">
        <v>2795</v>
      </c>
      <c r="L29" s="12" t="s">
        <v>2950</v>
      </c>
      <c r="M29" s="4"/>
    </row>
    <row r="30" customFormat="false" ht="15" hidden="false" customHeight="false" outlineLevel="0" collapsed="false">
      <c r="A30" s="4" t="s">
        <v>4240</v>
      </c>
      <c r="B30" s="12" t="s">
        <v>2765</v>
      </c>
      <c r="C30" s="4" t="s">
        <v>4415</v>
      </c>
      <c r="D30" s="12" t="s">
        <v>2793</v>
      </c>
      <c r="E30" s="12" t="s">
        <v>2484</v>
      </c>
      <c r="F30" s="29" t="n">
        <v>1</v>
      </c>
      <c r="G30" s="29" t="n">
        <v>3</v>
      </c>
      <c r="H30" s="19" t="n">
        <v>3000</v>
      </c>
      <c r="I30" s="23" t="n">
        <f aca="false">F30*G30*H30</f>
        <v>9000</v>
      </c>
      <c r="J30" s="12" t="s">
        <v>4416</v>
      </c>
      <c r="K30" s="12" t="s">
        <v>2818</v>
      </c>
      <c r="L30" s="12" t="s">
        <v>2796</v>
      </c>
      <c r="M30" s="4" t="s">
        <v>4417</v>
      </c>
    </row>
    <row r="31" customFormat="false" ht="35.05" hidden="false" customHeight="false" outlineLevel="0" collapsed="false">
      <c r="A31" s="4" t="s">
        <v>4411</v>
      </c>
      <c r="B31" s="12" t="s">
        <v>2765</v>
      </c>
      <c r="C31" s="4" t="s">
        <v>4418</v>
      </c>
      <c r="D31" s="12" t="s">
        <v>2793</v>
      </c>
      <c r="E31" s="12" t="s">
        <v>2484</v>
      </c>
      <c r="F31" s="29" t="n">
        <v>1</v>
      </c>
      <c r="G31" s="29" t="n">
        <v>4</v>
      </c>
      <c r="H31" s="19" t="n">
        <v>3000</v>
      </c>
      <c r="I31" s="23" t="n">
        <f aca="false">F31*G31*H31</f>
        <v>12000</v>
      </c>
      <c r="J31" s="12" t="s">
        <v>4416</v>
      </c>
      <c r="K31" s="12" t="s">
        <v>3083</v>
      </c>
      <c r="L31" s="12" t="s">
        <v>2796</v>
      </c>
      <c r="M31" s="4" t="s">
        <v>4419</v>
      </c>
    </row>
    <row r="32" customFormat="false" ht="35.05" hidden="false" customHeight="false" outlineLevel="0" collapsed="false">
      <c r="A32" s="4" t="s">
        <v>4411</v>
      </c>
      <c r="B32" s="12" t="s">
        <v>2765</v>
      </c>
      <c r="C32" s="4" t="s">
        <v>4420</v>
      </c>
      <c r="D32" s="12" t="s">
        <v>2808</v>
      </c>
      <c r="E32" s="12" t="s">
        <v>2501</v>
      </c>
      <c r="F32" s="29" t="n">
        <v>96</v>
      </c>
      <c r="G32" s="29" t="n">
        <v>1</v>
      </c>
      <c r="H32" s="19" t="n">
        <v>110</v>
      </c>
      <c r="I32" s="23" t="n">
        <f aca="false">F32*G32*H32</f>
        <v>10560</v>
      </c>
      <c r="J32" s="12" t="s">
        <v>4416</v>
      </c>
      <c r="K32" s="12" t="s">
        <v>2821</v>
      </c>
      <c r="L32" s="12" t="s">
        <v>2796</v>
      </c>
      <c r="M32" s="4" t="s">
        <v>4421</v>
      </c>
    </row>
    <row r="33" customFormat="false" ht="35.05" hidden="false" customHeight="false" outlineLevel="0" collapsed="false">
      <c r="A33" s="4" t="s">
        <v>4411</v>
      </c>
      <c r="B33" s="12" t="s">
        <v>2765</v>
      </c>
      <c r="C33" s="4" t="s">
        <v>4422</v>
      </c>
      <c r="D33" s="12" t="s">
        <v>2808</v>
      </c>
      <c r="E33" s="12" t="s">
        <v>2501</v>
      </c>
      <c r="F33" s="29" t="n">
        <v>48</v>
      </c>
      <c r="G33" s="29" t="n">
        <v>1</v>
      </c>
      <c r="H33" s="19" t="n">
        <v>130</v>
      </c>
      <c r="I33" s="23" t="n">
        <f aca="false">F33*G33*H33</f>
        <v>6240</v>
      </c>
      <c r="J33" s="12" t="s">
        <v>4416</v>
      </c>
      <c r="K33" s="12" t="s">
        <v>2821</v>
      </c>
      <c r="L33" s="12" t="s">
        <v>2796</v>
      </c>
      <c r="M33" s="4" t="s">
        <v>4423</v>
      </c>
    </row>
    <row r="34" customFormat="false" ht="35.05" hidden="false" customHeight="false" outlineLevel="0" collapsed="false">
      <c r="A34" s="4" t="s">
        <v>4411</v>
      </c>
      <c r="B34" s="12" t="s">
        <v>2765</v>
      </c>
      <c r="C34" s="4" t="s">
        <v>4424</v>
      </c>
      <c r="D34" s="12" t="s">
        <v>2808</v>
      </c>
      <c r="E34" s="12" t="s">
        <v>4425</v>
      </c>
      <c r="F34" s="29" t="n">
        <v>48</v>
      </c>
      <c r="G34" s="29" t="n">
        <v>1</v>
      </c>
      <c r="H34" s="19" t="n">
        <v>120</v>
      </c>
      <c r="I34" s="23" t="n">
        <f aca="false">F34*G34*H34</f>
        <v>5760</v>
      </c>
      <c r="J34" s="12" t="s">
        <v>4416</v>
      </c>
      <c r="K34" s="12" t="s">
        <v>3180</v>
      </c>
      <c r="L34" s="12" t="s">
        <v>2950</v>
      </c>
      <c r="M34" s="4" t="s">
        <v>4426</v>
      </c>
    </row>
    <row r="35" customFormat="false" ht="35.05" hidden="false" customHeight="false" outlineLevel="0" collapsed="false">
      <c r="A35" s="4" t="s">
        <v>4411</v>
      </c>
      <c r="B35" s="12" t="s">
        <v>2765</v>
      </c>
      <c r="C35" s="4" t="s">
        <v>4427</v>
      </c>
      <c r="D35" s="12" t="s">
        <v>2808</v>
      </c>
      <c r="E35" s="12" t="s">
        <v>4425</v>
      </c>
      <c r="F35" s="29" t="n">
        <v>32</v>
      </c>
      <c r="G35" s="29" t="n">
        <v>1</v>
      </c>
      <c r="H35" s="19" t="n">
        <v>120</v>
      </c>
      <c r="I35" s="23" t="n">
        <f aca="false">F35*G35*H35</f>
        <v>3840</v>
      </c>
      <c r="J35" s="12" t="s">
        <v>4416</v>
      </c>
      <c r="K35" s="12" t="s">
        <v>2821</v>
      </c>
      <c r="L35" s="12" t="s">
        <v>2796</v>
      </c>
      <c r="M35" s="4" t="s">
        <v>4428</v>
      </c>
    </row>
    <row r="36" customFormat="false" ht="35.05" hidden="false" customHeight="false" outlineLevel="0" collapsed="false">
      <c r="A36" s="4" t="s">
        <v>4411</v>
      </c>
      <c r="B36" s="12" t="s">
        <v>2765</v>
      </c>
      <c r="C36" s="4" t="s">
        <v>3305</v>
      </c>
      <c r="D36" s="12" t="s">
        <v>2808</v>
      </c>
      <c r="E36" s="12" t="s">
        <v>2477</v>
      </c>
      <c r="F36" s="29" t="n">
        <v>1080</v>
      </c>
      <c r="G36" s="29" t="n">
        <v>1</v>
      </c>
      <c r="H36" s="19" t="n">
        <v>8</v>
      </c>
      <c r="I36" s="23" t="n">
        <f aca="false">F36*G36*H36</f>
        <v>8640</v>
      </c>
      <c r="J36" s="12" t="s">
        <v>4416</v>
      </c>
      <c r="K36" s="12" t="s">
        <v>2805</v>
      </c>
      <c r="L36" s="12"/>
      <c r="M36" s="4" t="s">
        <v>4429</v>
      </c>
    </row>
    <row r="37" customFormat="false" ht="35.05" hidden="false" customHeight="false" outlineLevel="0" collapsed="false">
      <c r="A37" s="4" t="s">
        <v>4411</v>
      </c>
      <c r="B37" s="12" t="s">
        <v>2765</v>
      </c>
      <c r="C37" s="4" t="s">
        <v>4430</v>
      </c>
      <c r="D37" s="12" t="s">
        <v>2808</v>
      </c>
      <c r="E37" s="12" t="s">
        <v>2831</v>
      </c>
      <c r="F37" s="29" t="n">
        <v>90</v>
      </c>
      <c r="G37" s="29" t="n">
        <v>1</v>
      </c>
      <c r="H37" s="19" t="n">
        <v>50</v>
      </c>
      <c r="I37" s="23" t="n">
        <f aca="false">F37*G37*H37</f>
        <v>4500</v>
      </c>
      <c r="J37" s="12" t="s">
        <v>4416</v>
      </c>
      <c r="K37" s="12" t="s">
        <v>2805</v>
      </c>
      <c r="L37" s="12"/>
      <c r="M37" s="4" t="s">
        <v>4431</v>
      </c>
    </row>
    <row r="38" customFormat="false" ht="23.85" hidden="false" customHeight="false" outlineLevel="0" collapsed="false">
      <c r="A38" s="4" t="s">
        <v>4432</v>
      </c>
      <c r="B38" s="12" t="s">
        <v>2765</v>
      </c>
      <c r="C38" s="4" t="s">
        <v>4433</v>
      </c>
      <c r="D38" s="12" t="s">
        <v>2808</v>
      </c>
      <c r="E38" s="12" t="s">
        <v>2477</v>
      </c>
      <c r="F38" s="29" t="n">
        <v>90</v>
      </c>
      <c r="G38" s="29" t="n">
        <v>1</v>
      </c>
      <c r="H38" s="19" t="n">
        <v>50</v>
      </c>
      <c r="I38" s="23" t="n">
        <f aca="false">F38*G38*H38</f>
        <v>4500</v>
      </c>
      <c r="J38" s="12" t="s">
        <v>4416</v>
      </c>
      <c r="K38" s="12" t="s">
        <v>3655</v>
      </c>
      <c r="L38" s="12" t="s">
        <v>2950</v>
      </c>
      <c r="M38" s="4" t="s">
        <v>4434</v>
      </c>
    </row>
    <row r="39" customFormat="false" ht="23.85" hidden="false" customHeight="false" outlineLevel="0" collapsed="false">
      <c r="A39" s="4" t="s">
        <v>4432</v>
      </c>
      <c r="B39" s="12" t="s">
        <v>2765</v>
      </c>
      <c r="C39" s="4" t="s">
        <v>3318</v>
      </c>
      <c r="D39" s="12" t="s">
        <v>2808</v>
      </c>
      <c r="E39" s="12" t="s">
        <v>2497</v>
      </c>
      <c r="F39" s="29" t="n">
        <v>3</v>
      </c>
      <c r="G39" s="29" t="n">
        <v>1</v>
      </c>
      <c r="H39" s="19" t="n">
        <v>1800</v>
      </c>
      <c r="I39" s="23" t="n">
        <f aca="false">F39*G39*H39</f>
        <v>5400</v>
      </c>
      <c r="J39" s="12" t="s">
        <v>4416</v>
      </c>
      <c r="K39" s="12" t="s">
        <v>2863</v>
      </c>
      <c r="L39" s="12" t="s">
        <v>2796</v>
      </c>
      <c r="M39" s="4"/>
    </row>
    <row r="40" customFormat="false" ht="23.85" hidden="false" customHeight="false" outlineLevel="0" collapsed="false">
      <c r="A40" s="4" t="s">
        <v>4432</v>
      </c>
      <c r="B40" s="12" t="s">
        <v>2765</v>
      </c>
      <c r="C40" s="4" t="s">
        <v>3320</v>
      </c>
      <c r="D40" s="12" t="s">
        <v>2808</v>
      </c>
      <c r="E40" s="12" t="s">
        <v>2497</v>
      </c>
      <c r="F40" s="29" t="n">
        <v>3</v>
      </c>
      <c r="G40" s="29" t="n">
        <v>1</v>
      </c>
      <c r="H40" s="19" t="n">
        <v>1500</v>
      </c>
      <c r="I40" s="23" t="n">
        <f aca="false">F40*G40*H40</f>
        <v>4500</v>
      </c>
      <c r="J40" s="12" t="s">
        <v>4416</v>
      </c>
      <c r="K40" s="12" t="s">
        <v>2834</v>
      </c>
      <c r="L40" s="12" t="s">
        <v>2796</v>
      </c>
      <c r="M40" s="4"/>
    </row>
    <row r="41" customFormat="false" ht="23.85" hidden="false" customHeight="false" outlineLevel="0" collapsed="false">
      <c r="A41" s="4" t="s">
        <v>4432</v>
      </c>
      <c r="B41" s="12" t="s">
        <v>2765</v>
      </c>
      <c r="C41" s="4" t="s">
        <v>3321</v>
      </c>
      <c r="D41" s="12" t="s">
        <v>2808</v>
      </c>
      <c r="E41" s="12" t="s">
        <v>2497</v>
      </c>
      <c r="F41" s="29" t="n">
        <v>3</v>
      </c>
      <c r="G41" s="29" t="n">
        <v>1</v>
      </c>
      <c r="H41" s="19" t="n">
        <v>700</v>
      </c>
      <c r="I41" s="23" t="n">
        <f aca="false">F41*G41*H41</f>
        <v>2100</v>
      </c>
      <c r="J41" s="12" t="s">
        <v>4416</v>
      </c>
      <c r="K41" s="12" t="s">
        <v>2866</v>
      </c>
      <c r="L41" s="12" t="s">
        <v>2796</v>
      </c>
      <c r="M41" s="4"/>
    </row>
    <row r="42" customFormat="false" ht="23.85" hidden="false" customHeight="false" outlineLevel="0" collapsed="false">
      <c r="A42" s="4" t="s">
        <v>4432</v>
      </c>
      <c r="B42" s="12" t="s">
        <v>2765</v>
      </c>
      <c r="C42" s="4" t="s">
        <v>3796</v>
      </c>
      <c r="D42" s="12" t="s">
        <v>2808</v>
      </c>
      <c r="E42" s="12" t="s">
        <v>2497</v>
      </c>
      <c r="F42" s="29" t="n">
        <v>3</v>
      </c>
      <c r="G42" s="29" t="n">
        <v>1</v>
      </c>
      <c r="H42" s="19" t="n">
        <v>650</v>
      </c>
      <c r="I42" s="23" t="n">
        <f aca="false">F42*G42*H42</f>
        <v>1950</v>
      </c>
      <c r="J42" s="12" t="s">
        <v>4416</v>
      </c>
      <c r="K42" s="12" t="s">
        <v>2866</v>
      </c>
      <c r="L42" s="12" t="s">
        <v>2796</v>
      </c>
      <c r="M42" s="4"/>
    </row>
    <row r="43" customFormat="false" ht="23.85" hidden="false" customHeight="false" outlineLevel="0" collapsed="false">
      <c r="A43" s="4" t="s">
        <v>4432</v>
      </c>
      <c r="B43" s="12" t="s">
        <v>2765</v>
      </c>
      <c r="C43" s="4" t="s">
        <v>3322</v>
      </c>
      <c r="D43" s="12" t="s">
        <v>2808</v>
      </c>
      <c r="E43" s="12" t="s">
        <v>2497</v>
      </c>
      <c r="F43" s="29" t="n">
        <v>2</v>
      </c>
      <c r="G43" s="29" t="n">
        <v>1</v>
      </c>
      <c r="H43" s="19" t="n">
        <v>300</v>
      </c>
      <c r="I43" s="23" t="n">
        <f aca="false">F43*G43*H43</f>
        <v>600</v>
      </c>
      <c r="J43" s="12" t="s">
        <v>4416</v>
      </c>
      <c r="K43" s="12" t="s">
        <v>2870</v>
      </c>
      <c r="L43" s="12" t="s">
        <v>2796</v>
      </c>
      <c r="M43" s="4" t="s">
        <v>4435</v>
      </c>
    </row>
    <row r="44" customFormat="false" ht="23.85" hidden="false" customHeight="false" outlineLevel="0" collapsed="false">
      <c r="A44" s="4" t="s">
        <v>4432</v>
      </c>
      <c r="B44" s="12" t="s">
        <v>2765</v>
      </c>
      <c r="C44" s="4" t="s">
        <v>4436</v>
      </c>
      <c r="D44" s="12" t="s">
        <v>2808</v>
      </c>
      <c r="E44" s="12" t="s">
        <v>2497</v>
      </c>
      <c r="F44" s="29" t="n">
        <v>2</v>
      </c>
      <c r="G44" s="29" t="n">
        <v>1</v>
      </c>
      <c r="H44" s="19" t="n">
        <v>2500</v>
      </c>
      <c r="I44" s="23" t="n">
        <f aca="false">F44*G44*H44</f>
        <v>5000</v>
      </c>
      <c r="J44" s="12" t="s">
        <v>4416</v>
      </c>
      <c r="K44" s="12" t="s">
        <v>2828</v>
      </c>
      <c r="L44" s="12" t="s">
        <v>2796</v>
      </c>
      <c r="M44" s="4" t="s">
        <v>4437</v>
      </c>
    </row>
    <row r="45" customFormat="false" ht="23.85" hidden="false" customHeight="false" outlineLevel="0" collapsed="false">
      <c r="A45" s="4" t="s">
        <v>4438</v>
      </c>
      <c r="B45" s="12" t="s">
        <v>2765</v>
      </c>
      <c r="C45" s="4" t="s">
        <v>4439</v>
      </c>
      <c r="D45" s="12" t="s">
        <v>2808</v>
      </c>
      <c r="E45" s="12" t="s">
        <v>2497</v>
      </c>
      <c r="F45" s="29" t="n">
        <v>3</v>
      </c>
      <c r="G45" s="29" t="n">
        <v>1</v>
      </c>
      <c r="H45" s="19" t="n">
        <v>500</v>
      </c>
      <c r="I45" s="23" t="n">
        <f aca="false">F45*G45*H45</f>
        <v>1500</v>
      </c>
      <c r="J45" s="12" t="s">
        <v>4416</v>
      </c>
      <c r="K45" s="12" t="s">
        <v>3017</v>
      </c>
      <c r="L45" s="12" t="s">
        <v>2950</v>
      </c>
      <c r="M45" s="4" t="s">
        <v>4440</v>
      </c>
    </row>
    <row r="46" customFormat="false" ht="23.85" hidden="false" customHeight="false" outlineLevel="0" collapsed="false">
      <c r="A46" s="4" t="s">
        <v>4438</v>
      </c>
      <c r="B46" s="12" t="s">
        <v>2765</v>
      </c>
      <c r="C46" s="4" t="s">
        <v>4441</v>
      </c>
      <c r="D46" s="12" t="s">
        <v>2882</v>
      </c>
      <c r="E46" s="12" t="s">
        <v>2601</v>
      </c>
      <c r="F46" s="29" t="n">
        <v>1</v>
      </c>
      <c r="G46" s="29" t="n">
        <v>1</v>
      </c>
      <c r="H46" s="19" t="n">
        <v>3526</v>
      </c>
      <c r="I46" s="23" t="n">
        <f aca="false">F46*G46*H46</f>
        <v>3526</v>
      </c>
      <c r="J46" s="12" t="s">
        <v>4416</v>
      </c>
      <c r="K46" s="12" t="s">
        <v>2805</v>
      </c>
      <c r="L46" s="12"/>
      <c r="M46" s="4" t="s">
        <v>4442</v>
      </c>
    </row>
    <row r="47" customFormat="false" ht="23.85" hidden="false" customHeight="false" outlineLevel="0" collapsed="false">
      <c r="A47" s="4" t="s">
        <v>4432</v>
      </c>
      <c r="B47" s="12" t="s">
        <v>2765</v>
      </c>
      <c r="C47" s="4" t="s">
        <v>4443</v>
      </c>
      <c r="D47" s="12" t="s">
        <v>2808</v>
      </c>
      <c r="E47" s="12" t="s">
        <v>2683</v>
      </c>
      <c r="F47" s="29" t="n">
        <v>1</v>
      </c>
      <c r="G47" s="29" t="n">
        <v>1</v>
      </c>
      <c r="H47" s="19" t="n">
        <v>1500</v>
      </c>
      <c r="I47" s="23" t="n">
        <f aca="false">F47*G47*H47</f>
        <v>1500</v>
      </c>
      <c r="J47" s="12" t="s">
        <v>4416</v>
      </c>
      <c r="K47" s="12" t="s">
        <v>2845</v>
      </c>
      <c r="L47" s="12" t="s">
        <v>2796</v>
      </c>
      <c r="M47" s="4"/>
    </row>
    <row r="48" customFormat="false" ht="23.85" hidden="false" customHeight="false" outlineLevel="0" collapsed="false">
      <c r="A48" s="4" t="s">
        <v>4432</v>
      </c>
      <c r="B48" s="12" t="s">
        <v>2765</v>
      </c>
      <c r="C48" s="4" t="s">
        <v>4444</v>
      </c>
      <c r="D48" s="12" t="s">
        <v>2882</v>
      </c>
      <c r="E48" s="12" t="s">
        <v>2601</v>
      </c>
      <c r="F48" s="29" t="n">
        <v>1</v>
      </c>
      <c r="G48" s="29" t="n">
        <v>1</v>
      </c>
      <c r="H48" s="19" t="n">
        <v>1000</v>
      </c>
      <c r="I48" s="23" t="n">
        <f aca="false">F48*G48*H48</f>
        <v>1000</v>
      </c>
      <c r="J48" s="12" t="s">
        <v>4416</v>
      </c>
      <c r="K48" s="12" t="s">
        <v>2805</v>
      </c>
      <c r="L48" s="12"/>
      <c r="M48" s="4" t="s">
        <v>4445</v>
      </c>
    </row>
    <row r="49" customFormat="false" ht="23.85" hidden="false" customHeight="false" outlineLevel="0" collapsed="false">
      <c r="A49" s="4" t="s">
        <v>4446</v>
      </c>
      <c r="B49" s="12" t="s">
        <v>2765</v>
      </c>
      <c r="C49" s="4" t="s">
        <v>4447</v>
      </c>
      <c r="D49" s="12" t="s">
        <v>2808</v>
      </c>
      <c r="E49" s="12" t="s">
        <v>2497</v>
      </c>
      <c r="F49" s="29" t="n">
        <v>4</v>
      </c>
      <c r="G49" s="29" t="n">
        <v>1</v>
      </c>
      <c r="H49" s="19" t="n">
        <v>1300</v>
      </c>
      <c r="I49" s="23" t="n">
        <f aca="false">F49*G49*H49</f>
        <v>5200</v>
      </c>
      <c r="J49" s="12" t="s">
        <v>4416</v>
      </c>
      <c r="K49" s="12" t="s">
        <v>2851</v>
      </c>
      <c r="L49" s="12" t="s">
        <v>2796</v>
      </c>
      <c r="M49" s="4" t="s">
        <v>4448</v>
      </c>
    </row>
    <row r="50" customFormat="false" ht="23.85" hidden="false" customHeight="false" outlineLevel="0" collapsed="false">
      <c r="A50" s="4" t="s">
        <v>4446</v>
      </c>
      <c r="B50" s="12" t="s">
        <v>2765</v>
      </c>
      <c r="C50" s="4" t="s">
        <v>2613</v>
      </c>
      <c r="D50" s="12" t="s">
        <v>2808</v>
      </c>
      <c r="E50" s="12" t="s">
        <v>2497</v>
      </c>
      <c r="F50" s="29" t="n">
        <v>3</v>
      </c>
      <c r="G50" s="29" t="n">
        <v>1</v>
      </c>
      <c r="H50" s="19" t="n">
        <v>900</v>
      </c>
      <c r="I50" s="23" t="n">
        <f aca="false">F50*G50*H50</f>
        <v>2700</v>
      </c>
      <c r="J50" s="12" t="s">
        <v>4416</v>
      </c>
      <c r="K50" s="12" t="s">
        <v>2848</v>
      </c>
      <c r="L50" s="12" t="s">
        <v>2796</v>
      </c>
      <c r="M50" s="4"/>
    </row>
    <row r="51" customFormat="false" ht="23.85" hidden="false" customHeight="false" outlineLevel="0" collapsed="false">
      <c r="A51" s="4" t="s">
        <v>4240</v>
      </c>
      <c r="B51" s="12" t="s">
        <v>2766</v>
      </c>
      <c r="C51" s="4" t="s">
        <v>4449</v>
      </c>
      <c r="D51" s="12" t="s">
        <v>2793</v>
      </c>
      <c r="E51" s="12" t="s">
        <v>2484</v>
      </c>
      <c r="F51" s="29" t="n">
        <v>1</v>
      </c>
      <c r="G51" s="29" t="n">
        <v>2</v>
      </c>
      <c r="H51" s="19" t="n">
        <v>2200</v>
      </c>
      <c r="I51" s="23" t="n">
        <f aca="false">F51*G51*H51</f>
        <v>4400</v>
      </c>
      <c r="J51" s="12" t="s">
        <v>2794</v>
      </c>
      <c r="K51" s="12" t="s">
        <v>2795</v>
      </c>
      <c r="L51" s="12" t="s">
        <v>2950</v>
      </c>
      <c r="M51" s="4"/>
    </row>
    <row r="52" customFormat="false" ht="23.85" hidden="false" customHeight="false" outlineLevel="0" collapsed="false">
      <c r="A52" s="4" t="s">
        <v>4446</v>
      </c>
      <c r="B52" s="12" t="s">
        <v>2766</v>
      </c>
      <c r="C52" s="4" t="s">
        <v>4450</v>
      </c>
      <c r="D52" s="12" t="s">
        <v>2804</v>
      </c>
      <c r="E52" s="12" t="s">
        <v>2597</v>
      </c>
      <c r="F52" s="29" t="n">
        <v>1</v>
      </c>
      <c r="G52" s="29" t="n">
        <v>1</v>
      </c>
      <c r="H52" s="19" t="n">
        <v>3000</v>
      </c>
      <c r="I52" s="23" t="n">
        <f aca="false">F52*G52*H52</f>
        <v>3000</v>
      </c>
      <c r="J52" s="12" t="s">
        <v>2794</v>
      </c>
      <c r="K52" s="12" t="s">
        <v>2891</v>
      </c>
      <c r="L52" s="12" t="s">
        <v>2796</v>
      </c>
      <c r="M52" s="4" t="s">
        <v>4451</v>
      </c>
    </row>
    <row r="53" customFormat="false" ht="35.05" hidden="false" customHeight="false" outlineLevel="0" collapsed="false">
      <c r="A53" s="4" t="s">
        <v>4240</v>
      </c>
      <c r="B53" s="12" t="s">
        <v>2768</v>
      </c>
      <c r="C53" s="4" t="s">
        <v>2911</v>
      </c>
      <c r="D53" s="12" t="s">
        <v>2882</v>
      </c>
      <c r="E53" s="12" t="s">
        <v>2601</v>
      </c>
      <c r="F53" s="29" t="n">
        <v>1</v>
      </c>
      <c r="G53" s="29" t="n">
        <v>1</v>
      </c>
      <c r="H53" s="19" t="n">
        <v>5664</v>
      </c>
      <c r="I53" s="23" t="n">
        <f aca="false">F53*G53*H53</f>
        <v>5664</v>
      </c>
      <c r="J53" s="12" t="s">
        <v>2794</v>
      </c>
      <c r="K53" s="12" t="s">
        <v>2805</v>
      </c>
      <c r="L53" s="12"/>
      <c r="M53" s="4" t="s">
        <v>4452</v>
      </c>
    </row>
    <row r="54" customFormat="false" ht="15" hidden="false" customHeight="false" outlineLevel="0" collapsed="false">
      <c r="A54" s="4" t="s">
        <v>4240</v>
      </c>
      <c r="B54" s="12" t="s">
        <v>2767</v>
      </c>
      <c r="C54" s="4" t="s">
        <v>2893</v>
      </c>
      <c r="D54" s="12" t="s">
        <v>2793</v>
      </c>
      <c r="E54" s="12" t="s">
        <v>2484</v>
      </c>
      <c r="F54" s="29" t="n">
        <v>1</v>
      </c>
      <c r="G54" s="29" t="n">
        <v>8</v>
      </c>
      <c r="H54" s="19" t="n">
        <v>1200</v>
      </c>
      <c r="I54" s="23" t="n">
        <f aca="false">F54*G54*H54</f>
        <v>9600</v>
      </c>
      <c r="J54" s="12" t="s">
        <v>2794</v>
      </c>
      <c r="K54" s="12" t="s">
        <v>2894</v>
      </c>
      <c r="L54" s="12" t="s">
        <v>2796</v>
      </c>
      <c r="M54" s="4" t="s">
        <v>4453</v>
      </c>
    </row>
    <row r="55" customFormat="false" ht="23.85" hidden="false" customHeight="false" outlineLevel="0" collapsed="false">
      <c r="A55" s="4" t="s">
        <v>4240</v>
      </c>
      <c r="B55" s="12" t="s">
        <v>2767</v>
      </c>
      <c r="C55" s="4" t="s">
        <v>4454</v>
      </c>
      <c r="D55" s="12" t="s">
        <v>2793</v>
      </c>
      <c r="E55" s="12" t="s">
        <v>2484</v>
      </c>
      <c r="F55" s="29" t="n">
        <v>1</v>
      </c>
      <c r="G55" s="29" t="n">
        <v>1</v>
      </c>
      <c r="H55" s="19" t="n">
        <v>2000</v>
      </c>
      <c r="I55" s="23" t="n">
        <f aca="false">F55*G55*H55</f>
        <v>2000</v>
      </c>
      <c r="J55" s="12" t="s">
        <v>2794</v>
      </c>
      <c r="K55" s="12" t="s">
        <v>2891</v>
      </c>
      <c r="L55" s="12" t="s">
        <v>2796</v>
      </c>
      <c r="M55" s="4"/>
    </row>
    <row r="56" customFormat="false" ht="35.05" hidden="false" customHeight="false" outlineLevel="0" collapsed="false">
      <c r="A56" s="4" t="s">
        <v>4411</v>
      </c>
      <c r="B56" s="12" t="s">
        <v>2765</v>
      </c>
      <c r="C56" s="4" t="s">
        <v>3714</v>
      </c>
      <c r="D56" s="12" t="s">
        <v>2808</v>
      </c>
      <c r="E56" s="12" t="s">
        <v>2497</v>
      </c>
      <c r="F56" s="29" t="n">
        <v>3</v>
      </c>
      <c r="G56" s="29" t="n">
        <v>1</v>
      </c>
      <c r="H56" s="19" t="n">
        <v>1300</v>
      </c>
      <c r="I56" s="23" t="n">
        <f aca="false">F56*G56*H56</f>
        <v>3900</v>
      </c>
      <c r="J56" s="12" t="s">
        <v>4416</v>
      </c>
      <c r="K56" s="12" t="s">
        <v>2805</v>
      </c>
      <c r="L56" s="12"/>
      <c r="M56" s="4" t="s">
        <v>3234</v>
      </c>
    </row>
    <row r="57" customFormat="false" ht="35.05" hidden="false" customHeight="false" outlineLevel="0" collapsed="false">
      <c r="A57" s="4" t="s">
        <v>4411</v>
      </c>
      <c r="B57" s="12" t="s">
        <v>2765</v>
      </c>
      <c r="C57" s="4" t="s">
        <v>4455</v>
      </c>
      <c r="D57" s="12" t="s">
        <v>2808</v>
      </c>
      <c r="E57" s="12" t="s">
        <v>2702</v>
      </c>
      <c r="F57" s="29" t="n">
        <v>8</v>
      </c>
      <c r="G57" s="29" t="n">
        <v>1</v>
      </c>
      <c r="H57" s="19" t="n">
        <v>180</v>
      </c>
      <c r="I57" s="23" t="n">
        <f aca="false">F57*G57*H57</f>
        <v>1440</v>
      </c>
      <c r="J57" s="12" t="s">
        <v>4416</v>
      </c>
      <c r="K57" s="12" t="s">
        <v>2899</v>
      </c>
      <c r="L57" s="12" t="s">
        <v>2796</v>
      </c>
      <c r="M57" s="4" t="s">
        <v>3234</v>
      </c>
    </row>
    <row r="58" customFormat="false" ht="35.05" hidden="false" customHeight="false" outlineLevel="0" collapsed="false">
      <c r="A58" s="4" t="s">
        <v>4411</v>
      </c>
      <c r="B58" s="12" t="s">
        <v>2765</v>
      </c>
      <c r="C58" s="4" t="s">
        <v>4456</v>
      </c>
      <c r="D58" s="12" t="s">
        <v>2804</v>
      </c>
      <c r="E58" s="12" t="s">
        <v>2597</v>
      </c>
      <c r="F58" s="29" t="n">
        <v>3</v>
      </c>
      <c r="G58" s="29" t="n">
        <v>1</v>
      </c>
      <c r="H58" s="19" t="n">
        <v>2000</v>
      </c>
      <c r="I58" s="23" t="n">
        <f aca="false">F58*G58*H58</f>
        <v>6000</v>
      </c>
      <c r="J58" s="12" t="s">
        <v>4416</v>
      </c>
      <c r="K58" s="12" t="s">
        <v>2902</v>
      </c>
      <c r="L58" s="12" t="s">
        <v>2950</v>
      </c>
      <c r="M58" s="4" t="s">
        <v>4457</v>
      </c>
    </row>
    <row r="59" customFormat="false" ht="35.05" hidden="false" customHeight="false" outlineLevel="0" collapsed="false">
      <c r="A59" s="4" t="s">
        <v>4411</v>
      </c>
      <c r="B59" s="12" t="s">
        <v>2765</v>
      </c>
      <c r="C59" s="4" t="s">
        <v>4458</v>
      </c>
      <c r="D59" s="12" t="s">
        <v>2804</v>
      </c>
      <c r="E59" s="12" t="s">
        <v>2597</v>
      </c>
      <c r="F59" s="29" t="n">
        <v>1</v>
      </c>
      <c r="G59" s="29" t="n">
        <v>1</v>
      </c>
      <c r="H59" s="19" t="n">
        <v>1500</v>
      </c>
      <c r="I59" s="23" t="n">
        <f aca="false">F59*G59*H59</f>
        <v>1500</v>
      </c>
      <c r="J59" s="12" t="s">
        <v>2794</v>
      </c>
      <c r="K59" s="12" t="s">
        <v>2805</v>
      </c>
      <c r="L59" s="12"/>
      <c r="M59" s="4" t="s">
        <v>4459</v>
      </c>
    </row>
    <row r="60" customFormat="false" ht="35.05" hidden="false" customHeight="false" outlineLevel="0" collapsed="false">
      <c r="A60" s="4" t="s">
        <v>4411</v>
      </c>
      <c r="B60" s="12" t="s">
        <v>2765</v>
      </c>
      <c r="C60" s="4" t="s">
        <v>4460</v>
      </c>
      <c r="D60" s="12" t="s">
        <v>2808</v>
      </c>
      <c r="E60" s="12" t="s">
        <v>2477</v>
      </c>
      <c r="F60" s="29" t="n">
        <v>30</v>
      </c>
      <c r="G60" s="29" t="n">
        <v>1</v>
      </c>
      <c r="H60" s="19" t="n">
        <v>25</v>
      </c>
      <c r="I60" s="23" t="n">
        <f aca="false">F60*G60*H60</f>
        <v>750</v>
      </c>
      <c r="J60" s="12" t="s">
        <v>4416</v>
      </c>
      <c r="K60" s="12" t="s">
        <v>2805</v>
      </c>
      <c r="L60" s="12"/>
      <c r="M60" s="4" t="s">
        <v>3234</v>
      </c>
    </row>
    <row r="61" customFormat="false" ht="15" hidden="false" customHeight="false" outlineLevel="0" collapsed="false">
      <c r="H61" s="10" t="s">
        <v>134</v>
      </c>
      <c r="I61" s="11" t="n">
        <f aca="false">SUM(I26:I60)</f>
        <v>157470</v>
      </c>
    </row>
    <row r="63" customFormat="false" ht="15" hidden="false" customHeight="false" outlineLevel="0" collapsed="false">
      <c r="A63" s="22" t="s">
        <v>2913</v>
      </c>
    </row>
    <row r="64" customFormat="false" ht="23.85" hidden="false" customHeight="false" outlineLevel="0" collapsed="false">
      <c r="A64" s="3" t="s">
        <v>2914</v>
      </c>
      <c r="B64" s="3" t="s">
        <v>2915</v>
      </c>
      <c r="C64" s="3" t="s">
        <v>2780</v>
      </c>
      <c r="D64" s="3" t="s">
        <v>2781</v>
      </c>
      <c r="E64" s="3" t="s">
        <v>2782</v>
      </c>
      <c r="F64" s="3" t="s">
        <v>2783</v>
      </c>
      <c r="G64" s="3" t="s">
        <v>2784</v>
      </c>
      <c r="H64" s="3" t="s">
        <v>2785</v>
      </c>
      <c r="I64" s="3" t="s">
        <v>2786</v>
      </c>
      <c r="J64" s="3" t="s">
        <v>1393</v>
      </c>
      <c r="K64" s="3" t="s">
        <v>2916</v>
      </c>
      <c r="L64" s="3" t="s">
        <v>2789</v>
      </c>
      <c r="M64" s="3" t="s">
        <v>368</v>
      </c>
    </row>
    <row r="65" customFormat="false" ht="15" hidden="false" customHeight="false" outlineLevel="0" collapsed="false">
      <c r="A65" s="4" t="s">
        <v>4240</v>
      </c>
      <c r="B65" s="12" t="s">
        <v>2918</v>
      </c>
      <c r="C65" s="4" t="s">
        <v>2919</v>
      </c>
      <c r="D65" s="12" t="s">
        <v>2804</v>
      </c>
      <c r="E65" s="12" t="s">
        <v>2597</v>
      </c>
      <c r="F65" s="30" t="n">
        <v>1</v>
      </c>
      <c r="G65" s="30" t="n">
        <v>1</v>
      </c>
      <c r="H65" s="19" t="n">
        <v>6000</v>
      </c>
      <c r="I65" s="23" t="n">
        <f aca="false">F65*G65*H65</f>
        <v>6000</v>
      </c>
      <c r="J65" s="12" t="s">
        <v>2794</v>
      </c>
      <c r="K65" s="12" t="s">
        <v>2920</v>
      </c>
      <c r="L65" s="12" t="s">
        <v>2796</v>
      </c>
      <c r="M65" s="4" t="s">
        <v>4461</v>
      </c>
    </row>
    <row r="66" customFormat="false" ht="15" hidden="false" customHeight="false" outlineLevel="0" collapsed="false">
      <c r="A66" s="4" t="s">
        <v>4240</v>
      </c>
      <c r="B66" s="12" t="s">
        <v>2918</v>
      </c>
      <c r="C66" s="4" t="s">
        <v>2922</v>
      </c>
      <c r="D66" s="12" t="s">
        <v>2804</v>
      </c>
      <c r="E66" s="12" t="s">
        <v>2597</v>
      </c>
      <c r="F66" s="30" t="n">
        <v>1</v>
      </c>
      <c r="G66" s="30" t="n">
        <v>1</v>
      </c>
      <c r="H66" s="19" t="n">
        <v>5000</v>
      </c>
      <c r="I66" s="23" t="n">
        <f aca="false">F66*G66*H66</f>
        <v>5000</v>
      </c>
      <c r="J66" s="12" t="s">
        <v>2794</v>
      </c>
      <c r="K66" s="12" t="s">
        <v>2805</v>
      </c>
      <c r="L66" s="12"/>
      <c r="M66" s="4"/>
    </row>
    <row r="67" customFormat="false" ht="15" hidden="false" customHeight="false" outlineLevel="0" collapsed="false">
      <c r="A67" s="4" t="s">
        <v>4240</v>
      </c>
      <c r="B67" s="12" t="s">
        <v>2918</v>
      </c>
      <c r="C67" s="4" t="s">
        <v>2926</v>
      </c>
      <c r="D67" s="12" t="s">
        <v>2793</v>
      </c>
      <c r="E67" s="12" t="s">
        <v>2484</v>
      </c>
      <c r="F67" s="30" t="n">
        <v>1</v>
      </c>
      <c r="G67" s="30" t="n">
        <v>8</v>
      </c>
      <c r="H67" s="19" t="n">
        <v>80</v>
      </c>
      <c r="I67" s="23" t="n">
        <f aca="false">F67*G67*H67</f>
        <v>640</v>
      </c>
      <c r="J67" s="12" t="s">
        <v>2794</v>
      </c>
      <c r="K67" s="12" t="s">
        <v>2805</v>
      </c>
      <c r="L67" s="12"/>
      <c r="M67" s="4"/>
    </row>
    <row r="68" customFormat="false" ht="15" hidden="false" customHeight="false" outlineLevel="0" collapsed="false">
      <c r="A68" s="4" t="s">
        <v>4240</v>
      </c>
      <c r="B68" s="12" t="s">
        <v>2918</v>
      </c>
      <c r="C68" s="4" t="s">
        <v>2928</v>
      </c>
      <c r="D68" s="12" t="s">
        <v>2882</v>
      </c>
      <c r="E68" s="12" t="s">
        <v>2601</v>
      </c>
      <c r="F68" s="30" t="n">
        <v>1</v>
      </c>
      <c r="G68" s="30" t="n">
        <v>1</v>
      </c>
      <c r="H68" s="19" t="n">
        <v>600</v>
      </c>
      <c r="I68" s="23" t="n">
        <f aca="false">F68*G68*H68</f>
        <v>600</v>
      </c>
      <c r="J68" s="12" t="s">
        <v>2794</v>
      </c>
      <c r="K68" s="12" t="s">
        <v>2805</v>
      </c>
      <c r="L68" s="12"/>
      <c r="M68" s="4" t="s">
        <v>4462</v>
      </c>
    </row>
    <row r="69" customFormat="false" ht="15" hidden="false" customHeight="false" outlineLevel="0" collapsed="false">
      <c r="A69" s="4" t="s">
        <v>4310</v>
      </c>
      <c r="B69" s="12" t="s">
        <v>2930</v>
      </c>
      <c r="C69" s="4" t="s">
        <v>3823</v>
      </c>
      <c r="D69" s="12" t="s">
        <v>2793</v>
      </c>
      <c r="E69" s="12" t="s">
        <v>2484</v>
      </c>
      <c r="F69" s="30" t="n">
        <v>1</v>
      </c>
      <c r="G69" s="30" t="n">
        <v>1</v>
      </c>
      <c r="H69" s="19" t="n">
        <v>4000</v>
      </c>
      <c r="I69" s="23" t="n">
        <f aca="false">F69*G69*H69</f>
        <v>4000</v>
      </c>
      <c r="J69" s="12" t="s">
        <v>2794</v>
      </c>
      <c r="K69" s="12" t="s">
        <v>2805</v>
      </c>
      <c r="L69" s="12"/>
      <c r="M69" s="4" t="s">
        <v>4463</v>
      </c>
    </row>
    <row r="70" customFormat="false" ht="23.85" hidden="false" customHeight="false" outlineLevel="0" collapsed="false">
      <c r="A70" s="4" t="s">
        <v>4310</v>
      </c>
      <c r="B70" s="12" t="s">
        <v>2930</v>
      </c>
      <c r="C70" s="4" t="s">
        <v>4312</v>
      </c>
      <c r="D70" s="12" t="s">
        <v>2808</v>
      </c>
      <c r="E70" s="12" t="s">
        <v>2497</v>
      </c>
      <c r="F70" s="30" t="n">
        <v>6</v>
      </c>
      <c r="G70" s="30" t="n">
        <v>1</v>
      </c>
      <c r="H70" s="19" t="n">
        <v>250</v>
      </c>
      <c r="I70" s="23" t="n">
        <f aca="false">F70*G70*H70</f>
        <v>1500</v>
      </c>
      <c r="J70" s="12" t="s">
        <v>4416</v>
      </c>
      <c r="K70" s="12" t="s">
        <v>2934</v>
      </c>
      <c r="L70" s="12" t="s">
        <v>2796</v>
      </c>
      <c r="M70" s="4" t="s">
        <v>4464</v>
      </c>
    </row>
    <row r="71" customFormat="false" ht="15" hidden="false" customHeight="false" outlineLevel="0" collapsed="false">
      <c r="A71" s="4" t="s">
        <v>4310</v>
      </c>
      <c r="B71" s="12" t="s">
        <v>2930</v>
      </c>
      <c r="C71" s="4" t="s">
        <v>4132</v>
      </c>
      <c r="D71" s="12" t="s">
        <v>2804</v>
      </c>
      <c r="E71" s="12" t="s">
        <v>2597</v>
      </c>
      <c r="F71" s="30" t="n">
        <v>1</v>
      </c>
      <c r="G71" s="30" t="n">
        <v>1</v>
      </c>
      <c r="H71" s="19" t="n">
        <v>4000</v>
      </c>
      <c r="I71" s="23" t="n">
        <f aca="false">F71*G71*H71</f>
        <v>4000</v>
      </c>
      <c r="J71" s="12" t="s">
        <v>2794</v>
      </c>
      <c r="K71" s="12" t="s">
        <v>2937</v>
      </c>
      <c r="L71" s="12" t="s">
        <v>2796</v>
      </c>
      <c r="M71" s="4"/>
    </row>
    <row r="72" customFormat="false" ht="15" hidden="false" customHeight="false" outlineLevel="0" collapsed="false">
      <c r="A72" s="4" t="s">
        <v>4310</v>
      </c>
      <c r="B72" s="12" t="s">
        <v>2930</v>
      </c>
      <c r="C72" s="4" t="s">
        <v>3365</v>
      </c>
      <c r="D72" s="12" t="s">
        <v>2793</v>
      </c>
      <c r="E72" s="12" t="s">
        <v>2484</v>
      </c>
      <c r="F72" s="30" t="n">
        <v>1</v>
      </c>
      <c r="G72" s="30" t="n">
        <v>1</v>
      </c>
      <c r="H72" s="19" t="n">
        <v>3800</v>
      </c>
      <c r="I72" s="23" t="n">
        <f aca="false">F72*G72*H72</f>
        <v>3800</v>
      </c>
      <c r="J72" s="12" t="s">
        <v>2794</v>
      </c>
      <c r="K72" s="12" t="s">
        <v>2909</v>
      </c>
      <c r="L72" s="12" t="s">
        <v>2796</v>
      </c>
      <c r="M72" s="4" t="s">
        <v>4465</v>
      </c>
    </row>
    <row r="73" customFormat="false" ht="15" hidden="false" customHeight="false" outlineLevel="0" collapsed="false">
      <c r="A73" s="4" t="s">
        <v>4310</v>
      </c>
      <c r="B73" s="12" t="s">
        <v>2930</v>
      </c>
      <c r="C73" s="4" t="s">
        <v>2944</v>
      </c>
      <c r="D73" s="12" t="s">
        <v>2808</v>
      </c>
      <c r="E73" s="12" t="s">
        <v>2477</v>
      </c>
      <c r="F73" s="30" t="n">
        <v>200</v>
      </c>
      <c r="G73" s="30" t="n">
        <v>1</v>
      </c>
      <c r="H73" s="19" t="n">
        <v>2.5</v>
      </c>
      <c r="I73" s="23" t="n">
        <f aca="false">F73*G73*H73</f>
        <v>500</v>
      </c>
      <c r="J73" s="12" t="s">
        <v>4416</v>
      </c>
      <c r="K73" s="12" t="s">
        <v>2805</v>
      </c>
      <c r="L73" s="12"/>
      <c r="M73" s="4" t="s">
        <v>4466</v>
      </c>
    </row>
    <row r="75" customFormat="false" ht="15" hidden="false" customHeight="false" outlineLevel="0" collapsed="false">
      <c r="A75" s="10" t="s">
        <v>2952</v>
      </c>
      <c r="B75" s="23" t="n">
        <f aca="false">SUMIFS($I$65:$I$73,$B$65:$B$73,"Custos de administração")</f>
        <v>12240</v>
      </c>
      <c r="C75" s="13" t="n">
        <f aca="false">B17</f>
        <v>12597.6</v>
      </c>
      <c r="D75" s="23" t="n">
        <f aca="false">C75-B75</f>
        <v>357.6</v>
      </c>
      <c r="E75" s="12" t="str">
        <f aca="false">IF(D75&gt;=0,"OK","EXCEDE")</f>
        <v>OK</v>
      </c>
    </row>
    <row r="76" customFormat="false" ht="15" hidden="false" customHeight="false" outlineLevel="0" collapsed="false">
      <c r="A76" s="10" t="s">
        <v>2953</v>
      </c>
      <c r="B76" s="23" t="n">
        <f aca="false">SUMIFS($I$65:$I$73,$B$65:$B$73,"Custos de acessibilidade, comunicação e divulgação")</f>
        <v>13800</v>
      </c>
      <c r="C76" s="13" t="n">
        <f aca="false">B18</f>
        <v>14172.3</v>
      </c>
      <c r="D76" s="23" t="n">
        <f aca="false">C76-B76</f>
        <v>372.299999999999</v>
      </c>
      <c r="E76" s="12" t="str">
        <f aca="false">IF(D76&gt;=0,"OK","EXCEDE")</f>
        <v>OK</v>
      </c>
    </row>
    <row r="77" customFormat="false" ht="15" hidden="false" customHeight="false" outlineLevel="0" collapsed="false">
      <c r="A77" s="14" t="s">
        <v>2954</v>
      </c>
    </row>
    <row r="79" customFormat="false" ht="15" hidden="false" customHeight="false" outlineLevel="0" collapsed="false">
      <c r="A79" s="22" t="s">
        <v>2955</v>
      </c>
    </row>
    <row r="80" customFormat="false" ht="30" hidden="false" customHeight="true" outlineLevel="0" collapsed="false">
      <c r="A80" s="21" t="s">
        <v>4467</v>
      </c>
      <c r="B80" s="21"/>
      <c r="C80" s="21"/>
      <c r="D80" s="21"/>
      <c r="E80" s="21"/>
      <c r="F80" s="21"/>
      <c r="G80" s="21"/>
      <c r="H80" s="21"/>
      <c r="I80" s="21"/>
      <c r="J80" s="21"/>
      <c r="K80" s="21"/>
      <c r="L80" s="21"/>
      <c r="M80" s="21"/>
    </row>
    <row r="81" customFormat="false" ht="30" hidden="false" customHeight="true" outlineLevel="0" collapsed="false">
      <c r="A81" s="21" t="s">
        <v>4468</v>
      </c>
      <c r="B81" s="21"/>
      <c r="C81" s="21"/>
      <c r="D81" s="21"/>
      <c r="E81" s="21"/>
      <c r="F81" s="21"/>
      <c r="G81" s="21"/>
      <c r="H81" s="21"/>
      <c r="I81" s="21"/>
      <c r="J81" s="21"/>
      <c r="K81" s="21"/>
      <c r="L81" s="21"/>
      <c r="M81" s="21"/>
    </row>
    <row r="82" customFormat="false" ht="30" hidden="false" customHeight="true" outlineLevel="0" collapsed="false">
      <c r="A82" s="21" t="s">
        <v>4469</v>
      </c>
      <c r="B82" s="21"/>
      <c r="C82" s="21"/>
      <c r="D82" s="21"/>
      <c r="E82" s="21"/>
      <c r="F82" s="21"/>
      <c r="G82" s="21"/>
      <c r="H82" s="21"/>
      <c r="I82" s="21"/>
      <c r="J82" s="21"/>
      <c r="K82" s="21"/>
      <c r="L82" s="21"/>
      <c r="M82" s="21"/>
    </row>
    <row r="83" customFormat="false" ht="30" hidden="false" customHeight="true" outlineLevel="0" collapsed="false">
      <c r="A83" s="21" t="s">
        <v>4470</v>
      </c>
      <c r="B83" s="21"/>
      <c r="C83" s="21"/>
      <c r="D83" s="21"/>
      <c r="E83" s="21"/>
      <c r="F83" s="21"/>
      <c r="G83" s="21"/>
      <c r="H83" s="21"/>
      <c r="I83" s="21"/>
      <c r="J83" s="21"/>
      <c r="K83" s="21"/>
      <c r="L83" s="21"/>
      <c r="M83" s="21"/>
    </row>
    <row r="84" customFormat="false" ht="30" hidden="false" customHeight="true" outlineLevel="0" collapsed="false">
      <c r="A84" s="21" t="s">
        <v>4471</v>
      </c>
      <c r="B84" s="21"/>
      <c r="C84" s="21"/>
      <c r="D84" s="21"/>
      <c r="E84" s="21"/>
      <c r="F84" s="21"/>
      <c r="G84" s="21"/>
      <c r="H84" s="21"/>
      <c r="I84" s="21"/>
      <c r="J84" s="21"/>
      <c r="K84" s="21"/>
      <c r="L84" s="21"/>
      <c r="M84" s="21"/>
    </row>
    <row r="85" customFormat="false" ht="30" hidden="false" customHeight="true" outlineLevel="0" collapsed="false">
      <c r="A85" s="21" t="s">
        <v>4472</v>
      </c>
      <c r="B85" s="21"/>
      <c r="C85" s="21"/>
      <c r="D85" s="21"/>
      <c r="E85" s="21"/>
      <c r="F85" s="21"/>
      <c r="G85" s="21"/>
      <c r="H85" s="21"/>
      <c r="I85" s="21"/>
      <c r="J85" s="21"/>
      <c r="K85" s="21"/>
      <c r="L85" s="21"/>
      <c r="M85" s="21"/>
    </row>
    <row r="86" customFormat="false" ht="30" hidden="false" customHeight="true" outlineLevel="0" collapsed="false">
      <c r="A86" s="21" t="s">
        <v>4473</v>
      </c>
      <c r="B86" s="21"/>
      <c r="C86" s="21"/>
      <c r="D86" s="21"/>
      <c r="E86" s="21"/>
      <c r="F86" s="21"/>
      <c r="G86" s="21"/>
      <c r="H86" s="21"/>
      <c r="I86" s="21"/>
      <c r="J86" s="21"/>
      <c r="K86" s="21"/>
      <c r="L86" s="21"/>
      <c r="M86" s="21"/>
    </row>
    <row r="87" customFormat="false" ht="15" hidden="false" customHeight="true" outlineLevel="0" collapsed="false">
      <c r="A87" s="21" t="s">
        <v>4474</v>
      </c>
      <c r="B87" s="21"/>
      <c r="C87" s="21"/>
      <c r="D87" s="21"/>
      <c r="E87" s="21"/>
      <c r="F87" s="21"/>
      <c r="G87" s="21"/>
      <c r="H87" s="21"/>
      <c r="I87" s="21"/>
      <c r="J87" s="21"/>
      <c r="K87" s="21"/>
      <c r="L87" s="21"/>
      <c r="M87" s="21"/>
    </row>
    <row r="89" customFormat="false" ht="15" hidden="false" customHeight="false" outlineLevel="0" collapsed="false">
      <c r="A89" s="22" t="s">
        <v>2964</v>
      </c>
      <c r="B89" s="19" t="n">
        <v>40000</v>
      </c>
    </row>
    <row r="90" customFormat="false" ht="75" hidden="false" customHeight="true" outlineLevel="0" collapsed="false">
      <c r="A90" s="21" t="s">
        <v>4475</v>
      </c>
      <c r="B90" s="21"/>
      <c r="C90" s="21"/>
      <c r="D90" s="21"/>
      <c r="E90" s="21"/>
      <c r="F90" s="21"/>
      <c r="G90" s="21"/>
      <c r="H90" s="21"/>
      <c r="I90" s="21"/>
      <c r="J90" s="21"/>
      <c r="K90" s="21"/>
      <c r="L90" s="21"/>
      <c r="M90" s="21"/>
    </row>
  </sheetData>
  <mergeCells count="14">
    <mergeCell ref="B2:M2"/>
    <mergeCell ref="B3:M3"/>
    <mergeCell ref="B4:M4"/>
    <mergeCell ref="B5:M5"/>
    <mergeCell ref="B6:M6"/>
    <mergeCell ref="A80:M80"/>
    <mergeCell ref="A81:M81"/>
    <mergeCell ref="A82:M82"/>
    <mergeCell ref="A83:M83"/>
    <mergeCell ref="A84:M84"/>
    <mergeCell ref="A85:M85"/>
    <mergeCell ref="A86:M86"/>
    <mergeCell ref="A87:M87"/>
    <mergeCell ref="A90:M90"/>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0">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5:L73">
    <cfRule type="expression" priority="11" aboveAverage="0" equalAverage="0" bottom="0" percent="0" rank="0" text="" dxfId="2">
      <formula>LEFT(L65,5)="ACIMA"</formula>
    </cfRule>
  </conditionalFormatting>
  <conditionalFormatting sqref="E75:E76">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ISNUMBER(SEARCH("EXCEDE",E75))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4476</v>
      </c>
    </row>
    <row r="2" customFormat="false" ht="30" hidden="false" customHeight="true" outlineLevel="0" collapsed="false">
      <c r="A2" s="22" t="s">
        <v>2748</v>
      </c>
      <c r="B2" s="21" t="s">
        <v>2749</v>
      </c>
      <c r="C2" s="21"/>
      <c r="D2" s="21"/>
      <c r="E2" s="21"/>
      <c r="F2" s="21"/>
      <c r="G2" s="21"/>
      <c r="H2" s="21"/>
      <c r="I2" s="21"/>
      <c r="J2" s="21"/>
      <c r="K2" s="21"/>
      <c r="L2" s="21"/>
      <c r="M2" s="21"/>
    </row>
    <row r="3" customFormat="false" ht="30" hidden="false" customHeight="true" outlineLevel="0" collapsed="false">
      <c r="A3" s="22" t="s">
        <v>2750</v>
      </c>
      <c r="B3" s="21" t="s">
        <v>4477</v>
      </c>
      <c r="C3" s="21"/>
      <c r="D3" s="21"/>
      <c r="E3" s="21"/>
      <c r="F3" s="21"/>
      <c r="G3" s="21"/>
      <c r="H3" s="21"/>
      <c r="I3" s="21"/>
      <c r="J3" s="21"/>
      <c r="K3" s="21"/>
      <c r="L3" s="21"/>
      <c r="M3" s="21"/>
    </row>
    <row r="4" customFormat="false" ht="30" hidden="false" customHeight="true" outlineLevel="0" collapsed="false">
      <c r="A4" s="22" t="s">
        <v>2752</v>
      </c>
      <c r="B4" s="21" t="s">
        <v>4478</v>
      </c>
      <c r="C4" s="21"/>
      <c r="D4" s="21"/>
      <c r="E4" s="21"/>
      <c r="F4" s="21"/>
      <c r="G4" s="21"/>
      <c r="H4" s="21"/>
      <c r="I4" s="21"/>
      <c r="J4" s="21"/>
      <c r="K4" s="21"/>
      <c r="L4" s="21"/>
      <c r="M4" s="21"/>
    </row>
    <row r="5" customFormat="false" ht="30" hidden="false" customHeight="true" outlineLevel="0" collapsed="false">
      <c r="A5" s="22" t="s">
        <v>2754</v>
      </c>
      <c r="B5" s="21" t="s">
        <v>4336</v>
      </c>
      <c r="C5" s="21"/>
      <c r="D5" s="21"/>
      <c r="E5" s="21"/>
      <c r="F5" s="21"/>
      <c r="G5" s="21"/>
      <c r="H5" s="21"/>
      <c r="I5" s="21"/>
      <c r="J5" s="21"/>
      <c r="K5" s="21"/>
      <c r="L5" s="21"/>
      <c r="M5" s="21"/>
    </row>
    <row r="6" customFormat="false" ht="30" hidden="false" customHeight="true" outlineLevel="0" collapsed="false">
      <c r="A6" s="22" t="s">
        <v>2756</v>
      </c>
      <c r="B6" s="21" t="s">
        <v>4479</v>
      </c>
      <c r="C6" s="21"/>
      <c r="D6" s="21"/>
      <c r="E6" s="21"/>
      <c r="F6" s="21"/>
      <c r="G6" s="21"/>
      <c r="H6" s="21"/>
      <c r="I6" s="21"/>
      <c r="J6" s="21"/>
      <c r="K6" s="21"/>
      <c r="L6" s="21"/>
      <c r="M6" s="21"/>
    </row>
    <row r="7" customFormat="false" ht="15" hidden="false" customHeight="false" outlineLevel="0" collapsed="false">
      <c r="A7" s="22" t="s">
        <v>2758</v>
      </c>
      <c r="B7" s="19" t="n">
        <v>250000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SUMIFS($I$26:$I$61,$B$26:$B$61,A11)</f>
        <v>12600</v>
      </c>
      <c r="C11" s="24" t="n">
        <f aca="false">IF($B$16=0,0,B11/$B$16)</f>
        <v>0.0650268881021438</v>
      </c>
    </row>
    <row r="12" customFormat="false" ht="15" hidden="false" customHeight="false" outlineLevel="0" collapsed="false">
      <c r="A12" s="12" t="s">
        <v>2765</v>
      </c>
      <c r="B12" s="23" t="n">
        <f aca="false">SUMIFS($I$26:$I$61,$B$26:$B$61,A12)</f>
        <v>150334</v>
      </c>
      <c r="C12" s="24" t="n">
        <f aca="false">IF($B$16=0,0,B12/$B$16)</f>
        <v>0.775853348884737</v>
      </c>
    </row>
    <row r="13" customFormat="false" ht="15" hidden="false" customHeight="false" outlineLevel="0" collapsed="false">
      <c r="A13" s="12" t="s">
        <v>2766</v>
      </c>
      <c r="B13" s="23" t="n">
        <f aca="false">SUMIFS($I$26:$I$61,$B$26:$B$61,A13)</f>
        <v>7200</v>
      </c>
      <c r="C13" s="24" t="n">
        <f aca="false">IF($B$16=0,0,B13/$B$16)</f>
        <v>0.0371582217726536</v>
      </c>
    </row>
    <row r="14" customFormat="false" ht="15" hidden="false" customHeight="false" outlineLevel="0" collapsed="false">
      <c r="A14" s="12" t="s">
        <v>2767</v>
      </c>
      <c r="B14" s="23" t="n">
        <f aca="false">SUMIFS($I$26:$I$61,$B$26:$B$61,A14)</f>
        <v>14000</v>
      </c>
      <c r="C14" s="24" t="n">
        <f aca="false">IF($B$16=0,0,B14/$B$16)</f>
        <v>0.0722520978912709</v>
      </c>
    </row>
    <row r="15" customFormat="false" ht="15" hidden="false" customHeight="false" outlineLevel="0" collapsed="false">
      <c r="A15" s="12" t="s">
        <v>2768</v>
      </c>
      <c r="B15" s="23" t="n">
        <f aca="false">SUMIFS($I$26:$I$61,$B$26:$B$61,A15)</f>
        <v>9632</v>
      </c>
      <c r="C15" s="24" t="n">
        <f aca="false">IF($B$16=0,0,B15/$B$16)</f>
        <v>0.0497094433491944</v>
      </c>
    </row>
    <row r="16" customFormat="false" ht="15" hidden="false" customHeight="false" outlineLevel="0" collapsed="false">
      <c r="A16" s="25" t="s">
        <v>2769</v>
      </c>
      <c r="B16" s="26" t="n">
        <f aca="false">SUM(B11:B15)</f>
        <v>193766</v>
      </c>
    </row>
    <row r="17" customFormat="false" ht="23.85" hidden="false" customHeight="false" outlineLevel="0" collapsed="false">
      <c r="A17" s="4" t="s">
        <v>2770</v>
      </c>
      <c r="B17" s="23" t="n">
        <f aca="false">$B$16*C17</f>
        <v>15501.28</v>
      </c>
      <c r="C17" s="27" t="n">
        <v>0.08</v>
      </c>
      <c r="D17" s="28" t="n">
        <f aca="false">'Parâmetros IN 29'!$B$4</f>
        <v>0.15</v>
      </c>
      <c r="E17" s="12" t="str">
        <f aca="false">IF(AND(C17&lt;=D17),"OK","EXCEDE")</f>
        <v>OK</v>
      </c>
    </row>
    <row r="18" customFormat="false" ht="35.05" hidden="false" customHeight="false" outlineLevel="0" collapsed="false">
      <c r="A18" s="4" t="s">
        <v>2771</v>
      </c>
      <c r="B18" s="23" t="n">
        <f aca="false">$B$16*C18</f>
        <v>21314.26</v>
      </c>
      <c r="C18" s="27" t="n">
        <v>0.11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19376.6</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249958.14</v>
      </c>
    </row>
    <row r="21" customFormat="false" ht="15" hidden="false" customHeight="false" outlineLevel="0" collapsed="false">
      <c r="A21" s="12" t="s">
        <v>2774</v>
      </c>
      <c r="B21" s="23" t="n">
        <f aca="false">B20-B7</f>
        <v>-41.859999999986</v>
      </c>
    </row>
    <row r="22" customFormat="false" ht="15" hidden="false" customHeight="false" outlineLevel="0" collapsed="false">
      <c r="A22" s="12" t="s">
        <v>2775</v>
      </c>
      <c r="B22" s="13" t="n">
        <f aca="false">'Parâmetros IN 29'!$B$9</f>
        <v>1500000</v>
      </c>
      <c r="C22" s="14" t="s">
        <v>28</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15" hidden="false" customHeight="false" outlineLevel="0" collapsed="false">
      <c r="A26" s="4" t="s">
        <v>4240</v>
      </c>
      <c r="B26" s="12" t="s">
        <v>2764</v>
      </c>
      <c r="C26" s="4" t="s">
        <v>4480</v>
      </c>
      <c r="D26" s="12" t="s">
        <v>2793</v>
      </c>
      <c r="E26" s="12" t="s">
        <v>2484</v>
      </c>
      <c r="F26" s="29" t="n">
        <v>1</v>
      </c>
      <c r="G26" s="29" t="n">
        <v>2</v>
      </c>
      <c r="H26" s="19" t="n">
        <v>2200</v>
      </c>
      <c r="I26" s="23" t="n">
        <f aca="false">F26*G26*H26</f>
        <v>4400</v>
      </c>
      <c r="J26" s="12" t="s">
        <v>2794</v>
      </c>
      <c r="K26" s="12" t="s">
        <v>2795</v>
      </c>
      <c r="L26" s="12" t="s">
        <v>2950</v>
      </c>
      <c r="M26" s="4" t="s">
        <v>4481</v>
      </c>
    </row>
    <row r="27" customFormat="false" ht="15" hidden="false" customHeight="false" outlineLevel="0" collapsed="false">
      <c r="A27" s="4" t="s">
        <v>4240</v>
      </c>
      <c r="B27" s="12" t="s">
        <v>2764</v>
      </c>
      <c r="C27" s="4" t="s">
        <v>4482</v>
      </c>
      <c r="D27" s="12" t="s">
        <v>2793</v>
      </c>
      <c r="E27" s="12" t="s">
        <v>2484</v>
      </c>
      <c r="F27" s="29" t="n">
        <v>1</v>
      </c>
      <c r="G27" s="29" t="n">
        <v>2</v>
      </c>
      <c r="H27" s="19" t="n">
        <v>3000</v>
      </c>
      <c r="I27" s="23" t="n">
        <f aca="false">F27*G27*H27</f>
        <v>6000</v>
      </c>
      <c r="J27" s="12" t="s">
        <v>2794</v>
      </c>
      <c r="K27" s="12" t="s">
        <v>2818</v>
      </c>
      <c r="L27" s="12" t="s">
        <v>2796</v>
      </c>
      <c r="M27" s="4" t="s">
        <v>4483</v>
      </c>
    </row>
    <row r="28" customFormat="false" ht="23.85" hidden="false" customHeight="false" outlineLevel="0" collapsed="false">
      <c r="A28" s="4" t="s">
        <v>4484</v>
      </c>
      <c r="B28" s="12" t="s">
        <v>2764</v>
      </c>
      <c r="C28" s="4" t="s">
        <v>4485</v>
      </c>
      <c r="D28" s="12" t="s">
        <v>2793</v>
      </c>
      <c r="E28" s="12" t="s">
        <v>2484</v>
      </c>
      <c r="F28" s="29" t="n">
        <v>1</v>
      </c>
      <c r="G28" s="29" t="n">
        <v>1</v>
      </c>
      <c r="H28" s="19" t="n">
        <v>2200</v>
      </c>
      <c r="I28" s="23" t="n">
        <f aca="false">F28*G28*H28</f>
        <v>2200</v>
      </c>
      <c r="J28" s="12" t="s">
        <v>2794</v>
      </c>
      <c r="K28" s="12" t="s">
        <v>3083</v>
      </c>
      <c r="L28" s="12" t="s">
        <v>2950</v>
      </c>
      <c r="M28" s="4" t="s">
        <v>4486</v>
      </c>
    </row>
    <row r="29" customFormat="false" ht="15" hidden="false" customHeight="false" outlineLevel="0" collapsed="false">
      <c r="A29" s="4" t="s">
        <v>4240</v>
      </c>
      <c r="B29" s="12" t="s">
        <v>2765</v>
      </c>
      <c r="C29" s="4" t="s">
        <v>4487</v>
      </c>
      <c r="D29" s="12" t="s">
        <v>2793</v>
      </c>
      <c r="E29" s="12" t="s">
        <v>2484</v>
      </c>
      <c r="F29" s="29" t="n">
        <v>1</v>
      </c>
      <c r="G29" s="29" t="n">
        <v>7</v>
      </c>
      <c r="H29" s="19" t="n">
        <v>2200</v>
      </c>
      <c r="I29" s="23" t="n">
        <f aca="false">F29*G29*H29</f>
        <v>15400</v>
      </c>
      <c r="J29" s="12" t="s">
        <v>4352</v>
      </c>
      <c r="K29" s="12" t="s">
        <v>2795</v>
      </c>
      <c r="L29" s="12" t="s">
        <v>2950</v>
      </c>
      <c r="M29" s="4"/>
    </row>
    <row r="30" customFormat="false" ht="23.85" hidden="false" customHeight="false" outlineLevel="0" collapsed="false">
      <c r="A30" s="4" t="s">
        <v>4240</v>
      </c>
      <c r="B30" s="12" t="s">
        <v>2765</v>
      </c>
      <c r="C30" s="4" t="s">
        <v>4488</v>
      </c>
      <c r="D30" s="12" t="s">
        <v>2793</v>
      </c>
      <c r="E30" s="12" t="s">
        <v>2484</v>
      </c>
      <c r="F30" s="29" t="n">
        <v>1</v>
      </c>
      <c r="G30" s="29" t="n">
        <v>3</v>
      </c>
      <c r="H30" s="19" t="n">
        <v>3000</v>
      </c>
      <c r="I30" s="23" t="n">
        <f aca="false">F30*G30*H30</f>
        <v>9000</v>
      </c>
      <c r="J30" s="12" t="s">
        <v>4352</v>
      </c>
      <c r="K30" s="12" t="s">
        <v>2818</v>
      </c>
      <c r="L30" s="12" t="s">
        <v>2796</v>
      </c>
      <c r="M30" s="4"/>
    </row>
    <row r="31" customFormat="false" ht="35.05" hidden="false" customHeight="false" outlineLevel="0" collapsed="false">
      <c r="A31" s="4" t="s">
        <v>4484</v>
      </c>
      <c r="B31" s="12" t="s">
        <v>2765</v>
      </c>
      <c r="C31" s="4" t="s">
        <v>4489</v>
      </c>
      <c r="D31" s="12" t="s">
        <v>2793</v>
      </c>
      <c r="E31" s="12" t="s">
        <v>2484</v>
      </c>
      <c r="F31" s="29" t="n">
        <v>1</v>
      </c>
      <c r="G31" s="29" t="n">
        <v>7</v>
      </c>
      <c r="H31" s="19" t="n">
        <v>2200</v>
      </c>
      <c r="I31" s="23" t="n">
        <f aca="false">F31*G31*H31</f>
        <v>15400</v>
      </c>
      <c r="J31" s="12" t="s">
        <v>4352</v>
      </c>
      <c r="K31" s="12" t="s">
        <v>3083</v>
      </c>
      <c r="L31" s="12" t="s">
        <v>2950</v>
      </c>
      <c r="M31" s="4" t="s">
        <v>4490</v>
      </c>
    </row>
    <row r="32" customFormat="false" ht="35.05" hidden="false" customHeight="false" outlineLevel="0" collapsed="false">
      <c r="A32" s="4" t="s">
        <v>4484</v>
      </c>
      <c r="B32" s="12" t="s">
        <v>2765</v>
      </c>
      <c r="C32" s="4" t="s">
        <v>4491</v>
      </c>
      <c r="D32" s="12" t="s">
        <v>2808</v>
      </c>
      <c r="E32" s="12" t="s">
        <v>2501</v>
      </c>
      <c r="F32" s="29" t="n">
        <v>144</v>
      </c>
      <c r="G32" s="29" t="n">
        <v>1</v>
      </c>
      <c r="H32" s="19" t="n">
        <v>129</v>
      </c>
      <c r="I32" s="23" t="n">
        <f aca="false">F32*G32*H32</f>
        <v>18576</v>
      </c>
      <c r="J32" s="12" t="s">
        <v>4352</v>
      </c>
      <c r="K32" s="12" t="s">
        <v>2821</v>
      </c>
      <c r="L32" s="12" t="s">
        <v>2796</v>
      </c>
      <c r="M32" s="4" t="s">
        <v>4492</v>
      </c>
    </row>
    <row r="33" customFormat="false" ht="23.85" hidden="false" customHeight="false" outlineLevel="0" collapsed="false">
      <c r="A33" s="4" t="s">
        <v>4493</v>
      </c>
      <c r="B33" s="12" t="s">
        <v>2765</v>
      </c>
      <c r="C33" s="4" t="s">
        <v>4494</v>
      </c>
      <c r="D33" s="12" t="s">
        <v>2808</v>
      </c>
      <c r="E33" s="12" t="s">
        <v>2501</v>
      </c>
      <c r="F33" s="29" t="n">
        <v>144</v>
      </c>
      <c r="G33" s="29" t="n">
        <v>1</v>
      </c>
      <c r="H33" s="19" t="n">
        <v>150</v>
      </c>
      <c r="I33" s="23" t="n">
        <f aca="false">F33*G33*H33</f>
        <v>21600</v>
      </c>
      <c r="J33" s="12" t="s">
        <v>4352</v>
      </c>
      <c r="K33" s="12" t="s">
        <v>2821</v>
      </c>
      <c r="L33" s="12" t="s">
        <v>2796</v>
      </c>
      <c r="M33" s="4" t="s">
        <v>4495</v>
      </c>
    </row>
    <row r="34" customFormat="false" ht="23.85" hidden="false" customHeight="false" outlineLevel="0" collapsed="false">
      <c r="A34" s="4" t="s">
        <v>4484</v>
      </c>
      <c r="B34" s="12" t="s">
        <v>2765</v>
      </c>
      <c r="C34" s="4" t="s">
        <v>4496</v>
      </c>
      <c r="D34" s="12" t="s">
        <v>2882</v>
      </c>
      <c r="E34" s="12" t="s">
        <v>2601</v>
      </c>
      <c r="F34" s="29" t="n">
        <v>1</v>
      </c>
      <c r="G34" s="29" t="n">
        <v>1</v>
      </c>
      <c r="H34" s="19" t="n">
        <v>2808</v>
      </c>
      <c r="I34" s="23" t="n">
        <f aca="false">F34*G34*H34</f>
        <v>2808</v>
      </c>
      <c r="J34" s="12" t="s">
        <v>4352</v>
      </c>
      <c r="K34" s="12" t="s">
        <v>2805</v>
      </c>
      <c r="L34" s="12"/>
      <c r="M34" s="4" t="s">
        <v>4497</v>
      </c>
    </row>
    <row r="35" customFormat="false" ht="23.85" hidden="false" customHeight="false" outlineLevel="0" collapsed="false">
      <c r="A35" s="4" t="s">
        <v>4484</v>
      </c>
      <c r="B35" s="12" t="s">
        <v>2765</v>
      </c>
      <c r="C35" s="4" t="s">
        <v>4498</v>
      </c>
      <c r="D35" s="12" t="s">
        <v>2808</v>
      </c>
      <c r="E35" s="12" t="s">
        <v>2590</v>
      </c>
      <c r="F35" s="29" t="n">
        <v>144</v>
      </c>
      <c r="G35" s="29" t="n">
        <v>1</v>
      </c>
      <c r="H35" s="19" t="n">
        <v>35</v>
      </c>
      <c r="I35" s="23" t="n">
        <f aca="false">F35*G35*H35</f>
        <v>5040</v>
      </c>
      <c r="J35" s="12" t="s">
        <v>4352</v>
      </c>
      <c r="K35" s="12" t="s">
        <v>2805</v>
      </c>
      <c r="L35" s="12"/>
      <c r="M35" s="4" t="s">
        <v>4499</v>
      </c>
    </row>
    <row r="36" customFormat="false" ht="23.85" hidden="false" customHeight="false" outlineLevel="0" collapsed="false">
      <c r="A36" s="4" t="s">
        <v>4500</v>
      </c>
      <c r="B36" s="12" t="s">
        <v>2765</v>
      </c>
      <c r="C36" s="4" t="s">
        <v>4501</v>
      </c>
      <c r="D36" s="12" t="s">
        <v>2808</v>
      </c>
      <c r="E36" s="12" t="s">
        <v>2501</v>
      </c>
      <c r="F36" s="29" t="n">
        <v>16</v>
      </c>
      <c r="G36" s="29" t="n">
        <v>1</v>
      </c>
      <c r="H36" s="19" t="n">
        <v>180</v>
      </c>
      <c r="I36" s="23" t="n">
        <f aca="false">F36*G36*H36</f>
        <v>2880</v>
      </c>
      <c r="J36" s="12" t="s">
        <v>2794</v>
      </c>
      <c r="K36" s="12" t="s">
        <v>2821</v>
      </c>
      <c r="L36" s="12" t="s">
        <v>2796</v>
      </c>
      <c r="M36" s="4" t="s">
        <v>4502</v>
      </c>
    </row>
    <row r="37" customFormat="false" ht="23.85" hidden="false" customHeight="false" outlineLevel="0" collapsed="false">
      <c r="A37" s="4" t="s">
        <v>4500</v>
      </c>
      <c r="B37" s="12" t="s">
        <v>2765</v>
      </c>
      <c r="C37" s="4" t="s">
        <v>4503</v>
      </c>
      <c r="D37" s="12" t="s">
        <v>2808</v>
      </c>
      <c r="E37" s="12" t="s">
        <v>2501</v>
      </c>
      <c r="F37" s="29" t="n">
        <v>16</v>
      </c>
      <c r="G37" s="29" t="n">
        <v>1</v>
      </c>
      <c r="H37" s="19" t="n">
        <v>130</v>
      </c>
      <c r="I37" s="23" t="n">
        <f aca="false">F37*G37*H37</f>
        <v>2080</v>
      </c>
      <c r="J37" s="12" t="s">
        <v>2794</v>
      </c>
      <c r="K37" s="12" t="s">
        <v>2821</v>
      </c>
      <c r="L37" s="12" t="s">
        <v>2796</v>
      </c>
      <c r="M37" s="4"/>
    </row>
    <row r="38" customFormat="false" ht="23.85" hidden="false" customHeight="false" outlineLevel="0" collapsed="false">
      <c r="A38" s="4" t="s">
        <v>4500</v>
      </c>
      <c r="B38" s="12" t="s">
        <v>2765</v>
      </c>
      <c r="C38" s="4" t="s">
        <v>4504</v>
      </c>
      <c r="D38" s="12" t="s">
        <v>2808</v>
      </c>
      <c r="E38" s="12" t="s">
        <v>2831</v>
      </c>
      <c r="F38" s="29" t="n">
        <v>30</v>
      </c>
      <c r="G38" s="29" t="n">
        <v>1</v>
      </c>
      <c r="H38" s="19" t="n">
        <v>40</v>
      </c>
      <c r="I38" s="23" t="n">
        <f aca="false">F38*G38*H38</f>
        <v>1200</v>
      </c>
      <c r="J38" s="12" t="s">
        <v>2794</v>
      </c>
      <c r="K38" s="12" t="s">
        <v>2805</v>
      </c>
      <c r="L38" s="12"/>
      <c r="M38" s="4" t="s">
        <v>4451</v>
      </c>
    </row>
    <row r="39" customFormat="false" ht="23.85" hidden="false" customHeight="false" outlineLevel="0" collapsed="false">
      <c r="A39" s="4" t="s">
        <v>4500</v>
      </c>
      <c r="B39" s="12" t="s">
        <v>2765</v>
      </c>
      <c r="C39" s="4" t="s">
        <v>3430</v>
      </c>
      <c r="D39" s="12" t="s">
        <v>2808</v>
      </c>
      <c r="E39" s="12" t="s">
        <v>2477</v>
      </c>
      <c r="F39" s="29" t="n">
        <v>30</v>
      </c>
      <c r="G39" s="29" t="n">
        <v>1</v>
      </c>
      <c r="H39" s="19" t="n">
        <v>8</v>
      </c>
      <c r="I39" s="23" t="n">
        <f aca="false">F39*G39*H39</f>
        <v>240</v>
      </c>
      <c r="J39" s="12" t="s">
        <v>2794</v>
      </c>
      <c r="K39" s="12" t="s">
        <v>2805</v>
      </c>
      <c r="L39" s="12"/>
      <c r="M39" s="4"/>
    </row>
    <row r="40" customFormat="false" ht="23.85" hidden="false" customHeight="false" outlineLevel="0" collapsed="false">
      <c r="A40" s="4" t="s">
        <v>4505</v>
      </c>
      <c r="B40" s="12" t="s">
        <v>2765</v>
      </c>
      <c r="C40" s="4" t="s">
        <v>4506</v>
      </c>
      <c r="D40" s="12" t="s">
        <v>2808</v>
      </c>
      <c r="E40" s="12" t="s">
        <v>2497</v>
      </c>
      <c r="F40" s="29" t="n">
        <v>6</v>
      </c>
      <c r="G40" s="29" t="n">
        <v>1</v>
      </c>
      <c r="H40" s="19" t="n">
        <v>600</v>
      </c>
      <c r="I40" s="23" t="n">
        <f aca="false">F40*G40*H40</f>
        <v>3600</v>
      </c>
      <c r="J40" s="12" t="s">
        <v>4352</v>
      </c>
      <c r="K40" s="12" t="s">
        <v>2863</v>
      </c>
      <c r="L40" s="12" t="s">
        <v>2950</v>
      </c>
      <c r="M40" s="4" t="s">
        <v>4507</v>
      </c>
    </row>
    <row r="41" customFormat="false" ht="23.85" hidden="false" customHeight="false" outlineLevel="0" collapsed="false">
      <c r="A41" s="4" t="s">
        <v>4505</v>
      </c>
      <c r="B41" s="12" t="s">
        <v>2765</v>
      </c>
      <c r="C41" s="4" t="s">
        <v>4508</v>
      </c>
      <c r="D41" s="12" t="s">
        <v>2808</v>
      </c>
      <c r="E41" s="12" t="s">
        <v>2477</v>
      </c>
      <c r="F41" s="29" t="n">
        <v>120</v>
      </c>
      <c r="G41" s="29" t="n">
        <v>1</v>
      </c>
      <c r="H41" s="19" t="n">
        <v>35</v>
      </c>
      <c r="I41" s="23" t="n">
        <f aca="false">F41*G41*H41</f>
        <v>4200</v>
      </c>
      <c r="J41" s="12" t="s">
        <v>4352</v>
      </c>
      <c r="K41" s="12" t="s">
        <v>2805</v>
      </c>
      <c r="L41" s="12"/>
      <c r="M41" s="4" t="s">
        <v>4509</v>
      </c>
    </row>
    <row r="42" customFormat="false" ht="23.85" hidden="false" customHeight="false" outlineLevel="0" collapsed="false">
      <c r="A42" s="4" t="s">
        <v>4505</v>
      </c>
      <c r="B42" s="12" t="s">
        <v>2765</v>
      </c>
      <c r="C42" s="4" t="s">
        <v>4510</v>
      </c>
      <c r="D42" s="12" t="s">
        <v>2882</v>
      </c>
      <c r="E42" s="12" t="s">
        <v>2601</v>
      </c>
      <c r="F42" s="29" t="n">
        <v>1</v>
      </c>
      <c r="G42" s="29" t="n">
        <v>1</v>
      </c>
      <c r="H42" s="19" t="n">
        <v>3000</v>
      </c>
      <c r="I42" s="23" t="n">
        <f aca="false">F42*G42*H42</f>
        <v>3000</v>
      </c>
      <c r="J42" s="12" t="s">
        <v>2794</v>
      </c>
      <c r="K42" s="12" t="s">
        <v>2805</v>
      </c>
      <c r="L42" s="12"/>
      <c r="M42" s="4" t="s">
        <v>4511</v>
      </c>
    </row>
    <row r="43" customFormat="false" ht="23.85" hidden="false" customHeight="false" outlineLevel="0" collapsed="false">
      <c r="A43" s="4" t="s">
        <v>4505</v>
      </c>
      <c r="B43" s="12" t="s">
        <v>2765</v>
      </c>
      <c r="C43" s="4" t="s">
        <v>4512</v>
      </c>
      <c r="D43" s="12" t="s">
        <v>2808</v>
      </c>
      <c r="E43" s="12" t="s">
        <v>2497</v>
      </c>
      <c r="F43" s="29" t="n">
        <v>1</v>
      </c>
      <c r="G43" s="29" t="n">
        <v>1</v>
      </c>
      <c r="H43" s="19" t="n">
        <v>2500</v>
      </c>
      <c r="I43" s="23" t="n">
        <f aca="false">F43*G43*H43</f>
        <v>2500</v>
      </c>
      <c r="J43" s="12" t="s">
        <v>2794</v>
      </c>
      <c r="K43" s="12" t="s">
        <v>2863</v>
      </c>
      <c r="L43" s="12" t="s">
        <v>2796</v>
      </c>
      <c r="M43" s="4"/>
    </row>
    <row r="44" customFormat="false" ht="23.85" hidden="false" customHeight="false" outlineLevel="0" collapsed="false">
      <c r="A44" s="4" t="s">
        <v>4505</v>
      </c>
      <c r="B44" s="12" t="s">
        <v>2765</v>
      </c>
      <c r="C44" s="4" t="s">
        <v>4513</v>
      </c>
      <c r="D44" s="12" t="s">
        <v>2808</v>
      </c>
      <c r="E44" s="12" t="s">
        <v>2497</v>
      </c>
      <c r="F44" s="29" t="n">
        <v>1</v>
      </c>
      <c r="G44" s="29" t="n">
        <v>1</v>
      </c>
      <c r="H44" s="19" t="n">
        <v>2000</v>
      </c>
      <c r="I44" s="23" t="n">
        <f aca="false">F44*G44*H44</f>
        <v>2000</v>
      </c>
      <c r="J44" s="12" t="s">
        <v>2794</v>
      </c>
      <c r="K44" s="12" t="s">
        <v>2834</v>
      </c>
      <c r="L44" s="12" t="s">
        <v>2796</v>
      </c>
      <c r="M44" s="4"/>
    </row>
    <row r="45" customFormat="false" ht="23.85" hidden="false" customHeight="false" outlineLevel="0" collapsed="false">
      <c r="A45" s="4" t="s">
        <v>4505</v>
      </c>
      <c r="B45" s="12" t="s">
        <v>2765</v>
      </c>
      <c r="C45" s="4" t="s">
        <v>4514</v>
      </c>
      <c r="D45" s="12" t="s">
        <v>2808</v>
      </c>
      <c r="E45" s="12" t="s">
        <v>2497</v>
      </c>
      <c r="F45" s="29" t="n">
        <v>1</v>
      </c>
      <c r="G45" s="29" t="n">
        <v>1</v>
      </c>
      <c r="H45" s="19" t="n">
        <v>700</v>
      </c>
      <c r="I45" s="23" t="n">
        <f aca="false">F45*G45*H45</f>
        <v>700</v>
      </c>
      <c r="J45" s="12" t="s">
        <v>2794</v>
      </c>
      <c r="K45" s="12" t="s">
        <v>2866</v>
      </c>
      <c r="L45" s="12" t="s">
        <v>2796</v>
      </c>
      <c r="M45" s="4"/>
    </row>
    <row r="46" customFormat="false" ht="23.85" hidden="false" customHeight="false" outlineLevel="0" collapsed="false">
      <c r="A46" s="4" t="s">
        <v>4505</v>
      </c>
      <c r="B46" s="12" t="s">
        <v>2765</v>
      </c>
      <c r="C46" s="4" t="s">
        <v>4515</v>
      </c>
      <c r="D46" s="12" t="s">
        <v>2808</v>
      </c>
      <c r="E46" s="12" t="s">
        <v>2497</v>
      </c>
      <c r="F46" s="29" t="n">
        <v>1</v>
      </c>
      <c r="G46" s="29" t="n">
        <v>1</v>
      </c>
      <c r="H46" s="19" t="n">
        <v>650</v>
      </c>
      <c r="I46" s="23" t="n">
        <f aca="false">F46*G46*H46</f>
        <v>650</v>
      </c>
      <c r="J46" s="12" t="s">
        <v>2794</v>
      </c>
      <c r="K46" s="12" t="s">
        <v>2866</v>
      </c>
      <c r="L46" s="12" t="s">
        <v>2796</v>
      </c>
      <c r="M46" s="4"/>
    </row>
    <row r="47" customFormat="false" ht="23.85" hidden="false" customHeight="false" outlineLevel="0" collapsed="false">
      <c r="A47" s="4" t="s">
        <v>4505</v>
      </c>
      <c r="B47" s="12" t="s">
        <v>2765</v>
      </c>
      <c r="C47" s="4" t="s">
        <v>4516</v>
      </c>
      <c r="D47" s="12" t="s">
        <v>2808</v>
      </c>
      <c r="E47" s="12" t="s">
        <v>2497</v>
      </c>
      <c r="F47" s="29" t="n">
        <v>2</v>
      </c>
      <c r="G47" s="29" t="n">
        <v>1</v>
      </c>
      <c r="H47" s="19" t="n">
        <v>300</v>
      </c>
      <c r="I47" s="23" t="n">
        <f aca="false">F47*G47*H47</f>
        <v>600</v>
      </c>
      <c r="J47" s="12" t="s">
        <v>2794</v>
      </c>
      <c r="K47" s="12" t="s">
        <v>2870</v>
      </c>
      <c r="L47" s="12" t="s">
        <v>2796</v>
      </c>
      <c r="M47" s="4"/>
    </row>
    <row r="48" customFormat="false" ht="23.85" hidden="false" customHeight="false" outlineLevel="0" collapsed="false">
      <c r="A48" s="4" t="s">
        <v>4505</v>
      </c>
      <c r="B48" s="12" t="s">
        <v>2765</v>
      </c>
      <c r="C48" s="4" t="s">
        <v>4517</v>
      </c>
      <c r="D48" s="12" t="s">
        <v>2808</v>
      </c>
      <c r="E48" s="12" t="s">
        <v>2497</v>
      </c>
      <c r="F48" s="29" t="n">
        <v>3</v>
      </c>
      <c r="G48" s="29" t="n">
        <v>1</v>
      </c>
      <c r="H48" s="19" t="n">
        <v>3000</v>
      </c>
      <c r="I48" s="23" t="n">
        <f aca="false">F48*G48*H48</f>
        <v>9000</v>
      </c>
      <c r="J48" s="12" t="s">
        <v>4352</v>
      </c>
      <c r="K48" s="12" t="s">
        <v>2828</v>
      </c>
      <c r="L48" s="12" t="s">
        <v>2796</v>
      </c>
      <c r="M48" s="4" t="s">
        <v>4518</v>
      </c>
    </row>
    <row r="49" customFormat="false" ht="23.85" hidden="false" customHeight="false" outlineLevel="0" collapsed="false">
      <c r="A49" s="4" t="s">
        <v>4505</v>
      </c>
      <c r="B49" s="12" t="s">
        <v>2765</v>
      </c>
      <c r="C49" s="4" t="s">
        <v>4519</v>
      </c>
      <c r="D49" s="12" t="s">
        <v>2808</v>
      </c>
      <c r="E49" s="12" t="s">
        <v>2477</v>
      </c>
      <c r="F49" s="29" t="n">
        <v>180</v>
      </c>
      <c r="G49" s="29" t="n">
        <v>1</v>
      </c>
      <c r="H49" s="19" t="n">
        <v>12</v>
      </c>
      <c r="I49" s="23" t="n">
        <f aca="false">F49*G49*H49</f>
        <v>2160</v>
      </c>
      <c r="J49" s="12" t="s">
        <v>2794</v>
      </c>
      <c r="K49" s="12" t="s">
        <v>2805</v>
      </c>
      <c r="L49" s="12"/>
      <c r="M49" s="4" t="s">
        <v>4520</v>
      </c>
    </row>
    <row r="50" customFormat="false" ht="23.85" hidden="false" customHeight="false" outlineLevel="0" collapsed="false">
      <c r="A50" s="4" t="s">
        <v>4505</v>
      </c>
      <c r="B50" s="12" t="s">
        <v>2765</v>
      </c>
      <c r="C50" s="4" t="s">
        <v>4521</v>
      </c>
      <c r="D50" s="12" t="s">
        <v>2808</v>
      </c>
      <c r="E50" s="12" t="s">
        <v>2683</v>
      </c>
      <c r="F50" s="29" t="n">
        <v>1</v>
      </c>
      <c r="G50" s="29" t="n">
        <v>1</v>
      </c>
      <c r="H50" s="19" t="n">
        <v>2500</v>
      </c>
      <c r="I50" s="23" t="n">
        <f aca="false">F50*G50*H50</f>
        <v>2500</v>
      </c>
      <c r="J50" s="12" t="s">
        <v>4352</v>
      </c>
      <c r="K50" s="12" t="s">
        <v>2845</v>
      </c>
      <c r="L50" s="12" t="s">
        <v>2796</v>
      </c>
      <c r="M50" s="4"/>
    </row>
    <row r="51" customFormat="false" ht="23.85" hidden="false" customHeight="false" outlineLevel="0" collapsed="false">
      <c r="A51" s="4" t="s">
        <v>4505</v>
      </c>
      <c r="B51" s="12" t="s">
        <v>2765</v>
      </c>
      <c r="C51" s="4" t="s">
        <v>4522</v>
      </c>
      <c r="D51" s="12" t="s">
        <v>2882</v>
      </c>
      <c r="E51" s="12" t="s">
        <v>2601</v>
      </c>
      <c r="F51" s="29" t="n">
        <v>1</v>
      </c>
      <c r="G51" s="29" t="n">
        <v>1</v>
      </c>
      <c r="H51" s="19" t="n">
        <v>2000</v>
      </c>
      <c r="I51" s="23" t="n">
        <f aca="false">F51*G51*H51</f>
        <v>2000</v>
      </c>
      <c r="J51" s="12" t="s">
        <v>4352</v>
      </c>
      <c r="K51" s="12" t="s">
        <v>2805</v>
      </c>
      <c r="L51" s="12"/>
      <c r="M51" s="4" t="s">
        <v>4523</v>
      </c>
    </row>
    <row r="52" customFormat="false" ht="23.85" hidden="false" customHeight="false" outlineLevel="0" collapsed="false">
      <c r="A52" s="4" t="s">
        <v>4524</v>
      </c>
      <c r="B52" s="12" t="s">
        <v>2765</v>
      </c>
      <c r="C52" s="4" t="s">
        <v>4525</v>
      </c>
      <c r="D52" s="12" t="s">
        <v>2808</v>
      </c>
      <c r="E52" s="12" t="s">
        <v>2497</v>
      </c>
      <c r="F52" s="29" t="n">
        <v>6</v>
      </c>
      <c r="G52" s="29" t="n">
        <v>1</v>
      </c>
      <c r="H52" s="19" t="n">
        <v>1300</v>
      </c>
      <c r="I52" s="23" t="n">
        <f aca="false">F52*G52*H52</f>
        <v>7800</v>
      </c>
      <c r="J52" s="12" t="s">
        <v>4352</v>
      </c>
      <c r="K52" s="12" t="s">
        <v>2851</v>
      </c>
      <c r="L52" s="12" t="s">
        <v>2796</v>
      </c>
      <c r="M52" s="4" t="s">
        <v>4526</v>
      </c>
    </row>
    <row r="53" customFormat="false" ht="23.85" hidden="false" customHeight="false" outlineLevel="0" collapsed="false">
      <c r="A53" s="4" t="s">
        <v>4524</v>
      </c>
      <c r="B53" s="12" t="s">
        <v>2765</v>
      </c>
      <c r="C53" s="4" t="s">
        <v>2613</v>
      </c>
      <c r="D53" s="12" t="s">
        <v>2808</v>
      </c>
      <c r="E53" s="12" t="s">
        <v>2497</v>
      </c>
      <c r="F53" s="29" t="n">
        <v>2</v>
      </c>
      <c r="G53" s="29" t="n">
        <v>1</v>
      </c>
      <c r="H53" s="19" t="n">
        <v>900</v>
      </c>
      <c r="I53" s="23" t="n">
        <f aca="false">F53*G53*H53</f>
        <v>1800</v>
      </c>
      <c r="J53" s="12" t="s">
        <v>4352</v>
      </c>
      <c r="K53" s="12" t="s">
        <v>2848</v>
      </c>
      <c r="L53" s="12" t="s">
        <v>2796</v>
      </c>
      <c r="M53" s="4"/>
    </row>
    <row r="54" customFormat="false" ht="15" hidden="false" customHeight="false" outlineLevel="0" collapsed="false">
      <c r="A54" s="4" t="s">
        <v>4240</v>
      </c>
      <c r="B54" s="12" t="s">
        <v>2766</v>
      </c>
      <c r="C54" s="4" t="s">
        <v>4527</v>
      </c>
      <c r="D54" s="12" t="s">
        <v>2793</v>
      </c>
      <c r="E54" s="12" t="s">
        <v>2484</v>
      </c>
      <c r="F54" s="29" t="n">
        <v>1</v>
      </c>
      <c r="G54" s="29" t="n">
        <v>1</v>
      </c>
      <c r="H54" s="19" t="n">
        <v>2200</v>
      </c>
      <c r="I54" s="23" t="n">
        <f aca="false">F54*G54*H54</f>
        <v>2200</v>
      </c>
      <c r="J54" s="12" t="s">
        <v>2794</v>
      </c>
      <c r="K54" s="12" t="s">
        <v>2795</v>
      </c>
      <c r="L54" s="12" t="s">
        <v>2950</v>
      </c>
      <c r="M54" s="4"/>
    </row>
    <row r="55" customFormat="false" ht="23.85" hidden="false" customHeight="false" outlineLevel="0" collapsed="false">
      <c r="A55" s="4" t="s">
        <v>4524</v>
      </c>
      <c r="B55" s="12" t="s">
        <v>2766</v>
      </c>
      <c r="C55" s="4" t="s">
        <v>4528</v>
      </c>
      <c r="D55" s="12" t="s">
        <v>2804</v>
      </c>
      <c r="E55" s="12" t="s">
        <v>2597</v>
      </c>
      <c r="F55" s="29" t="n">
        <v>1</v>
      </c>
      <c r="G55" s="29" t="n">
        <v>1</v>
      </c>
      <c r="H55" s="19" t="n">
        <v>5000</v>
      </c>
      <c r="I55" s="23" t="n">
        <f aca="false">F55*G55*H55</f>
        <v>5000</v>
      </c>
      <c r="J55" s="12" t="s">
        <v>2794</v>
      </c>
      <c r="K55" s="12" t="s">
        <v>2891</v>
      </c>
      <c r="L55" s="12" t="s">
        <v>2796</v>
      </c>
      <c r="M55" s="4"/>
    </row>
    <row r="56" customFormat="false" ht="23.85" hidden="false" customHeight="false" outlineLevel="0" collapsed="false">
      <c r="A56" s="4" t="s">
        <v>4240</v>
      </c>
      <c r="B56" s="12" t="s">
        <v>2768</v>
      </c>
      <c r="C56" s="4" t="s">
        <v>2911</v>
      </c>
      <c r="D56" s="12" t="s">
        <v>2882</v>
      </c>
      <c r="E56" s="12" t="s">
        <v>2601</v>
      </c>
      <c r="F56" s="29" t="n">
        <v>1</v>
      </c>
      <c r="G56" s="29" t="n">
        <v>1</v>
      </c>
      <c r="H56" s="19" t="n">
        <v>9632</v>
      </c>
      <c r="I56" s="23" t="n">
        <f aca="false">F56*G56*H56</f>
        <v>9632</v>
      </c>
      <c r="J56" s="12" t="s">
        <v>2794</v>
      </c>
      <c r="K56" s="12" t="s">
        <v>2805</v>
      </c>
      <c r="L56" s="12"/>
      <c r="M56" s="4" t="s">
        <v>4529</v>
      </c>
    </row>
    <row r="57" customFormat="false" ht="15" hidden="false" customHeight="false" outlineLevel="0" collapsed="false">
      <c r="A57" s="4" t="s">
        <v>4240</v>
      </c>
      <c r="B57" s="12" t="s">
        <v>2767</v>
      </c>
      <c r="C57" s="4" t="s">
        <v>2893</v>
      </c>
      <c r="D57" s="12" t="s">
        <v>2793</v>
      </c>
      <c r="E57" s="12" t="s">
        <v>2484</v>
      </c>
      <c r="F57" s="29" t="n">
        <v>1</v>
      </c>
      <c r="G57" s="29" t="n">
        <v>10</v>
      </c>
      <c r="H57" s="19" t="n">
        <v>1200</v>
      </c>
      <c r="I57" s="23" t="n">
        <f aca="false">F57*G57*H57</f>
        <v>12000</v>
      </c>
      <c r="J57" s="12" t="s">
        <v>2794</v>
      </c>
      <c r="K57" s="12" t="s">
        <v>2894</v>
      </c>
      <c r="L57" s="12" t="s">
        <v>2796</v>
      </c>
      <c r="M57" s="4" t="s">
        <v>4530</v>
      </c>
    </row>
    <row r="58" customFormat="false" ht="23.85" hidden="false" customHeight="false" outlineLevel="0" collapsed="false">
      <c r="A58" s="4" t="s">
        <v>4240</v>
      </c>
      <c r="B58" s="12" t="s">
        <v>2767</v>
      </c>
      <c r="C58" s="4" t="s">
        <v>4531</v>
      </c>
      <c r="D58" s="12" t="s">
        <v>2793</v>
      </c>
      <c r="E58" s="12" t="s">
        <v>2484</v>
      </c>
      <c r="F58" s="29" t="n">
        <v>1</v>
      </c>
      <c r="G58" s="29" t="n">
        <v>1</v>
      </c>
      <c r="H58" s="19" t="n">
        <v>2000</v>
      </c>
      <c r="I58" s="23" t="n">
        <f aca="false">F58*G58*H58</f>
        <v>2000</v>
      </c>
      <c r="J58" s="12" t="s">
        <v>2794</v>
      </c>
      <c r="K58" s="12" t="s">
        <v>2891</v>
      </c>
      <c r="L58" s="12" t="s">
        <v>2796</v>
      </c>
      <c r="M58" s="4"/>
    </row>
    <row r="59" customFormat="false" ht="23.85" hidden="false" customHeight="false" outlineLevel="0" collapsed="false">
      <c r="A59" s="4" t="s">
        <v>4484</v>
      </c>
      <c r="B59" s="12" t="s">
        <v>2765</v>
      </c>
      <c r="C59" s="4" t="s">
        <v>4532</v>
      </c>
      <c r="D59" s="12" t="s">
        <v>2808</v>
      </c>
      <c r="E59" s="12" t="s">
        <v>2497</v>
      </c>
      <c r="F59" s="29" t="n">
        <v>7</v>
      </c>
      <c r="G59" s="29" t="n">
        <v>1</v>
      </c>
      <c r="H59" s="19" t="n">
        <v>1300</v>
      </c>
      <c r="I59" s="23" t="n">
        <f aca="false">F59*G59*H59</f>
        <v>9100</v>
      </c>
      <c r="J59" s="12" t="s">
        <v>4352</v>
      </c>
      <c r="K59" s="12" t="s">
        <v>2805</v>
      </c>
      <c r="L59" s="12"/>
      <c r="M59" s="4" t="s">
        <v>3234</v>
      </c>
    </row>
    <row r="60" customFormat="false" ht="35.05" hidden="false" customHeight="false" outlineLevel="0" collapsed="false">
      <c r="A60" s="4" t="s">
        <v>4484</v>
      </c>
      <c r="B60" s="12" t="s">
        <v>2765</v>
      </c>
      <c r="C60" s="4" t="s">
        <v>4533</v>
      </c>
      <c r="D60" s="12" t="s">
        <v>2804</v>
      </c>
      <c r="E60" s="12" t="s">
        <v>2597</v>
      </c>
      <c r="F60" s="29" t="n">
        <v>1</v>
      </c>
      <c r="G60" s="29" t="n">
        <v>1</v>
      </c>
      <c r="H60" s="19" t="n">
        <v>3000</v>
      </c>
      <c r="I60" s="23" t="n">
        <f aca="false">F60*G60*H60</f>
        <v>3000</v>
      </c>
      <c r="J60" s="12" t="s">
        <v>2794</v>
      </c>
      <c r="K60" s="12" t="s">
        <v>2902</v>
      </c>
      <c r="L60" s="12" t="s">
        <v>2796</v>
      </c>
      <c r="M60" s="4" t="s">
        <v>4534</v>
      </c>
    </row>
    <row r="61" customFormat="false" ht="23.85" hidden="false" customHeight="false" outlineLevel="0" collapsed="false">
      <c r="A61" s="4" t="s">
        <v>4484</v>
      </c>
      <c r="B61" s="12" t="s">
        <v>2765</v>
      </c>
      <c r="C61" s="4" t="s">
        <v>4535</v>
      </c>
      <c r="D61" s="12" t="s">
        <v>2804</v>
      </c>
      <c r="E61" s="12" t="s">
        <v>2597</v>
      </c>
      <c r="F61" s="29" t="n">
        <v>1</v>
      </c>
      <c r="G61" s="29" t="n">
        <v>1</v>
      </c>
      <c r="H61" s="19" t="n">
        <v>1500</v>
      </c>
      <c r="I61" s="23" t="n">
        <f aca="false">F61*G61*H61</f>
        <v>1500</v>
      </c>
      <c r="J61" s="12" t="s">
        <v>2794</v>
      </c>
      <c r="K61" s="12" t="s">
        <v>2805</v>
      </c>
      <c r="L61" s="12"/>
      <c r="M61" s="4" t="s">
        <v>4536</v>
      </c>
    </row>
    <row r="62" customFormat="false" ht="15" hidden="false" customHeight="false" outlineLevel="0" collapsed="false">
      <c r="H62" s="10" t="s">
        <v>134</v>
      </c>
      <c r="I62" s="11" t="n">
        <f aca="false">SUM(I26:I61)</f>
        <v>193766</v>
      </c>
    </row>
    <row r="64" customFormat="false" ht="15" hidden="false" customHeight="false" outlineLevel="0" collapsed="false">
      <c r="A64" s="22" t="s">
        <v>2913</v>
      </c>
    </row>
    <row r="65" customFormat="false" ht="23.85" hidden="false" customHeight="false" outlineLevel="0" collapsed="false">
      <c r="A65" s="3" t="s">
        <v>2914</v>
      </c>
      <c r="B65" s="3" t="s">
        <v>2915</v>
      </c>
      <c r="C65" s="3" t="s">
        <v>2780</v>
      </c>
      <c r="D65" s="3" t="s">
        <v>2781</v>
      </c>
      <c r="E65" s="3" t="s">
        <v>2782</v>
      </c>
      <c r="F65" s="3" t="s">
        <v>2783</v>
      </c>
      <c r="G65" s="3" t="s">
        <v>2784</v>
      </c>
      <c r="H65" s="3" t="s">
        <v>2785</v>
      </c>
      <c r="I65" s="3" t="s">
        <v>2786</v>
      </c>
      <c r="J65" s="3" t="s">
        <v>1393</v>
      </c>
      <c r="K65" s="3" t="s">
        <v>2916</v>
      </c>
      <c r="L65" s="3" t="s">
        <v>2789</v>
      </c>
      <c r="M65" s="3" t="s">
        <v>368</v>
      </c>
    </row>
    <row r="66" customFormat="false" ht="15" hidden="false" customHeight="false" outlineLevel="0" collapsed="false">
      <c r="A66" s="4" t="s">
        <v>4240</v>
      </c>
      <c r="B66" s="12" t="s">
        <v>2918</v>
      </c>
      <c r="C66" s="4" t="s">
        <v>2919</v>
      </c>
      <c r="D66" s="12" t="s">
        <v>2804</v>
      </c>
      <c r="E66" s="12" t="s">
        <v>2597</v>
      </c>
      <c r="F66" s="30" t="n">
        <v>1</v>
      </c>
      <c r="G66" s="30" t="n">
        <v>1</v>
      </c>
      <c r="H66" s="19" t="n">
        <v>7500</v>
      </c>
      <c r="I66" s="23" t="n">
        <f aca="false">F66*G66*H66</f>
        <v>7500</v>
      </c>
      <c r="J66" s="12" t="s">
        <v>2794</v>
      </c>
      <c r="K66" s="12" t="s">
        <v>2920</v>
      </c>
      <c r="L66" s="12" t="s">
        <v>2796</v>
      </c>
      <c r="M66" s="4" t="s">
        <v>4461</v>
      </c>
    </row>
    <row r="67" customFormat="false" ht="15" hidden="false" customHeight="false" outlineLevel="0" collapsed="false">
      <c r="A67" s="4" t="s">
        <v>4240</v>
      </c>
      <c r="B67" s="12" t="s">
        <v>2918</v>
      </c>
      <c r="C67" s="4" t="s">
        <v>2922</v>
      </c>
      <c r="D67" s="12" t="s">
        <v>2804</v>
      </c>
      <c r="E67" s="12" t="s">
        <v>2597</v>
      </c>
      <c r="F67" s="30" t="n">
        <v>1</v>
      </c>
      <c r="G67" s="30" t="n">
        <v>1</v>
      </c>
      <c r="H67" s="19" t="n">
        <v>6000</v>
      </c>
      <c r="I67" s="23" t="n">
        <f aca="false">F67*G67*H67</f>
        <v>6000</v>
      </c>
      <c r="J67" s="12" t="s">
        <v>2794</v>
      </c>
      <c r="K67" s="12" t="s">
        <v>2805</v>
      </c>
      <c r="L67" s="12"/>
      <c r="M67" s="4"/>
    </row>
    <row r="68" customFormat="false" ht="15" hidden="false" customHeight="false" outlineLevel="0" collapsed="false">
      <c r="A68" s="4" t="s">
        <v>4240</v>
      </c>
      <c r="B68" s="12" t="s">
        <v>2918</v>
      </c>
      <c r="C68" s="4" t="s">
        <v>2926</v>
      </c>
      <c r="D68" s="12" t="s">
        <v>2793</v>
      </c>
      <c r="E68" s="12" t="s">
        <v>2484</v>
      </c>
      <c r="F68" s="30" t="n">
        <v>1</v>
      </c>
      <c r="G68" s="30" t="n">
        <v>10</v>
      </c>
      <c r="H68" s="19" t="n">
        <v>80</v>
      </c>
      <c r="I68" s="23" t="n">
        <f aca="false">F68*G68*H68</f>
        <v>800</v>
      </c>
      <c r="J68" s="12" t="s">
        <v>2794</v>
      </c>
      <c r="K68" s="12" t="s">
        <v>2805</v>
      </c>
      <c r="L68" s="12"/>
      <c r="M68" s="4"/>
    </row>
    <row r="69" customFormat="false" ht="15" hidden="false" customHeight="false" outlineLevel="0" collapsed="false">
      <c r="A69" s="4" t="s">
        <v>4240</v>
      </c>
      <c r="B69" s="12" t="s">
        <v>2918</v>
      </c>
      <c r="C69" s="4" t="s">
        <v>2928</v>
      </c>
      <c r="D69" s="12" t="s">
        <v>2882</v>
      </c>
      <c r="E69" s="12" t="s">
        <v>2601</v>
      </c>
      <c r="F69" s="30" t="n">
        <v>1</v>
      </c>
      <c r="G69" s="30" t="n">
        <v>1</v>
      </c>
      <c r="H69" s="19" t="n">
        <v>800</v>
      </c>
      <c r="I69" s="23" t="n">
        <f aca="false">F69*G69*H69</f>
        <v>800</v>
      </c>
      <c r="J69" s="12" t="s">
        <v>2794</v>
      </c>
      <c r="K69" s="12" t="s">
        <v>2805</v>
      </c>
      <c r="L69" s="12"/>
      <c r="M69" s="4" t="s">
        <v>4537</v>
      </c>
    </row>
    <row r="70" customFormat="false" ht="15" hidden="false" customHeight="false" outlineLevel="0" collapsed="false">
      <c r="A70" s="4" t="s">
        <v>4310</v>
      </c>
      <c r="B70" s="12" t="s">
        <v>2930</v>
      </c>
      <c r="C70" s="4" t="s">
        <v>4538</v>
      </c>
      <c r="D70" s="12" t="s">
        <v>2793</v>
      </c>
      <c r="E70" s="12" t="s">
        <v>2484</v>
      </c>
      <c r="F70" s="30" t="n">
        <v>1</v>
      </c>
      <c r="G70" s="30" t="n">
        <v>2</v>
      </c>
      <c r="H70" s="19" t="n">
        <v>3000</v>
      </c>
      <c r="I70" s="23" t="n">
        <f aca="false">F70*G70*H70</f>
        <v>6000</v>
      </c>
      <c r="J70" s="12" t="s">
        <v>2794</v>
      </c>
      <c r="K70" s="12" t="s">
        <v>2805</v>
      </c>
      <c r="L70" s="12"/>
      <c r="M70" s="4" t="s">
        <v>4539</v>
      </c>
    </row>
    <row r="71" customFormat="false" ht="23.85" hidden="false" customHeight="false" outlineLevel="0" collapsed="false">
      <c r="A71" s="4" t="s">
        <v>4310</v>
      </c>
      <c r="B71" s="12" t="s">
        <v>2930</v>
      </c>
      <c r="C71" s="4" t="s">
        <v>4540</v>
      </c>
      <c r="D71" s="12" t="s">
        <v>2808</v>
      </c>
      <c r="E71" s="12" t="s">
        <v>2497</v>
      </c>
      <c r="F71" s="30" t="n">
        <v>9</v>
      </c>
      <c r="G71" s="30" t="n">
        <v>1</v>
      </c>
      <c r="H71" s="19" t="n">
        <v>250</v>
      </c>
      <c r="I71" s="23" t="n">
        <f aca="false">F71*G71*H71</f>
        <v>2250</v>
      </c>
      <c r="J71" s="12" t="s">
        <v>4352</v>
      </c>
      <c r="K71" s="12" t="s">
        <v>2934</v>
      </c>
      <c r="L71" s="12" t="s">
        <v>2796</v>
      </c>
      <c r="M71" s="4" t="s">
        <v>4541</v>
      </c>
    </row>
    <row r="72" customFormat="false" ht="23.85" hidden="false" customHeight="false" outlineLevel="0" collapsed="false">
      <c r="A72" s="4" t="s">
        <v>4310</v>
      </c>
      <c r="B72" s="12" t="s">
        <v>2930</v>
      </c>
      <c r="C72" s="4" t="s">
        <v>4542</v>
      </c>
      <c r="D72" s="12" t="s">
        <v>2808</v>
      </c>
      <c r="E72" s="12" t="s">
        <v>2477</v>
      </c>
      <c r="F72" s="30" t="n">
        <v>150</v>
      </c>
      <c r="G72" s="30" t="n">
        <v>1</v>
      </c>
      <c r="H72" s="19" t="n">
        <v>20</v>
      </c>
      <c r="I72" s="23" t="n">
        <f aca="false">F72*G72*H72</f>
        <v>3000</v>
      </c>
      <c r="J72" s="12" t="s">
        <v>4352</v>
      </c>
      <c r="K72" s="12" t="s">
        <v>2805</v>
      </c>
      <c r="L72" s="12"/>
      <c r="M72" s="4" t="s">
        <v>4543</v>
      </c>
    </row>
    <row r="73" customFormat="false" ht="15" hidden="false" customHeight="false" outlineLevel="0" collapsed="false">
      <c r="A73" s="4" t="s">
        <v>4310</v>
      </c>
      <c r="B73" s="12" t="s">
        <v>2930</v>
      </c>
      <c r="C73" s="4" t="s">
        <v>4544</v>
      </c>
      <c r="D73" s="12" t="s">
        <v>2804</v>
      </c>
      <c r="E73" s="12" t="s">
        <v>2597</v>
      </c>
      <c r="F73" s="30" t="n">
        <v>1</v>
      </c>
      <c r="G73" s="30" t="n">
        <v>1</v>
      </c>
      <c r="H73" s="19" t="n">
        <v>4000</v>
      </c>
      <c r="I73" s="23" t="n">
        <f aca="false">F73*G73*H73</f>
        <v>4000</v>
      </c>
      <c r="J73" s="12" t="s">
        <v>2794</v>
      </c>
      <c r="K73" s="12" t="s">
        <v>2937</v>
      </c>
      <c r="L73" s="12" t="s">
        <v>2796</v>
      </c>
      <c r="M73" s="4"/>
    </row>
    <row r="74" customFormat="false" ht="15" hidden="false" customHeight="false" outlineLevel="0" collapsed="false">
      <c r="A74" s="4" t="s">
        <v>4310</v>
      </c>
      <c r="B74" s="12" t="s">
        <v>2930</v>
      </c>
      <c r="C74" s="4" t="s">
        <v>3365</v>
      </c>
      <c r="D74" s="12" t="s">
        <v>2793</v>
      </c>
      <c r="E74" s="12" t="s">
        <v>2484</v>
      </c>
      <c r="F74" s="30" t="n">
        <v>1</v>
      </c>
      <c r="G74" s="30" t="n">
        <v>1</v>
      </c>
      <c r="H74" s="19" t="n">
        <v>3800</v>
      </c>
      <c r="I74" s="23" t="n">
        <f aca="false">F74*G74*H74</f>
        <v>3800</v>
      </c>
      <c r="J74" s="12" t="s">
        <v>2794</v>
      </c>
      <c r="K74" s="12" t="s">
        <v>2909</v>
      </c>
      <c r="L74" s="12" t="s">
        <v>2796</v>
      </c>
      <c r="M74" s="4" t="s">
        <v>4545</v>
      </c>
    </row>
    <row r="75" customFormat="false" ht="15" hidden="false" customHeight="false" outlineLevel="0" collapsed="false">
      <c r="A75" s="4" t="s">
        <v>4310</v>
      </c>
      <c r="B75" s="12" t="s">
        <v>2930</v>
      </c>
      <c r="C75" s="4" t="s">
        <v>2944</v>
      </c>
      <c r="D75" s="12" t="s">
        <v>2808</v>
      </c>
      <c r="E75" s="12" t="s">
        <v>2477</v>
      </c>
      <c r="F75" s="30" t="n">
        <v>300</v>
      </c>
      <c r="G75" s="30" t="n">
        <v>1</v>
      </c>
      <c r="H75" s="19" t="n">
        <v>2.5</v>
      </c>
      <c r="I75" s="23" t="n">
        <f aca="false">F75*G75*H75</f>
        <v>750</v>
      </c>
      <c r="J75" s="12" t="s">
        <v>4352</v>
      </c>
      <c r="K75" s="12" t="s">
        <v>2805</v>
      </c>
      <c r="L75" s="12"/>
      <c r="M75" s="4" t="s">
        <v>4546</v>
      </c>
    </row>
    <row r="77" customFormat="false" ht="15" hidden="false" customHeight="false" outlineLevel="0" collapsed="false">
      <c r="A77" s="10" t="s">
        <v>2952</v>
      </c>
      <c r="B77" s="23" t="n">
        <f aca="false">SUMIFS($I$66:$I$75,$B$66:$B$75,"Custos de administração")</f>
        <v>15100</v>
      </c>
      <c r="C77" s="13" t="n">
        <f aca="false">B17</f>
        <v>15501.28</v>
      </c>
      <c r="D77" s="23" t="n">
        <f aca="false">C77-B77</f>
        <v>401.280000000001</v>
      </c>
      <c r="E77" s="12" t="str">
        <f aca="false">IF(D77&gt;=0,"OK","EXCEDE")</f>
        <v>OK</v>
      </c>
    </row>
    <row r="78" customFormat="false" ht="15" hidden="false" customHeight="false" outlineLevel="0" collapsed="false">
      <c r="A78" s="10" t="s">
        <v>2953</v>
      </c>
      <c r="B78" s="23" t="n">
        <f aca="false">SUMIFS($I$66:$I$75,$B$66:$B$75,"Custos de acessibilidade, comunicação e divulgação")</f>
        <v>19800</v>
      </c>
      <c r="C78" s="13" t="n">
        <f aca="false">B18</f>
        <v>21314.26</v>
      </c>
      <c r="D78" s="23" t="n">
        <f aca="false">C78-B78</f>
        <v>1514.26</v>
      </c>
      <c r="E78" s="12" t="str">
        <f aca="false">IF(D78&gt;=0,"OK","EXCEDE")</f>
        <v>OK</v>
      </c>
    </row>
    <row r="79" customFormat="false" ht="15" hidden="false" customHeight="false" outlineLevel="0" collapsed="false">
      <c r="A79" s="14" t="s">
        <v>2954</v>
      </c>
    </row>
    <row r="81" customFormat="false" ht="15" hidden="false" customHeight="false" outlineLevel="0" collapsed="false">
      <c r="A81" s="22" t="s">
        <v>2955</v>
      </c>
    </row>
    <row r="82" customFormat="false" ht="30" hidden="false" customHeight="true" outlineLevel="0" collapsed="false">
      <c r="A82" s="21" t="s">
        <v>4547</v>
      </c>
      <c r="B82" s="21"/>
      <c r="C82" s="21"/>
      <c r="D82" s="21"/>
      <c r="E82" s="21"/>
      <c r="F82" s="21"/>
      <c r="G82" s="21"/>
      <c r="H82" s="21"/>
      <c r="I82" s="21"/>
      <c r="J82" s="21"/>
      <c r="K82" s="21"/>
      <c r="L82" s="21"/>
      <c r="M82" s="21"/>
    </row>
    <row r="83" customFormat="false" ht="30" hidden="false" customHeight="true" outlineLevel="0" collapsed="false">
      <c r="A83" s="21" t="s">
        <v>4548</v>
      </c>
      <c r="B83" s="21"/>
      <c r="C83" s="21"/>
      <c r="D83" s="21"/>
      <c r="E83" s="21"/>
      <c r="F83" s="21"/>
      <c r="G83" s="21"/>
      <c r="H83" s="21"/>
      <c r="I83" s="21"/>
      <c r="J83" s="21"/>
      <c r="K83" s="21"/>
      <c r="L83" s="21"/>
      <c r="M83" s="21"/>
    </row>
    <row r="84" customFormat="false" ht="30" hidden="false" customHeight="true" outlineLevel="0" collapsed="false">
      <c r="A84" s="21" t="s">
        <v>4549</v>
      </c>
      <c r="B84" s="21"/>
      <c r="C84" s="21"/>
      <c r="D84" s="21"/>
      <c r="E84" s="21"/>
      <c r="F84" s="21"/>
      <c r="G84" s="21"/>
      <c r="H84" s="21"/>
      <c r="I84" s="21"/>
      <c r="J84" s="21"/>
      <c r="K84" s="21"/>
      <c r="L84" s="21"/>
      <c r="M84" s="21"/>
    </row>
    <row r="85" customFormat="false" ht="30" hidden="false" customHeight="true" outlineLevel="0" collapsed="false">
      <c r="A85" s="21" t="s">
        <v>4550</v>
      </c>
      <c r="B85" s="21"/>
      <c r="C85" s="21"/>
      <c r="D85" s="21"/>
      <c r="E85" s="21"/>
      <c r="F85" s="21"/>
      <c r="G85" s="21"/>
      <c r="H85" s="21"/>
      <c r="I85" s="21"/>
      <c r="J85" s="21"/>
      <c r="K85" s="21"/>
      <c r="L85" s="21"/>
      <c r="M85" s="21"/>
    </row>
    <row r="86" customFormat="false" ht="30" hidden="false" customHeight="true" outlineLevel="0" collapsed="false">
      <c r="A86" s="21" t="s">
        <v>4551</v>
      </c>
      <c r="B86" s="21"/>
      <c r="C86" s="21"/>
      <c r="D86" s="21"/>
      <c r="E86" s="21"/>
      <c r="F86" s="21"/>
      <c r="G86" s="21"/>
      <c r="H86" s="21"/>
      <c r="I86" s="21"/>
      <c r="J86" s="21"/>
      <c r="K86" s="21"/>
      <c r="L86" s="21"/>
      <c r="M86" s="21"/>
    </row>
    <row r="87" customFormat="false" ht="30" hidden="false" customHeight="true" outlineLevel="0" collapsed="false">
      <c r="A87" s="21" t="s">
        <v>4552</v>
      </c>
      <c r="B87" s="21"/>
      <c r="C87" s="21"/>
      <c r="D87" s="21"/>
      <c r="E87" s="21"/>
      <c r="F87" s="21"/>
      <c r="G87" s="21"/>
      <c r="H87" s="21"/>
      <c r="I87" s="21"/>
      <c r="J87" s="21"/>
      <c r="K87" s="21"/>
      <c r="L87" s="21"/>
      <c r="M87" s="21"/>
    </row>
    <row r="88" customFormat="false" ht="30" hidden="false" customHeight="true" outlineLevel="0" collapsed="false">
      <c r="A88" s="21" t="s">
        <v>4553</v>
      </c>
      <c r="B88" s="21"/>
      <c r="C88" s="21"/>
      <c r="D88" s="21"/>
      <c r="E88" s="21"/>
      <c r="F88" s="21"/>
      <c r="G88" s="21"/>
      <c r="H88" s="21"/>
      <c r="I88" s="21"/>
      <c r="J88" s="21"/>
      <c r="K88" s="21"/>
      <c r="L88" s="21"/>
      <c r="M88" s="21"/>
    </row>
    <row r="89" customFormat="false" ht="15" hidden="false" customHeight="true" outlineLevel="0" collapsed="false">
      <c r="A89" s="21" t="s">
        <v>4554</v>
      </c>
      <c r="B89" s="21"/>
      <c r="C89" s="21"/>
      <c r="D89" s="21"/>
      <c r="E89" s="21"/>
      <c r="F89" s="21"/>
      <c r="G89" s="21"/>
      <c r="H89" s="21"/>
      <c r="I89" s="21"/>
      <c r="J89" s="21"/>
      <c r="K89" s="21"/>
      <c r="L89" s="21"/>
      <c r="M89" s="21"/>
    </row>
    <row r="91" customFormat="false" ht="15" hidden="false" customHeight="false" outlineLevel="0" collapsed="false">
      <c r="A91" s="22" t="s">
        <v>2964</v>
      </c>
      <c r="B91" s="19" t="n">
        <v>50000</v>
      </c>
    </row>
    <row r="92" customFormat="false" ht="75" hidden="false" customHeight="true" outlineLevel="0" collapsed="false">
      <c r="A92" s="21" t="s">
        <v>4555</v>
      </c>
      <c r="B92" s="21"/>
      <c r="C92" s="21"/>
      <c r="D92" s="21"/>
      <c r="E92" s="21"/>
      <c r="F92" s="21"/>
      <c r="G92" s="21"/>
      <c r="H92" s="21"/>
      <c r="I92" s="21"/>
      <c r="J92" s="21"/>
      <c r="K92" s="21"/>
      <c r="L92" s="21"/>
      <c r="M92" s="21"/>
    </row>
  </sheetData>
  <mergeCells count="14">
    <mergeCell ref="B2:M2"/>
    <mergeCell ref="B3:M3"/>
    <mergeCell ref="B4:M4"/>
    <mergeCell ref="B5:M5"/>
    <mergeCell ref="B6:M6"/>
    <mergeCell ref="A82:M82"/>
    <mergeCell ref="A83:M83"/>
    <mergeCell ref="A84:M84"/>
    <mergeCell ref="A85:M85"/>
    <mergeCell ref="A86:M86"/>
    <mergeCell ref="A87:M87"/>
    <mergeCell ref="A88:M88"/>
    <mergeCell ref="A89:M89"/>
    <mergeCell ref="A92:M92"/>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1">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6:L75">
    <cfRule type="expression" priority="11" aboveAverage="0" equalAverage="0" bottom="0" percent="0" rank="0" text="" dxfId="2">
      <formula>LEFT(L66,5)="ACIMA"</formula>
    </cfRule>
  </conditionalFormatting>
  <conditionalFormatting sqref="E77:E78">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ISNUMBER(SEARCH("EXCEDE",E77))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4556</v>
      </c>
    </row>
    <row r="2" customFormat="false" ht="30" hidden="false" customHeight="true" outlineLevel="0" collapsed="false">
      <c r="A2" s="22" t="s">
        <v>2748</v>
      </c>
      <c r="B2" s="21" t="s">
        <v>4557</v>
      </c>
      <c r="C2" s="21"/>
      <c r="D2" s="21"/>
      <c r="E2" s="21"/>
      <c r="F2" s="21"/>
      <c r="G2" s="21"/>
      <c r="H2" s="21"/>
      <c r="I2" s="21"/>
      <c r="J2" s="21"/>
      <c r="K2" s="21"/>
      <c r="L2" s="21"/>
      <c r="M2" s="21"/>
    </row>
    <row r="3" customFormat="false" ht="30" hidden="false" customHeight="true" outlineLevel="0" collapsed="false">
      <c r="A3" s="22" t="s">
        <v>2750</v>
      </c>
      <c r="B3" s="21" t="s">
        <v>4558</v>
      </c>
      <c r="C3" s="21"/>
      <c r="D3" s="21"/>
      <c r="E3" s="21"/>
      <c r="F3" s="21"/>
      <c r="G3" s="21"/>
      <c r="H3" s="21"/>
      <c r="I3" s="21"/>
      <c r="J3" s="21"/>
      <c r="K3" s="21"/>
      <c r="L3" s="21"/>
      <c r="M3" s="21"/>
    </row>
    <row r="4" customFormat="false" ht="30" hidden="false" customHeight="true" outlineLevel="0" collapsed="false">
      <c r="A4" s="22" t="s">
        <v>2752</v>
      </c>
      <c r="B4" s="21" t="s">
        <v>4559</v>
      </c>
      <c r="C4" s="21"/>
      <c r="D4" s="21"/>
      <c r="E4" s="21"/>
      <c r="F4" s="21"/>
      <c r="G4" s="21"/>
      <c r="H4" s="21"/>
      <c r="I4" s="21"/>
      <c r="J4" s="21"/>
      <c r="K4" s="21"/>
      <c r="L4" s="21"/>
      <c r="M4" s="21"/>
    </row>
    <row r="5" customFormat="false" ht="30" hidden="false" customHeight="true" outlineLevel="0" collapsed="false">
      <c r="A5" s="22" t="s">
        <v>2754</v>
      </c>
      <c r="B5" s="21" t="s">
        <v>4560</v>
      </c>
      <c r="C5" s="21"/>
      <c r="D5" s="21"/>
      <c r="E5" s="21"/>
      <c r="F5" s="21"/>
      <c r="G5" s="21"/>
      <c r="H5" s="21"/>
      <c r="I5" s="21"/>
      <c r="J5" s="21"/>
      <c r="K5" s="21"/>
      <c r="L5" s="21"/>
      <c r="M5" s="21"/>
    </row>
    <row r="6" customFormat="false" ht="30" hidden="false" customHeight="true" outlineLevel="0" collapsed="false">
      <c r="A6" s="22" t="s">
        <v>2756</v>
      </c>
      <c r="B6" s="21" t="s">
        <v>4561</v>
      </c>
      <c r="C6" s="21"/>
      <c r="D6" s="21"/>
      <c r="E6" s="21"/>
      <c r="F6" s="21"/>
      <c r="G6" s="21"/>
      <c r="H6" s="21"/>
      <c r="I6" s="21"/>
      <c r="J6" s="21"/>
      <c r="K6" s="21"/>
      <c r="L6" s="21"/>
      <c r="M6" s="21"/>
    </row>
    <row r="7" customFormat="false" ht="15" hidden="false" customHeight="false" outlineLevel="0" collapsed="false">
      <c r="A7" s="22" t="s">
        <v>2758</v>
      </c>
      <c r="B7" s="19" t="n">
        <v>450000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SUMIFS($I$26:$I$58,$B$26:$B$58,A11)</f>
        <v>12000</v>
      </c>
      <c r="C11" s="24" t="n">
        <f aca="false">IF($B$16=0,0,B11/$B$16)</f>
        <v>0.0330666872414943</v>
      </c>
    </row>
    <row r="12" customFormat="false" ht="15" hidden="false" customHeight="false" outlineLevel="0" collapsed="false">
      <c r="A12" s="12" t="s">
        <v>2765</v>
      </c>
      <c r="B12" s="23" t="n">
        <f aca="false">SUMIFS($I$26:$I$58,$B$26:$B$58,A12)</f>
        <v>286268</v>
      </c>
      <c r="C12" s="24" t="n">
        <f aca="false">IF($B$16=0,0,B12/$B$16)</f>
        <v>0.788827868604007</v>
      </c>
    </row>
    <row r="13" customFormat="false" ht="15" hidden="false" customHeight="false" outlineLevel="0" collapsed="false">
      <c r="A13" s="12" t="s">
        <v>2766</v>
      </c>
      <c r="B13" s="23" t="n">
        <f aca="false">SUMIFS($I$26:$I$58,$B$26:$B$58,A13)</f>
        <v>33275</v>
      </c>
      <c r="C13" s="24" t="n">
        <f aca="false">IF($B$16=0,0,B13/$B$16)</f>
        <v>0.0916911681633935</v>
      </c>
    </row>
    <row r="14" customFormat="false" ht="15" hidden="false" customHeight="false" outlineLevel="0" collapsed="false">
      <c r="A14" s="12" t="s">
        <v>2767</v>
      </c>
      <c r="B14" s="23" t="n">
        <f aca="false">SUMIFS($I$26:$I$58,$B$26:$B$58,A14)</f>
        <v>16000</v>
      </c>
      <c r="C14" s="24" t="n">
        <f aca="false">IF($B$16=0,0,B14/$B$16)</f>
        <v>0.0440889163219924</v>
      </c>
    </row>
    <row r="15" customFormat="false" ht="15" hidden="false" customHeight="false" outlineLevel="0" collapsed="false">
      <c r="A15" s="12" t="s">
        <v>2768</v>
      </c>
      <c r="B15" s="23" t="n">
        <f aca="false">SUMIFS($I$26:$I$58,$B$26:$B$58,A15)</f>
        <v>15360</v>
      </c>
      <c r="C15" s="24" t="n">
        <f aca="false">IF($B$16=0,0,B15/$B$16)</f>
        <v>0.0423253596691127</v>
      </c>
    </row>
    <row r="16" customFormat="false" ht="15" hidden="false" customHeight="false" outlineLevel="0" collapsed="false">
      <c r="A16" s="25" t="s">
        <v>2769</v>
      </c>
      <c r="B16" s="26" t="n">
        <f aca="false">SUM(B11:B15)</f>
        <v>362903</v>
      </c>
    </row>
    <row r="17" customFormat="false" ht="23.85" hidden="false" customHeight="false" outlineLevel="0" collapsed="false">
      <c r="A17" s="4" t="s">
        <v>2770</v>
      </c>
      <c r="B17" s="23" t="n">
        <f aca="false">$B$16*C17</f>
        <v>21774.18</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29032.24</v>
      </c>
      <c r="C18" s="27" t="n">
        <v>0.08</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36290.3</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449999.72</v>
      </c>
    </row>
    <row r="21" customFormat="false" ht="15" hidden="false" customHeight="false" outlineLevel="0" collapsed="false">
      <c r="A21" s="12" t="s">
        <v>2774</v>
      </c>
      <c r="B21" s="23" t="n">
        <f aca="false">B20-B7</f>
        <v>-0.28000000002794</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4060</v>
      </c>
      <c r="B26" s="12" t="s">
        <v>2764</v>
      </c>
      <c r="C26" s="4" t="s">
        <v>4061</v>
      </c>
      <c r="D26" s="12" t="s">
        <v>2793</v>
      </c>
      <c r="E26" s="12" t="s">
        <v>2484</v>
      </c>
      <c r="F26" s="29" t="n">
        <v>1</v>
      </c>
      <c r="G26" s="29" t="n">
        <v>1</v>
      </c>
      <c r="H26" s="19" t="n">
        <v>7000</v>
      </c>
      <c r="I26" s="23" t="n">
        <f aca="false">F26*G26*H26</f>
        <v>7000</v>
      </c>
      <c r="J26" s="12" t="s">
        <v>4562</v>
      </c>
      <c r="K26" s="12" t="s">
        <v>2795</v>
      </c>
      <c r="L26" s="12" t="s">
        <v>2796</v>
      </c>
      <c r="M26" s="4" t="s">
        <v>4563</v>
      </c>
    </row>
    <row r="27" customFormat="false" ht="35.05" hidden="false" customHeight="false" outlineLevel="0" collapsed="false">
      <c r="A27" s="4" t="s">
        <v>4564</v>
      </c>
      <c r="B27" s="12" t="s">
        <v>2764</v>
      </c>
      <c r="C27" s="4" t="s">
        <v>4565</v>
      </c>
      <c r="D27" s="12" t="s">
        <v>2793</v>
      </c>
      <c r="E27" s="12" t="s">
        <v>2484</v>
      </c>
      <c r="F27" s="29" t="n">
        <v>1</v>
      </c>
      <c r="G27" s="29" t="n">
        <v>1</v>
      </c>
      <c r="H27" s="19" t="n">
        <v>5000</v>
      </c>
      <c r="I27" s="23" t="n">
        <f aca="false">F27*G27*H27</f>
        <v>5000</v>
      </c>
      <c r="J27" s="12" t="s">
        <v>4562</v>
      </c>
      <c r="K27" s="12" t="s">
        <v>2799</v>
      </c>
      <c r="L27" s="12" t="s">
        <v>2796</v>
      </c>
      <c r="M27" s="4" t="s">
        <v>4566</v>
      </c>
    </row>
    <row r="28" customFormat="false" ht="23.85" hidden="false" customHeight="false" outlineLevel="0" collapsed="false">
      <c r="A28" s="4" t="s">
        <v>4060</v>
      </c>
      <c r="B28" s="12" t="s">
        <v>2765</v>
      </c>
      <c r="C28" s="4" t="s">
        <v>4068</v>
      </c>
      <c r="D28" s="12" t="s">
        <v>2793</v>
      </c>
      <c r="E28" s="12" t="s">
        <v>2484</v>
      </c>
      <c r="F28" s="29" t="n">
        <v>1</v>
      </c>
      <c r="G28" s="29" t="n">
        <v>8</v>
      </c>
      <c r="H28" s="19" t="n">
        <v>6306</v>
      </c>
      <c r="I28" s="23" t="n">
        <f aca="false">F28*G28*H28</f>
        <v>50448</v>
      </c>
      <c r="J28" s="12" t="s">
        <v>4562</v>
      </c>
      <c r="K28" s="12" t="s">
        <v>2795</v>
      </c>
      <c r="L28" s="12" t="s">
        <v>2796</v>
      </c>
      <c r="M28" s="4" t="s">
        <v>4567</v>
      </c>
    </row>
    <row r="29" customFormat="false" ht="35.05" hidden="false" customHeight="false" outlineLevel="0" collapsed="false">
      <c r="A29" s="4" t="s">
        <v>4564</v>
      </c>
      <c r="B29" s="12" t="s">
        <v>2765</v>
      </c>
      <c r="C29" s="4" t="s">
        <v>4568</v>
      </c>
      <c r="D29" s="12" t="s">
        <v>2793</v>
      </c>
      <c r="E29" s="12" t="s">
        <v>2484</v>
      </c>
      <c r="F29" s="29" t="n">
        <v>1</v>
      </c>
      <c r="G29" s="29" t="n">
        <v>8</v>
      </c>
      <c r="H29" s="19" t="n">
        <v>2500</v>
      </c>
      <c r="I29" s="23" t="n">
        <f aca="false">F29*G29*H29</f>
        <v>20000</v>
      </c>
      <c r="J29" s="12" t="s">
        <v>4562</v>
      </c>
      <c r="K29" s="12" t="s">
        <v>2799</v>
      </c>
      <c r="L29" s="12" t="s">
        <v>2950</v>
      </c>
      <c r="M29" s="4" t="s">
        <v>4569</v>
      </c>
    </row>
    <row r="30" customFormat="false" ht="23.85" hidden="false" customHeight="false" outlineLevel="0" collapsed="false">
      <c r="A30" s="4" t="s">
        <v>4060</v>
      </c>
      <c r="B30" s="12" t="s">
        <v>2765</v>
      </c>
      <c r="C30" s="4" t="s">
        <v>2493</v>
      </c>
      <c r="D30" s="12" t="s">
        <v>2793</v>
      </c>
      <c r="E30" s="12" t="s">
        <v>2484</v>
      </c>
      <c r="F30" s="29" t="n">
        <v>1</v>
      </c>
      <c r="G30" s="29" t="n">
        <v>6</v>
      </c>
      <c r="H30" s="19" t="n">
        <v>3000</v>
      </c>
      <c r="I30" s="23" t="n">
        <f aca="false">F30*G30*H30</f>
        <v>18000</v>
      </c>
      <c r="J30" s="12" t="s">
        <v>4562</v>
      </c>
      <c r="K30" s="12" t="s">
        <v>2818</v>
      </c>
      <c r="L30" s="12" t="s">
        <v>2796</v>
      </c>
      <c r="M30" s="4" t="s">
        <v>4570</v>
      </c>
    </row>
    <row r="31" customFormat="false" ht="35.05" hidden="false" customHeight="false" outlineLevel="0" collapsed="false">
      <c r="A31" s="4" t="s">
        <v>4564</v>
      </c>
      <c r="B31" s="12" t="s">
        <v>2765</v>
      </c>
      <c r="C31" s="4" t="s">
        <v>4571</v>
      </c>
      <c r="D31" s="12" t="s">
        <v>2808</v>
      </c>
      <c r="E31" s="12" t="s">
        <v>2501</v>
      </c>
      <c r="F31" s="29" t="n">
        <v>80</v>
      </c>
      <c r="G31" s="29" t="n">
        <v>4</v>
      </c>
      <c r="H31" s="19" t="n">
        <v>130</v>
      </c>
      <c r="I31" s="23" t="n">
        <f aca="false">F31*G31*H31</f>
        <v>41600</v>
      </c>
      <c r="J31" s="12" t="s">
        <v>4562</v>
      </c>
      <c r="K31" s="12" t="s">
        <v>2821</v>
      </c>
      <c r="L31" s="12" t="s">
        <v>2796</v>
      </c>
      <c r="M31" s="4" t="s">
        <v>4572</v>
      </c>
    </row>
    <row r="32" customFormat="false" ht="35.05" hidden="false" customHeight="false" outlineLevel="0" collapsed="false">
      <c r="A32" s="4" t="s">
        <v>4564</v>
      </c>
      <c r="B32" s="12" t="s">
        <v>2765</v>
      </c>
      <c r="C32" s="4" t="s">
        <v>4573</v>
      </c>
      <c r="D32" s="12" t="s">
        <v>2808</v>
      </c>
      <c r="E32" s="12" t="s">
        <v>2501</v>
      </c>
      <c r="F32" s="29" t="n">
        <v>12</v>
      </c>
      <c r="G32" s="29" t="n">
        <v>4</v>
      </c>
      <c r="H32" s="19" t="n">
        <v>150</v>
      </c>
      <c r="I32" s="23" t="n">
        <f aca="false">F32*G32*H32</f>
        <v>7200</v>
      </c>
      <c r="J32" s="12" t="s">
        <v>4562</v>
      </c>
      <c r="K32" s="12" t="s">
        <v>2821</v>
      </c>
      <c r="L32" s="12" t="s">
        <v>2796</v>
      </c>
      <c r="M32" s="4" t="s">
        <v>4574</v>
      </c>
    </row>
    <row r="33" customFormat="false" ht="35.05" hidden="false" customHeight="false" outlineLevel="0" collapsed="false">
      <c r="A33" s="4" t="s">
        <v>4564</v>
      </c>
      <c r="B33" s="12" t="s">
        <v>2765</v>
      </c>
      <c r="C33" s="4" t="s">
        <v>4575</v>
      </c>
      <c r="D33" s="12" t="s">
        <v>2808</v>
      </c>
      <c r="E33" s="12" t="s">
        <v>3411</v>
      </c>
      <c r="F33" s="29" t="n">
        <v>4</v>
      </c>
      <c r="G33" s="29" t="n">
        <v>1</v>
      </c>
      <c r="H33" s="19" t="n">
        <v>5000</v>
      </c>
      <c r="I33" s="23" t="n">
        <f aca="false">F33*G33*H33</f>
        <v>20000</v>
      </c>
      <c r="J33" s="12" t="s">
        <v>4562</v>
      </c>
      <c r="K33" s="12" t="s">
        <v>2805</v>
      </c>
      <c r="L33" s="12"/>
      <c r="M33" s="4" t="s">
        <v>4576</v>
      </c>
    </row>
    <row r="34" customFormat="false" ht="35.05" hidden="false" customHeight="false" outlineLevel="0" collapsed="false">
      <c r="A34" s="4" t="s">
        <v>4564</v>
      </c>
      <c r="B34" s="12" t="s">
        <v>2765</v>
      </c>
      <c r="C34" s="4" t="s">
        <v>4577</v>
      </c>
      <c r="D34" s="12" t="s">
        <v>2793</v>
      </c>
      <c r="E34" s="12" t="s">
        <v>4578</v>
      </c>
      <c r="F34" s="29" t="n">
        <v>8</v>
      </c>
      <c r="G34" s="29" t="n">
        <v>8</v>
      </c>
      <c r="H34" s="19" t="n">
        <v>200</v>
      </c>
      <c r="I34" s="23" t="n">
        <f aca="false">F34*G34*H34</f>
        <v>12800</v>
      </c>
      <c r="J34" s="12" t="s">
        <v>4562</v>
      </c>
      <c r="K34" s="12" t="s">
        <v>2805</v>
      </c>
      <c r="L34" s="12"/>
      <c r="M34" s="4" t="s">
        <v>4579</v>
      </c>
    </row>
    <row r="35" customFormat="false" ht="35.05" hidden="false" customHeight="false" outlineLevel="0" collapsed="false">
      <c r="A35" s="4" t="s">
        <v>4564</v>
      </c>
      <c r="B35" s="12" t="s">
        <v>2765</v>
      </c>
      <c r="C35" s="4" t="s">
        <v>4580</v>
      </c>
      <c r="D35" s="12" t="s">
        <v>2808</v>
      </c>
      <c r="E35" s="12" t="s">
        <v>2831</v>
      </c>
      <c r="F35" s="29" t="n">
        <v>80</v>
      </c>
      <c r="G35" s="29" t="n">
        <v>1</v>
      </c>
      <c r="H35" s="19" t="n">
        <v>60</v>
      </c>
      <c r="I35" s="23" t="n">
        <f aca="false">F35*G35*H35</f>
        <v>4800</v>
      </c>
      <c r="J35" s="12" t="s">
        <v>4562</v>
      </c>
      <c r="K35" s="12" t="s">
        <v>2805</v>
      </c>
      <c r="L35" s="12"/>
      <c r="M35" s="4" t="s">
        <v>4581</v>
      </c>
    </row>
    <row r="36" customFormat="false" ht="35.05" hidden="false" customHeight="false" outlineLevel="0" collapsed="false">
      <c r="A36" s="4" t="s">
        <v>4564</v>
      </c>
      <c r="B36" s="12" t="s">
        <v>2765</v>
      </c>
      <c r="C36" s="4" t="s">
        <v>2840</v>
      </c>
      <c r="D36" s="12" t="s">
        <v>2808</v>
      </c>
      <c r="E36" s="12" t="s">
        <v>2477</v>
      </c>
      <c r="F36" s="29" t="n">
        <v>80</v>
      </c>
      <c r="G36" s="29" t="n">
        <v>32</v>
      </c>
      <c r="H36" s="19" t="n">
        <v>8</v>
      </c>
      <c r="I36" s="23" t="n">
        <f aca="false">F36*G36*H36</f>
        <v>20480</v>
      </c>
      <c r="J36" s="12" t="s">
        <v>4562</v>
      </c>
      <c r="K36" s="12" t="s">
        <v>2805</v>
      </c>
      <c r="L36" s="12"/>
      <c r="M36" s="4" t="s">
        <v>4582</v>
      </c>
    </row>
    <row r="37" customFormat="false" ht="35.05" hidden="false" customHeight="false" outlineLevel="0" collapsed="false">
      <c r="A37" s="4" t="s">
        <v>4564</v>
      </c>
      <c r="B37" s="12" t="s">
        <v>2765</v>
      </c>
      <c r="C37" s="4" t="s">
        <v>3430</v>
      </c>
      <c r="D37" s="12" t="s">
        <v>2808</v>
      </c>
      <c r="E37" s="12" t="s">
        <v>2477</v>
      </c>
      <c r="F37" s="29" t="n">
        <v>80</v>
      </c>
      <c r="G37" s="29" t="n">
        <v>1</v>
      </c>
      <c r="H37" s="19" t="n">
        <v>8</v>
      </c>
      <c r="I37" s="23" t="n">
        <f aca="false">F37*G37*H37</f>
        <v>640</v>
      </c>
      <c r="J37" s="12" t="s">
        <v>4562</v>
      </c>
      <c r="K37" s="12" t="s">
        <v>2805</v>
      </c>
      <c r="L37" s="12"/>
      <c r="M37" s="4"/>
    </row>
    <row r="38" customFormat="false" ht="35.05" hidden="false" customHeight="false" outlineLevel="0" collapsed="false">
      <c r="A38" s="4" t="s">
        <v>4564</v>
      </c>
      <c r="B38" s="12" t="s">
        <v>2765</v>
      </c>
      <c r="C38" s="4" t="s">
        <v>4583</v>
      </c>
      <c r="D38" s="12" t="s">
        <v>2808</v>
      </c>
      <c r="E38" s="12" t="s">
        <v>2497</v>
      </c>
      <c r="F38" s="29" t="n">
        <v>3</v>
      </c>
      <c r="G38" s="29" t="n">
        <v>1</v>
      </c>
      <c r="H38" s="19" t="n">
        <v>3000</v>
      </c>
      <c r="I38" s="23" t="n">
        <f aca="false">F38*G38*H38</f>
        <v>9000</v>
      </c>
      <c r="J38" s="12" t="s">
        <v>4562</v>
      </c>
      <c r="K38" s="12" t="s">
        <v>2828</v>
      </c>
      <c r="L38" s="12" t="s">
        <v>2796</v>
      </c>
      <c r="M38" s="4" t="s">
        <v>4584</v>
      </c>
    </row>
    <row r="39" customFormat="false" ht="23.85" hidden="false" customHeight="false" outlineLevel="0" collapsed="false">
      <c r="A39" s="4" t="s">
        <v>4060</v>
      </c>
      <c r="B39" s="12" t="s">
        <v>2765</v>
      </c>
      <c r="C39" s="4" t="s">
        <v>4195</v>
      </c>
      <c r="D39" s="12" t="s">
        <v>2808</v>
      </c>
      <c r="E39" s="12" t="s">
        <v>2683</v>
      </c>
      <c r="F39" s="29" t="n">
        <v>1</v>
      </c>
      <c r="G39" s="29" t="n">
        <v>1</v>
      </c>
      <c r="H39" s="19" t="n">
        <v>3000</v>
      </c>
      <c r="I39" s="23" t="n">
        <f aca="false">F39*G39*H39</f>
        <v>3000</v>
      </c>
      <c r="J39" s="12" t="s">
        <v>4562</v>
      </c>
      <c r="K39" s="12" t="s">
        <v>2845</v>
      </c>
      <c r="L39" s="12" t="s">
        <v>2796</v>
      </c>
      <c r="M39" s="4" t="s">
        <v>4585</v>
      </c>
    </row>
    <row r="40" customFormat="false" ht="35.05" hidden="false" customHeight="false" outlineLevel="0" collapsed="false">
      <c r="A40" s="4" t="s">
        <v>4586</v>
      </c>
      <c r="B40" s="12" t="s">
        <v>2765</v>
      </c>
      <c r="C40" s="4" t="s">
        <v>4587</v>
      </c>
      <c r="D40" s="12" t="s">
        <v>2804</v>
      </c>
      <c r="E40" s="12" t="s">
        <v>2597</v>
      </c>
      <c r="F40" s="29" t="n">
        <v>1</v>
      </c>
      <c r="G40" s="29" t="n">
        <v>1</v>
      </c>
      <c r="H40" s="19" t="n">
        <v>15000</v>
      </c>
      <c r="I40" s="23" t="n">
        <f aca="false">F40*G40*H40</f>
        <v>15000</v>
      </c>
      <c r="J40" s="12" t="s">
        <v>4562</v>
      </c>
      <c r="K40" s="12" t="s">
        <v>2805</v>
      </c>
      <c r="L40" s="12"/>
      <c r="M40" s="4" t="s">
        <v>4588</v>
      </c>
    </row>
    <row r="41" customFormat="false" ht="35.05" hidden="false" customHeight="false" outlineLevel="0" collapsed="false">
      <c r="A41" s="4" t="s">
        <v>4586</v>
      </c>
      <c r="B41" s="12" t="s">
        <v>2765</v>
      </c>
      <c r="C41" s="4" t="s">
        <v>4589</v>
      </c>
      <c r="D41" s="12" t="s">
        <v>2804</v>
      </c>
      <c r="E41" s="12" t="s">
        <v>2597</v>
      </c>
      <c r="F41" s="29" t="n">
        <v>1</v>
      </c>
      <c r="G41" s="29" t="n">
        <v>1</v>
      </c>
      <c r="H41" s="19" t="n">
        <v>8000</v>
      </c>
      <c r="I41" s="23" t="n">
        <f aca="false">F41*G41*H41</f>
        <v>8000</v>
      </c>
      <c r="J41" s="12" t="s">
        <v>4562</v>
      </c>
      <c r="K41" s="12" t="s">
        <v>2805</v>
      </c>
      <c r="L41" s="12"/>
      <c r="M41" s="4" t="s">
        <v>4590</v>
      </c>
    </row>
    <row r="42" customFormat="false" ht="35.05" hidden="false" customHeight="false" outlineLevel="0" collapsed="false">
      <c r="A42" s="4" t="s">
        <v>4586</v>
      </c>
      <c r="B42" s="12" t="s">
        <v>2765</v>
      </c>
      <c r="C42" s="4" t="s">
        <v>4591</v>
      </c>
      <c r="D42" s="12" t="s">
        <v>2808</v>
      </c>
      <c r="E42" s="12" t="s">
        <v>2497</v>
      </c>
      <c r="F42" s="29" t="n">
        <v>6</v>
      </c>
      <c r="G42" s="29" t="n">
        <v>1</v>
      </c>
      <c r="H42" s="19" t="n">
        <v>1800</v>
      </c>
      <c r="I42" s="23" t="n">
        <f aca="false">F42*G42*H42</f>
        <v>10800</v>
      </c>
      <c r="J42" s="12" t="s">
        <v>4562</v>
      </c>
      <c r="K42" s="12" t="s">
        <v>2851</v>
      </c>
      <c r="L42" s="12" t="s">
        <v>2796</v>
      </c>
      <c r="M42" s="4" t="s">
        <v>4592</v>
      </c>
    </row>
    <row r="43" customFormat="false" ht="35.05" hidden="false" customHeight="false" outlineLevel="0" collapsed="false">
      <c r="A43" s="4" t="s">
        <v>4586</v>
      </c>
      <c r="B43" s="12" t="s">
        <v>2765</v>
      </c>
      <c r="C43" s="4" t="s">
        <v>4593</v>
      </c>
      <c r="D43" s="12" t="s">
        <v>2808</v>
      </c>
      <c r="E43" s="12" t="s">
        <v>2497</v>
      </c>
      <c r="F43" s="29" t="n">
        <v>6</v>
      </c>
      <c r="G43" s="29" t="n">
        <v>1</v>
      </c>
      <c r="H43" s="19" t="n">
        <v>700</v>
      </c>
      <c r="I43" s="23" t="n">
        <f aca="false">F43*G43*H43</f>
        <v>4200</v>
      </c>
      <c r="J43" s="12" t="s">
        <v>4562</v>
      </c>
      <c r="K43" s="12" t="s">
        <v>2866</v>
      </c>
      <c r="L43" s="12" t="s">
        <v>2796</v>
      </c>
      <c r="M43" s="4"/>
    </row>
    <row r="44" customFormat="false" ht="35.05" hidden="false" customHeight="false" outlineLevel="0" collapsed="false">
      <c r="A44" s="4" t="s">
        <v>4586</v>
      </c>
      <c r="B44" s="12" t="s">
        <v>2765</v>
      </c>
      <c r="C44" s="4" t="s">
        <v>4594</v>
      </c>
      <c r="D44" s="12" t="s">
        <v>2808</v>
      </c>
      <c r="E44" s="12" t="s">
        <v>2497</v>
      </c>
      <c r="F44" s="29" t="n">
        <v>3</v>
      </c>
      <c r="G44" s="29" t="n">
        <v>1</v>
      </c>
      <c r="H44" s="19" t="n">
        <v>900</v>
      </c>
      <c r="I44" s="23" t="n">
        <f aca="false">F44*G44*H44</f>
        <v>2700</v>
      </c>
      <c r="J44" s="12" t="s">
        <v>4562</v>
      </c>
      <c r="K44" s="12" t="s">
        <v>2848</v>
      </c>
      <c r="L44" s="12" t="s">
        <v>2796</v>
      </c>
      <c r="M44" s="4"/>
    </row>
    <row r="45" customFormat="false" ht="23.85" hidden="false" customHeight="false" outlineLevel="0" collapsed="false">
      <c r="A45" s="4" t="s">
        <v>4595</v>
      </c>
      <c r="B45" s="12" t="s">
        <v>2765</v>
      </c>
      <c r="C45" s="4" t="s">
        <v>4596</v>
      </c>
      <c r="D45" s="12" t="s">
        <v>2808</v>
      </c>
      <c r="E45" s="12" t="s">
        <v>2497</v>
      </c>
      <c r="F45" s="29" t="n">
        <v>4</v>
      </c>
      <c r="G45" s="29" t="n">
        <v>1</v>
      </c>
      <c r="H45" s="19" t="n">
        <v>2000</v>
      </c>
      <c r="I45" s="23" t="n">
        <f aca="false">F45*G45*H45</f>
        <v>8000</v>
      </c>
      <c r="J45" s="12" t="s">
        <v>4562</v>
      </c>
      <c r="K45" s="12" t="s">
        <v>2805</v>
      </c>
      <c r="L45" s="12"/>
      <c r="M45" s="4" t="s">
        <v>4597</v>
      </c>
    </row>
    <row r="46" customFormat="false" ht="23.85" hidden="false" customHeight="false" outlineLevel="0" collapsed="false">
      <c r="A46" s="4" t="s">
        <v>4595</v>
      </c>
      <c r="B46" s="12" t="s">
        <v>2765</v>
      </c>
      <c r="C46" s="4" t="s">
        <v>4598</v>
      </c>
      <c r="D46" s="12" t="s">
        <v>2808</v>
      </c>
      <c r="E46" s="12" t="s">
        <v>2497</v>
      </c>
      <c r="F46" s="29" t="n">
        <v>4</v>
      </c>
      <c r="G46" s="29" t="n">
        <v>1</v>
      </c>
      <c r="H46" s="19" t="n">
        <v>700</v>
      </c>
      <c r="I46" s="23" t="n">
        <f aca="false">F46*G46*H46</f>
        <v>2800</v>
      </c>
      <c r="J46" s="12" t="s">
        <v>4562</v>
      </c>
      <c r="K46" s="12" t="s">
        <v>2866</v>
      </c>
      <c r="L46" s="12" t="s">
        <v>2796</v>
      </c>
      <c r="M46" s="4"/>
    </row>
    <row r="47" customFormat="false" ht="35.05" hidden="false" customHeight="false" outlineLevel="0" collapsed="false">
      <c r="A47" s="4" t="s">
        <v>4586</v>
      </c>
      <c r="B47" s="12" t="s">
        <v>2766</v>
      </c>
      <c r="C47" s="4" t="s">
        <v>4599</v>
      </c>
      <c r="D47" s="12" t="s">
        <v>2804</v>
      </c>
      <c r="E47" s="12" t="s">
        <v>2597</v>
      </c>
      <c r="F47" s="29" t="n">
        <v>5</v>
      </c>
      <c r="G47" s="29" t="n">
        <v>1</v>
      </c>
      <c r="H47" s="19" t="n">
        <v>3000</v>
      </c>
      <c r="I47" s="23" t="n">
        <f aca="false">F47*G47*H47</f>
        <v>15000</v>
      </c>
      <c r="J47" s="12" t="s">
        <v>4562</v>
      </c>
      <c r="K47" s="12" t="s">
        <v>2891</v>
      </c>
      <c r="L47" s="12" t="s">
        <v>2796</v>
      </c>
      <c r="M47" s="4" t="s">
        <v>4600</v>
      </c>
    </row>
    <row r="48" customFormat="false" ht="35.05" hidden="false" customHeight="false" outlineLevel="0" collapsed="false">
      <c r="A48" s="4" t="s">
        <v>4586</v>
      </c>
      <c r="B48" s="12" t="s">
        <v>2766</v>
      </c>
      <c r="C48" s="4" t="s">
        <v>4601</v>
      </c>
      <c r="D48" s="12" t="s">
        <v>2804</v>
      </c>
      <c r="E48" s="12" t="s">
        <v>2597</v>
      </c>
      <c r="F48" s="29" t="n">
        <v>1</v>
      </c>
      <c r="G48" s="29" t="n">
        <v>1</v>
      </c>
      <c r="H48" s="19" t="n">
        <v>5000</v>
      </c>
      <c r="I48" s="23" t="n">
        <f aca="false">F48*G48*H48</f>
        <v>5000</v>
      </c>
      <c r="J48" s="12" t="s">
        <v>4562</v>
      </c>
      <c r="K48" s="12" t="s">
        <v>2805</v>
      </c>
      <c r="L48" s="12"/>
      <c r="M48" s="4" t="s">
        <v>4602</v>
      </c>
    </row>
    <row r="49" customFormat="false" ht="35.05" hidden="false" customHeight="false" outlineLevel="0" collapsed="false">
      <c r="A49" s="4" t="s">
        <v>4586</v>
      </c>
      <c r="B49" s="12" t="s">
        <v>2766</v>
      </c>
      <c r="C49" s="4" t="s">
        <v>4603</v>
      </c>
      <c r="D49" s="12" t="s">
        <v>2804</v>
      </c>
      <c r="E49" s="12" t="s">
        <v>2597</v>
      </c>
      <c r="F49" s="29" t="n">
        <v>1</v>
      </c>
      <c r="G49" s="29" t="n">
        <v>1</v>
      </c>
      <c r="H49" s="19" t="n">
        <v>6275</v>
      </c>
      <c r="I49" s="23" t="n">
        <f aca="false">F49*G49*H49</f>
        <v>6275</v>
      </c>
      <c r="J49" s="12" t="s">
        <v>4562</v>
      </c>
      <c r="K49" s="12" t="s">
        <v>2805</v>
      </c>
      <c r="L49" s="12"/>
      <c r="M49" s="4" t="s">
        <v>4604</v>
      </c>
    </row>
    <row r="50" customFormat="false" ht="23.85" hidden="false" customHeight="false" outlineLevel="0" collapsed="false">
      <c r="A50" s="4" t="s">
        <v>4060</v>
      </c>
      <c r="B50" s="12" t="s">
        <v>2766</v>
      </c>
      <c r="C50" s="4" t="s">
        <v>4605</v>
      </c>
      <c r="D50" s="12" t="s">
        <v>2793</v>
      </c>
      <c r="E50" s="12" t="s">
        <v>2484</v>
      </c>
      <c r="F50" s="29" t="n">
        <v>1</v>
      </c>
      <c r="G50" s="29" t="n">
        <v>1</v>
      </c>
      <c r="H50" s="19" t="n">
        <v>7000</v>
      </c>
      <c r="I50" s="23" t="n">
        <f aca="false">F50*G50*H50</f>
        <v>7000</v>
      </c>
      <c r="J50" s="12" t="s">
        <v>4562</v>
      </c>
      <c r="K50" s="12" t="s">
        <v>2795</v>
      </c>
      <c r="L50" s="12" t="s">
        <v>2796</v>
      </c>
      <c r="M50" s="4" t="s">
        <v>4606</v>
      </c>
    </row>
    <row r="51" customFormat="false" ht="23.85" hidden="false" customHeight="false" outlineLevel="0" collapsed="false">
      <c r="A51" s="4" t="s">
        <v>4060</v>
      </c>
      <c r="B51" s="12" t="s">
        <v>2768</v>
      </c>
      <c r="C51" s="4" t="s">
        <v>2911</v>
      </c>
      <c r="D51" s="12" t="s">
        <v>2882</v>
      </c>
      <c r="E51" s="12" t="s">
        <v>2601</v>
      </c>
      <c r="F51" s="29" t="n">
        <v>1</v>
      </c>
      <c r="G51" s="29" t="n">
        <v>1</v>
      </c>
      <c r="H51" s="19" t="n">
        <v>15360</v>
      </c>
      <c r="I51" s="23" t="n">
        <f aca="false">F51*G51*H51</f>
        <v>15360</v>
      </c>
      <c r="J51" s="12" t="s">
        <v>4562</v>
      </c>
      <c r="K51" s="12" t="s">
        <v>2805</v>
      </c>
      <c r="L51" s="12"/>
      <c r="M51" s="4" t="s">
        <v>4607</v>
      </c>
    </row>
    <row r="52" customFormat="false" ht="23.85" hidden="false" customHeight="false" outlineLevel="0" collapsed="false">
      <c r="A52" s="4" t="s">
        <v>4060</v>
      </c>
      <c r="B52" s="12" t="s">
        <v>2767</v>
      </c>
      <c r="C52" s="4" t="s">
        <v>2893</v>
      </c>
      <c r="D52" s="12" t="s">
        <v>2793</v>
      </c>
      <c r="E52" s="12" t="s">
        <v>2484</v>
      </c>
      <c r="F52" s="29" t="n">
        <v>10</v>
      </c>
      <c r="G52" s="29" t="n">
        <v>1</v>
      </c>
      <c r="H52" s="19" t="n">
        <v>1200</v>
      </c>
      <c r="I52" s="23" t="n">
        <f aca="false">F52*G52*H52</f>
        <v>12000</v>
      </c>
      <c r="J52" s="12" t="s">
        <v>4562</v>
      </c>
      <c r="K52" s="12" t="s">
        <v>2894</v>
      </c>
      <c r="L52" s="12" t="s">
        <v>2796</v>
      </c>
      <c r="M52" s="4"/>
    </row>
    <row r="53" customFormat="false" ht="23.85" hidden="false" customHeight="false" outlineLevel="0" collapsed="false">
      <c r="A53" s="4" t="s">
        <v>4060</v>
      </c>
      <c r="B53" s="12" t="s">
        <v>2767</v>
      </c>
      <c r="C53" s="4" t="s">
        <v>4608</v>
      </c>
      <c r="D53" s="12" t="s">
        <v>2793</v>
      </c>
      <c r="E53" s="12" t="s">
        <v>2484</v>
      </c>
      <c r="F53" s="29" t="n">
        <v>2</v>
      </c>
      <c r="G53" s="29" t="n">
        <v>1</v>
      </c>
      <c r="H53" s="19" t="n">
        <v>2000</v>
      </c>
      <c r="I53" s="23" t="n">
        <f aca="false">F53*G53*H53</f>
        <v>4000</v>
      </c>
      <c r="J53" s="12" t="s">
        <v>4562</v>
      </c>
      <c r="K53" s="12" t="s">
        <v>2891</v>
      </c>
      <c r="L53" s="12" t="s">
        <v>2796</v>
      </c>
      <c r="M53" s="4"/>
    </row>
    <row r="54" customFormat="false" ht="23.85" hidden="false" customHeight="false" outlineLevel="0" collapsed="false">
      <c r="A54" s="4" t="s">
        <v>4060</v>
      </c>
      <c r="B54" s="12" t="s">
        <v>2765</v>
      </c>
      <c r="C54" s="4" t="s">
        <v>4609</v>
      </c>
      <c r="D54" s="12" t="s">
        <v>2808</v>
      </c>
      <c r="E54" s="12" t="s">
        <v>2497</v>
      </c>
      <c r="F54" s="29" t="n">
        <v>4</v>
      </c>
      <c r="G54" s="29" t="n">
        <v>1</v>
      </c>
      <c r="H54" s="19" t="n">
        <v>1300</v>
      </c>
      <c r="I54" s="23" t="n">
        <f aca="false">F54*G54*H54</f>
        <v>5200</v>
      </c>
      <c r="J54" s="12" t="s">
        <v>4562</v>
      </c>
      <c r="K54" s="12" t="s">
        <v>2805</v>
      </c>
      <c r="L54" s="12"/>
      <c r="M54" s="4" t="s">
        <v>3234</v>
      </c>
    </row>
    <row r="55" customFormat="false" ht="23.85" hidden="false" customHeight="false" outlineLevel="0" collapsed="false">
      <c r="A55" s="4" t="s">
        <v>4060</v>
      </c>
      <c r="B55" s="12" t="s">
        <v>2765</v>
      </c>
      <c r="C55" s="4" t="s">
        <v>4123</v>
      </c>
      <c r="D55" s="12" t="s">
        <v>2808</v>
      </c>
      <c r="E55" s="12" t="s">
        <v>2702</v>
      </c>
      <c r="F55" s="29" t="n">
        <v>20</v>
      </c>
      <c r="G55" s="29" t="n">
        <v>1</v>
      </c>
      <c r="H55" s="19" t="n">
        <v>180</v>
      </c>
      <c r="I55" s="23" t="n">
        <f aca="false">F55*G55*H55</f>
        <v>3600</v>
      </c>
      <c r="J55" s="12" t="s">
        <v>4562</v>
      </c>
      <c r="K55" s="12" t="s">
        <v>2899</v>
      </c>
      <c r="L55" s="12" t="s">
        <v>2796</v>
      </c>
      <c r="M55" s="4" t="s">
        <v>3234</v>
      </c>
    </row>
    <row r="56" customFormat="false" ht="23.85" hidden="false" customHeight="false" outlineLevel="0" collapsed="false">
      <c r="A56" s="4" t="s">
        <v>4060</v>
      </c>
      <c r="B56" s="12" t="s">
        <v>2765</v>
      </c>
      <c r="C56" s="4" t="s">
        <v>4610</v>
      </c>
      <c r="D56" s="12" t="s">
        <v>2804</v>
      </c>
      <c r="E56" s="12" t="s">
        <v>2597</v>
      </c>
      <c r="F56" s="29" t="n">
        <v>5</v>
      </c>
      <c r="G56" s="29" t="n">
        <v>1</v>
      </c>
      <c r="H56" s="19" t="n">
        <v>1000</v>
      </c>
      <c r="I56" s="23" t="n">
        <f aca="false">F56*G56*H56</f>
        <v>5000</v>
      </c>
      <c r="J56" s="12" t="s">
        <v>4562</v>
      </c>
      <c r="K56" s="12" t="s">
        <v>2805</v>
      </c>
      <c r="L56" s="12"/>
      <c r="M56" s="4" t="s">
        <v>4611</v>
      </c>
    </row>
    <row r="57" customFormat="false" ht="23.85" hidden="false" customHeight="false" outlineLevel="0" collapsed="false">
      <c r="A57" s="4" t="s">
        <v>4060</v>
      </c>
      <c r="B57" s="12" t="s">
        <v>2765</v>
      </c>
      <c r="C57" s="4" t="s">
        <v>4612</v>
      </c>
      <c r="D57" s="12" t="s">
        <v>2804</v>
      </c>
      <c r="E57" s="12" t="s">
        <v>2597</v>
      </c>
      <c r="F57" s="29" t="n">
        <v>5</v>
      </c>
      <c r="G57" s="29" t="n">
        <v>1</v>
      </c>
      <c r="H57" s="19" t="n">
        <v>2000</v>
      </c>
      <c r="I57" s="23" t="n">
        <f aca="false">F57*G57*H57</f>
        <v>10000</v>
      </c>
      <c r="J57" s="12" t="s">
        <v>4562</v>
      </c>
      <c r="K57" s="12" t="s">
        <v>2902</v>
      </c>
      <c r="L57" s="12" t="s">
        <v>2950</v>
      </c>
      <c r="M57" s="4" t="s">
        <v>3234</v>
      </c>
    </row>
    <row r="58" customFormat="false" ht="23.85" hidden="false" customHeight="false" outlineLevel="0" collapsed="false">
      <c r="A58" s="4" t="s">
        <v>4060</v>
      </c>
      <c r="B58" s="12" t="s">
        <v>2765</v>
      </c>
      <c r="C58" s="4" t="s">
        <v>4613</v>
      </c>
      <c r="D58" s="12" t="s">
        <v>2804</v>
      </c>
      <c r="E58" s="12" t="s">
        <v>2597</v>
      </c>
      <c r="F58" s="29" t="n">
        <v>5</v>
      </c>
      <c r="G58" s="29" t="n">
        <v>1</v>
      </c>
      <c r="H58" s="19" t="n">
        <v>600</v>
      </c>
      <c r="I58" s="23" t="n">
        <f aca="false">F58*G58*H58</f>
        <v>3000</v>
      </c>
      <c r="J58" s="12" t="s">
        <v>4562</v>
      </c>
      <c r="K58" s="12" t="s">
        <v>2805</v>
      </c>
      <c r="L58" s="12"/>
      <c r="M58" s="4" t="s">
        <v>4611</v>
      </c>
    </row>
    <row r="59" customFormat="false" ht="15" hidden="false" customHeight="false" outlineLevel="0" collapsed="false">
      <c r="H59" s="10" t="s">
        <v>134</v>
      </c>
      <c r="I59" s="11" t="n">
        <f aca="false">SUM(I26:I58)</f>
        <v>362903</v>
      </c>
    </row>
    <row r="61" customFormat="false" ht="15" hidden="false" customHeight="false" outlineLevel="0" collapsed="false">
      <c r="A61" s="22" t="s">
        <v>2913</v>
      </c>
    </row>
    <row r="62" customFormat="false" ht="23.85" hidden="false" customHeight="false" outlineLevel="0" collapsed="false">
      <c r="A62" s="3" t="s">
        <v>2914</v>
      </c>
      <c r="B62" s="3" t="s">
        <v>2915</v>
      </c>
      <c r="C62" s="3" t="s">
        <v>2780</v>
      </c>
      <c r="D62" s="3" t="s">
        <v>2781</v>
      </c>
      <c r="E62" s="3" t="s">
        <v>2782</v>
      </c>
      <c r="F62" s="3" t="s">
        <v>2783</v>
      </c>
      <c r="G62" s="3" t="s">
        <v>2784</v>
      </c>
      <c r="H62" s="3" t="s">
        <v>2785</v>
      </c>
      <c r="I62" s="3" t="s">
        <v>2786</v>
      </c>
      <c r="J62" s="3" t="s">
        <v>1393</v>
      </c>
      <c r="K62" s="3" t="s">
        <v>2916</v>
      </c>
      <c r="L62" s="3" t="s">
        <v>2789</v>
      </c>
      <c r="M62" s="3" t="s">
        <v>368</v>
      </c>
    </row>
    <row r="63" customFormat="false" ht="23.85" hidden="false" customHeight="false" outlineLevel="0" collapsed="false">
      <c r="A63" s="4" t="s">
        <v>4060</v>
      </c>
      <c r="B63" s="12" t="s">
        <v>2918</v>
      </c>
      <c r="C63" s="4" t="s">
        <v>2919</v>
      </c>
      <c r="D63" s="12" t="s">
        <v>2804</v>
      </c>
      <c r="E63" s="12" t="s">
        <v>2597</v>
      </c>
      <c r="F63" s="30" t="n">
        <v>1</v>
      </c>
      <c r="G63" s="30" t="n">
        <v>1</v>
      </c>
      <c r="H63" s="19" t="n">
        <v>10000</v>
      </c>
      <c r="I63" s="23" t="n">
        <f aca="false">F63*G63*H63</f>
        <v>10000</v>
      </c>
      <c r="J63" s="12" t="s">
        <v>4562</v>
      </c>
      <c r="K63" s="12" t="s">
        <v>2920</v>
      </c>
      <c r="L63" s="12" t="s">
        <v>2796</v>
      </c>
      <c r="M63" s="4" t="s">
        <v>4614</v>
      </c>
    </row>
    <row r="64" customFormat="false" ht="23.85" hidden="false" customHeight="false" outlineLevel="0" collapsed="false">
      <c r="A64" s="4" t="s">
        <v>4060</v>
      </c>
      <c r="B64" s="12" t="s">
        <v>2918</v>
      </c>
      <c r="C64" s="4" t="s">
        <v>2922</v>
      </c>
      <c r="D64" s="12" t="s">
        <v>2804</v>
      </c>
      <c r="E64" s="12" t="s">
        <v>2597</v>
      </c>
      <c r="F64" s="30" t="n">
        <v>1</v>
      </c>
      <c r="G64" s="30" t="n">
        <v>1</v>
      </c>
      <c r="H64" s="19" t="n">
        <v>8000</v>
      </c>
      <c r="I64" s="23" t="n">
        <f aca="false">F64*G64*H64</f>
        <v>8000</v>
      </c>
      <c r="J64" s="12" t="s">
        <v>4562</v>
      </c>
      <c r="K64" s="12" t="s">
        <v>2805</v>
      </c>
      <c r="L64" s="12"/>
      <c r="M64" s="4"/>
    </row>
    <row r="65" customFormat="false" ht="23.85" hidden="false" customHeight="false" outlineLevel="0" collapsed="false">
      <c r="A65" s="4" t="s">
        <v>4060</v>
      </c>
      <c r="B65" s="12" t="s">
        <v>2918</v>
      </c>
      <c r="C65" s="4" t="s">
        <v>2926</v>
      </c>
      <c r="D65" s="12" t="s">
        <v>2793</v>
      </c>
      <c r="E65" s="12" t="s">
        <v>2484</v>
      </c>
      <c r="F65" s="30" t="n">
        <v>11</v>
      </c>
      <c r="G65" s="30" t="n">
        <v>1</v>
      </c>
      <c r="H65" s="19" t="n">
        <v>80</v>
      </c>
      <c r="I65" s="23" t="n">
        <f aca="false">F65*G65*H65</f>
        <v>880</v>
      </c>
      <c r="J65" s="12" t="s">
        <v>4562</v>
      </c>
      <c r="K65" s="12" t="s">
        <v>2805</v>
      </c>
      <c r="L65" s="12"/>
      <c r="M65" s="4"/>
    </row>
    <row r="66" customFormat="false" ht="23.85" hidden="false" customHeight="false" outlineLevel="0" collapsed="false">
      <c r="A66" s="4" t="s">
        <v>4060</v>
      </c>
      <c r="B66" s="12" t="s">
        <v>2918</v>
      </c>
      <c r="C66" s="4" t="s">
        <v>2928</v>
      </c>
      <c r="D66" s="12" t="s">
        <v>2882</v>
      </c>
      <c r="E66" s="12" t="s">
        <v>2601</v>
      </c>
      <c r="F66" s="30" t="n">
        <v>1</v>
      </c>
      <c r="G66" s="30" t="n">
        <v>1</v>
      </c>
      <c r="H66" s="19" t="n">
        <v>1500</v>
      </c>
      <c r="I66" s="23" t="n">
        <f aca="false">F66*G66*H66</f>
        <v>1500</v>
      </c>
      <c r="J66" s="12" t="s">
        <v>4562</v>
      </c>
      <c r="K66" s="12" t="s">
        <v>2805</v>
      </c>
      <c r="L66" s="12"/>
      <c r="M66" s="4"/>
    </row>
    <row r="67" customFormat="false" ht="23.85" hidden="false" customHeight="false" outlineLevel="0" collapsed="false">
      <c r="A67" s="4" t="s">
        <v>4060</v>
      </c>
      <c r="B67" s="12" t="s">
        <v>2930</v>
      </c>
      <c r="C67" s="4" t="s">
        <v>3237</v>
      </c>
      <c r="D67" s="12" t="s">
        <v>2793</v>
      </c>
      <c r="E67" s="12" t="s">
        <v>2484</v>
      </c>
      <c r="F67" s="30" t="n">
        <v>2</v>
      </c>
      <c r="G67" s="30" t="n">
        <v>1</v>
      </c>
      <c r="H67" s="19" t="n">
        <v>4000</v>
      </c>
      <c r="I67" s="23" t="n">
        <f aca="false">F67*G67*H67</f>
        <v>8000</v>
      </c>
      <c r="J67" s="12" t="s">
        <v>4562</v>
      </c>
      <c r="K67" s="12" t="s">
        <v>2805</v>
      </c>
      <c r="L67" s="12"/>
      <c r="M67" s="4"/>
    </row>
    <row r="68" customFormat="false" ht="23.85" hidden="false" customHeight="false" outlineLevel="0" collapsed="false">
      <c r="A68" s="4" t="s">
        <v>4060</v>
      </c>
      <c r="B68" s="12" t="s">
        <v>2930</v>
      </c>
      <c r="C68" s="4" t="s">
        <v>3456</v>
      </c>
      <c r="D68" s="12" t="s">
        <v>2808</v>
      </c>
      <c r="E68" s="12" t="s">
        <v>2497</v>
      </c>
      <c r="F68" s="30" t="n">
        <v>2</v>
      </c>
      <c r="G68" s="30" t="n">
        <v>4</v>
      </c>
      <c r="H68" s="19" t="n">
        <v>250</v>
      </c>
      <c r="I68" s="23" t="n">
        <f aca="false">F68*G68*H68</f>
        <v>2000</v>
      </c>
      <c r="J68" s="12" t="s">
        <v>4562</v>
      </c>
      <c r="K68" s="12" t="s">
        <v>2934</v>
      </c>
      <c r="L68" s="12" t="s">
        <v>2796</v>
      </c>
      <c r="M68" s="4" t="s">
        <v>4615</v>
      </c>
    </row>
    <row r="69" customFormat="false" ht="23.85" hidden="false" customHeight="false" outlineLevel="0" collapsed="false">
      <c r="A69" s="4" t="s">
        <v>4060</v>
      </c>
      <c r="B69" s="12" t="s">
        <v>2930</v>
      </c>
      <c r="C69" s="4" t="s">
        <v>4132</v>
      </c>
      <c r="D69" s="12" t="s">
        <v>2804</v>
      </c>
      <c r="E69" s="12" t="s">
        <v>2597</v>
      </c>
      <c r="F69" s="30" t="n">
        <v>1</v>
      </c>
      <c r="G69" s="30" t="n">
        <v>1</v>
      </c>
      <c r="H69" s="19" t="n">
        <v>5000</v>
      </c>
      <c r="I69" s="23" t="n">
        <f aca="false">F69*G69*H69</f>
        <v>5000</v>
      </c>
      <c r="J69" s="12" t="s">
        <v>4562</v>
      </c>
      <c r="K69" s="12" t="s">
        <v>2937</v>
      </c>
      <c r="L69" s="12" t="s">
        <v>2796</v>
      </c>
      <c r="M69" s="4"/>
    </row>
    <row r="70" customFormat="false" ht="23.85" hidden="false" customHeight="false" outlineLevel="0" collapsed="false">
      <c r="A70" s="4" t="s">
        <v>4060</v>
      </c>
      <c r="B70" s="12" t="s">
        <v>2930</v>
      </c>
      <c r="C70" s="4" t="s">
        <v>3365</v>
      </c>
      <c r="D70" s="12" t="s">
        <v>2793</v>
      </c>
      <c r="E70" s="12" t="s">
        <v>2484</v>
      </c>
      <c r="F70" s="30" t="n">
        <v>3</v>
      </c>
      <c r="G70" s="30" t="n">
        <v>1</v>
      </c>
      <c r="H70" s="19" t="n">
        <v>3000</v>
      </c>
      <c r="I70" s="23" t="n">
        <f aca="false">F70*G70*H70</f>
        <v>9000</v>
      </c>
      <c r="J70" s="12" t="s">
        <v>4562</v>
      </c>
      <c r="K70" s="12" t="s">
        <v>2909</v>
      </c>
      <c r="L70" s="12" t="s">
        <v>2796</v>
      </c>
      <c r="M70" s="4" t="s">
        <v>4616</v>
      </c>
    </row>
    <row r="71" customFormat="false" ht="23.85" hidden="false" customHeight="false" outlineLevel="0" collapsed="false">
      <c r="A71" s="4" t="s">
        <v>4060</v>
      </c>
      <c r="B71" s="12" t="s">
        <v>2930</v>
      </c>
      <c r="C71" s="4" t="s">
        <v>2944</v>
      </c>
      <c r="D71" s="12" t="s">
        <v>2808</v>
      </c>
      <c r="E71" s="12" t="s">
        <v>2477</v>
      </c>
      <c r="F71" s="30" t="n">
        <v>400</v>
      </c>
      <c r="G71" s="30" t="n">
        <v>1</v>
      </c>
      <c r="H71" s="19" t="n">
        <v>2.5</v>
      </c>
      <c r="I71" s="23" t="n">
        <f aca="false">F71*G71*H71</f>
        <v>1000</v>
      </c>
      <c r="J71" s="12" t="s">
        <v>4562</v>
      </c>
      <c r="K71" s="12" t="s">
        <v>2805</v>
      </c>
      <c r="L71" s="12"/>
      <c r="M71" s="4"/>
    </row>
    <row r="72" customFormat="false" ht="23.85" hidden="false" customHeight="false" outlineLevel="0" collapsed="false">
      <c r="A72" s="4" t="s">
        <v>4060</v>
      </c>
      <c r="B72" s="12" t="s">
        <v>2930</v>
      </c>
      <c r="C72" s="4" t="s">
        <v>3063</v>
      </c>
      <c r="D72" s="12" t="s">
        <v>2882</v>
      </c>
      <c r="E72" s="12" t="s">
        <v>2601</v>
      </c>
      <c r="F72" s="30" t="n">
        <v>1</v>
      </c>
      <c r="G72" s="30" t="n">
        <v>1</v>
      </c>
      <c r="H72" s="19" t="n">
        <v>2000</v>
      </c>
      <c r="I72" s="23" t="n">
        <f aca="false">F72*G72*H72</f>
        <v>2000</v>
      </c>
      <c r="J72" s="12" t="s">
        <v>4562</v>
      </c>
      <c r="K72" s="12" t="s">
        <v>2942</v>
      </c>
      <c r="L72" s="12" t="s">
        <v>2796</v>
      </c>
      <c r="M72" s="4"/>
    </row>
    <row r="74" customFormat="false" ht="15" hidden="false" customHeight="false" outlineLevel="0" collapsed="false">
      <c r="A74" s="10" t="s">
        <v>2952</v>
      </c>
      <c r="B74" s="23" t="n">
        <f aca="false">SUMIFS($I$63:$I$72,$B$63:$B$72,"Custos de administração")</f>
        <v>20380</v>
      </c>
      <c r="C74" s="13" t="n">
        <f aca="false">B17</f>
        <v>21774.18</v>
      </c>
      <c r="D74" s="23" t="n">
        <f aca="false">C74-B74</f>
        <v>1394.18</v>
      </c>
      <c r="E74" s="12" t="str">
        <f aca="false">IF(D74&gt;=0,"OK","EXCEDE")</f>
        <v>OK</v>
      </c>
    </row>
    <row r="75" customFormat="false" ht="15" hidden="false" customHeight="false" outlineLevel="0" collapsed="false">
      <c r="A75" s="10" t="s">
        <v>2953</v>
      </c>
      <c r="B75" s="23" t="n">
        <f aca="false">SUMIFS($I$63:$I$72,$B$63:$B$72,"Custos de acessibilidade, comunicação e divulgação")</f>
        <v>27000</v>
      </c>
      <c r="C75" s="13" t="n">
        <f aca="false">B18</f>
        <v>29032.24</v>
      </c>
      <c r="D75" s="23" t="n">
        <f aca="false">C75-B75</f>
        <v>2032.24</v>
      </c>
      <c r="E75" s="12" t="str">
        <f aca="false">IF(D75&gt;=0,"OK","EXCEDE")</f>
        <v>OK</v>
      </c>
    </row>
    <row r="76" customFormat="false" ht="15" hidden="false" customHeight="false" outlineLevel="0" collapsed="false">
      <c r="A76" s="14" t="s">
        <v>2954</v>
      </c>
    </row>
    <row r="78" customFormat="false" ht="15" hidden="false" customHeight="false" outlineLevel="0" collapsed="false">
      <c r="A78" s="22" t="s">
        <v>2955</v>
      </c>
    </row>
    <row r="79" customFormat="false" ht="30" hidden="false" customHeight="true" outlineLevel="0" collapsed="false">
      <c r="A79" s="21" t="s">
        <v>4617</v>
      </c>
      <c r="B79" s="21"/>
      <c r="C79" s="21"/>
      <c r="D79" s="21"/>
      <c r="E79" s="21"/>
      <c r="F79" s="21"/>
      <c r="G79" s="21"/>
      <c r="H79" s="21"/>
      <c r="I79" s="21"/>
      <c r="J79" s="21"/>
      <c r="K79" s="21"/>
      <c r="L79" s="21"/>
      <c r="M79" s="21"/>
    </row>
    <row r="80" customFormat="false" ht="30" hidden="false" customHeight="true" outlineLevel="0" collapsed="false">
      <c r="A80" s="21" t="s">
        <v>4618</v>
      </c>
      <c r="B80" s="21"/>
      <c r="C80" s="21"/>
      <c r="D80" s="21"/>
      <c r="E80" s="21"/>
      <c r="F80" s="21"/>
      <c r="G80" s="21"/>
      <c r="H80" s="21"/>
      <c r="I80" s="21"/>
      <c r="J80" s="21"/>
      <c r="K80" s="21"/>
      <c r="L80" s="21"/>
      <c r="M80" s="21"/>
    </row>
    <row r="81" customFormat="false" ht="30" hidden="false" customHeight="true" outlineLevel="0" collapsed="false">
      <c r="A81" s="21" t="s">
        <v>4619</v>
      </c>
      <c r="B81" s="21"/>
      <c r="C81" s="21"/>
      <c r="D81" s="21"/>
      <c r="E81" s="21"/>
      <c r="F81" s="21"/>
      <c r="G81" s="21"/>
      <c r="H81" s="21"/>
      <c r="I81" s="21"/>
      <c r="J81" s="21"/>
      <c r="K81" s="21"/>
      <c r="L81" s="21"/>
      <c r="M81" s="21"/>
    </row>
    <row r="82" customFormat="false" ht="30" hidden="false" customHeight="true" outlineLevel="0" collapsed="false">
      <c r="A82" s="21" t="s">
        <v>4620</v>
      </c>
      <c r="B82" s="21"/>
      <c r="C82" s="21"/>
      <c r="D82" s="21"/>
      <c r="E82" s="21"/>
      <c r="F82" s="21"/>
      <c r="G82" s="21"/>
      <c r="H82" s="21"/>
      <c r="I82" s="21"/>
      <c r="J82" s="21"/>
      <c r="K82" s="21"/>
      <c r="L82" s="21"/>
      <c r="M82" s="21"/>
    </row>
    <row r="83" customFormat="false" ht="30" hidden="false" customHeight="true" outlineLevel="0" collapsed="false">
      <c r="A83" s="21" t="s">
        <v>4621</v>
      </c>
      <c r="B83" s="21"/>
      <c r="C83" s="21"/>
      <c r="D83" s="21"/>
      <c r="E83" s="21"/>
      <c r="F83" s="21"/>
      <c r="G83" s="21"/>
      <c r="H83" s="21"/>
      <c r="I83" s="21"/>
      <c r="J83" s="21"/>
      <c r="K83" s="21"/>
      <c r="L83" s="21"/>
      <c r="M83" s="21"/>
    </row>
    <row r="84" customFormat="false" ht="30" hidden="false" customHeight="true" outlineLevel="0" collapsed="false">
      <c r="A84" s="21" t="s">
        <v>4622</v>
      </c>
      <c r="B84" s="21"/>
      <c r="C84" s="21"/>
      <c r="D84" s="21"/>
      <c r="E84" s="21"/>
      <c r="F84" s="21"/>
      <c r="G84" s="21"/>
      <c r="H84" s="21"/>
      <c r="I84" s="21"/>
      <c r="J84" s="21"/>
      <c r="K84" s="21"/>
      <c r="L84" s="21"/>
      <c r="M84" s="21"/>
    </row>
    <row r="85" customFormat="false" ht="30" hidden="false" customHeight="true" outlineLevel="0" collapsed="false">
      <c r="A85" s="21" t="s">
        <v>4623</v>
      </c>
      <c r="B85" s="21"/>
      <c r="C85" s="21"/>
      <c r="D85" s="21"/>
      <c r="E85" s="21"/>
      <c r="F85" s="21"/>
      <c r="G85" s="21"/>
      <c r="H85" s="21"/>
      <c r="I85" s="21"/>
      <c r="J85" s="21"/>
      <c r="K85" s="21"/>
      <c r="L85" s="21"/>
      <c r="M85" s="21"/>
    </row>
    <row r="86" customFormat="false" ht="15" hidden="false" customHeight="true" outlineLevel="0" collapsed="false">
      <c r="A86" s="21" t="s">
        <v>4624</v>
      </c>
      <c r="B86" s="21"/>
      <c r="C86" s="21"/>
      <c r="D86" s="21"/>
      <c r="E86" s="21"/>
      <c r="F86" s="21"/>
      <c r="G86" s="21"/>
      <c r="H86" s="21"/>
      <c r="I86" s="21"/>
      <c r="J86" s="21"/>
      <c r="K86" s="21"/>
      <c r="L86" s="21"/>
      <c r="M86" s="21"/>
    </row>
    <row r="88" customFormat="false" ht="15" hidden="false" customHeight="false" outlineLevel="0" collapsed="false">
      <c r="A88" s="22" t="s">
        <v>2964</v>
      </c>
      <c r="B88" s="19" t="n">
        <v>90000</v>
      </c>
    </row>
    <row r="89" customFormat="false" ht="75" hidden="false" customHeight="true" outlineLevel="0" collapsed="false">
      <c r="A89" s="21" t="s">
        <v>4625</v>
      </c>
      <c r="B89" s="21"/>
      <c r="C89" s="21"/>
      <c r="D89" s="21"/>
      <c r="E89" s="21"/>
      <c r="F89" s="21"/>
      <c r="G89" s="21"/>
      <c r="H89" s="21"/>
      <c r="I89" s="21"/>
      <c r="J89" s="21"/>
      <c r="K89" s="21"/>
      <c r="L89" s="21"/>
      <c r="M89" s="21"/>
    </row>
  </sheetData>
  <mergeCells count="14">
    <mergeCell ref="B2:M2"/>
    <mergeCell ref="B3:M3"/>
    <mergeCell ref="B4:M4"/>
    <mergeCell ref="B5:M5"/>
    <mergeCell ref="B6:M6"/>
    <mergeCell ref="A79:M79"/>
    <mergeCell ref="A80:M80"/>
    <mergeCell ref="A81:M81"/>
    <mergeCell ref="A82:M82"/>
    <mergeCell ref="A83:M83"/>
    <mergeCell ref="A84:M84"/>
    <mergeCell ref="A85:M85"/>
    <mergeCell ref="A86:M86"/>
    <mergeCell ref="A89:M89"/>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58">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63:L72">
    <cfRule type="expression" priority="11" aboveAverage="0" equalAverage="0" bottom="0" percent="0" rank="0" text="" dxfId="2">
      <formula>LEFT(L63,5)="ACIMA"</formula>
    </cfRule>
  </conditionalFormatting>
  <conditionalFormatting sqref="E74:E75">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ISNUMBER(SEARCH("EXCEDE",E74))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4626</v>
      </c>
    </row>
    <row r="2" customFormat="false" ht="30" hidden="false" customHeight="true" outlineLevel="0" collapsed="false">
      <c r="A2" s="22" t="s">
        <v>2748</v>
      </c>
      <c r="B2" s="21" t="s">
        <v>4627</v>
      </c>
      <c r="C2" s="21"/>
      <c r="D2" s="21"/>
      <c r="E2" s="21"/>
      <c r="F2" s="21"/>
      <c r="G2" s="21"/>
      <c r="H2" s="21"/>
      <c r="I2" s="21"/>
      <c r="J2" s="21"/>
      <c r="K2" s="21"/>
      <c r="L2" s="21"/>
      <c r="M2" s="21"/>
    </row>
    <row r="3" customFormat="false" ht="30" hidden="false" customHeight="true" outlineLevel="0" collapsed="false">
      <c r="A3" s="22" t="s">
        <v>2750</v>
      </c>
      <c r="B3" s="21" t="s">
        <v>4628</v>
      </c>
      <c r="C3" s="21"/>
      <c r="D3" s="21"/>
      <c r="E3" s="21"/>
      <c r="F3" s="21"/>
      <c r="G3" s="21"/>
      <c r="H3" s="21"/>
      <c r="I3" s="21"/>
      <c r="J3" s="21"/>
      <c r="K3" s="21"/>
      <c r="L3" s="21"/>
      <c r="M3" s="21"/>
    </row>
    <row r="4" customFormat="false" ht="30" hidden="false" customHeight="true" outlineLevel="0" collapsed="false">
      <c r="A4" s="22" t="s">
        <v>2752</v>
      </c>
      <c r="B4" s="21" t="s">
        <v>4629</v>
      </c>
      <c r="C4" s="21"/>
      <c r="D4" s="21"/>
      <c r="E4" s="21"/>
      <c r="F4" s="21"/>
      <c r="G4" s="21"/>
      <c r="H4" s="21"/>
      <c r="I4" s="21"/>
      <c r="J4" s="21"/>
      <c r="K4" s="21"/>
      <c r="L4" s="21"/>
      <c r="M4" s="21"/>
    </row>
    <row r="5" customFormat="false" ht="30" hidden="false" customHeight="true" outlineLevel="0" collapsed="false">
      <c r="A5" s="22" t="s">
        <v>2754</v>
      </c>
      <c r="B5" s="21" t="s">
        <v>4630</v>
      </c>
      <c r="C5" s="21"/>
      <c r="D5" s="21"/>
      <c r="E5" s="21"/>
      <c r="F5" s="21"/>
      <c r="G5" s="21"/>
      <c r="H5" s="21"/>
      <c r="I5" s="21"/>
      <c r="J5" s="21"/>
      <c r="K5" s="21"/>
      <c r="L5" s="21"/>
      <c r="M5" s="21"/>
    </row>
    <row r="6" customFormat="false" ht="30" hidden="false" customHeight="true" outlineLevel="0" collapsed="false">
      <c r="A6" s="22" t="s">
        <v>2756</v>
      </c>
      <c r="B6" s="21" t="s">
        <v>4631</v>
      </c>
      <c r="C6" s="21"/>
      <c r="D6" s="21"/>
      <c r="E6" s="21"/>
      <c r="F6" s="21"/>
      <c r="G6" s="21"/>
      <c r="H6" s="21"/>
      <c r="I6" s="21"/>
      <c r="J6" s="21"/>
      <c r="K6" s="21"/>
      <c r="L6" s="21"/>
      <c r="M6" s="21"/>
    </row>
    <row r="7" customFormat="false" ht="15" hidden="false" customHeight="false" outlineLevel="0" collapsed="false">
      <c r="A7" s="22" t="s">
        <v>2758</v>
      </c>
      <c r="B7" s="19" t="n">
        <v>500000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SUMIFS($I$26:$I$67,$B$26:$B$67,A11)</f>
        <v>12000</v>
      </c>
      <c r="C11" s="24" t="n">
        <f aca="false">IF($B$16=0,0,B11/$B$16)</f>
        <v>0.0302401826507032</v>
      </c>
    </row>
    <row r="12" customFormat="false" ht="15" hidden="false" customHeight="false" outlineLevel="0" collapsed="false">
      <c r="A12" s="12" t="s">
        <v>2765</v>
      </c>
      <c r="B12" s="23" t="n">
        <f aca="false">SUMIFS($I$26:$I$67,$B$26:$B$67,A12)</f>
        <v>337423</v>
      </c>
      <c r="C12" s="24" t="n">
        <f aca="false">IF($B$16=0,0,B12/$B$16)</f>
        <v>0.850311095879019</v>
      </c>
    </row>
    <row r="13" customFormat="false" ht="15" hidden="false" customHeight="false" outlineLevel="0" collapsed="false">
      <c r="A13" s="12" t="s">
        <v>2766</v>
      </c>
      <c r="B13" s="23" t="n">
        <f aca="false">SUMIFS($I$26:$I$67,$B$26:$B$67,A13)</f>
        <v>13000</v>
      </c>
      <c r="C13" s="24" t="n">
        <f aca="false">IF($B$16=0,0,B13/$B$16)</f>
        <v>0.0327601978715951</v>
      </c>
    </row>
    <row r="14" customFormat="false" ht="15" hidden="false" customHeight="false" outlineLevel="0" collapsed="false">
      <c r="A14" s="12" t="s">
        <v>2767</v>
      </c>
      <c r="B14" s="23" t="n">
        <f aca="false">SUMIFS($I$26:$I$67,$B$26:$B$67,A14)</f>
        <v>14800</v>
      </c>
      <c r="C14" s="24" t="n">
        <f aca="false">IF($B$16=0,0,B14/$B$16)</f>
        <v>0.0372962252692006</v>
      </c>
    </row>
    <row r="15" customFormat="false" ht="15" hidden="false" customHeight="false" outlineLevel="0" collapsed="false">
      <c r="A15" s="12" t="s">
        <v>2768</v>
      </c>
      <c r="B15" s="23" t="n">
        <f aca="false">SUMIFS($I$26:$I$67,$B$26:$B$67,A15)</f>
        <v>19600</v>
      </c>
      <c r="C15" s="24" t="n">
        <f aca="false">IF($B$16=0,0,B15/$B$16)</f>
        <v>0.0493922983294819</v>
      </c>
    </row>
    <row r="16" customFormat="false" ht="15" hidden="false" customHeight="false" outlineLevel="0" collapsed="false">
      <c r="A16" s="25" t="s">
        <v>2769</v>
      </c>
      <c r="B16" s="26" t="n">
        <f aca="false">SUM(B11:B15)</f>
        <v>396823</v>
      </c>
    </row>
    <row r="17" customFormat="false" ht="23.85" hidden="false" customHeight="false" outlineLevel="0" collapsed="false">
      <c r="A17" s="4" t="s">
        <v>2770</v>
      </c>
      <c r="B17" s="23" t="n">
        <f aca="false">$B$16*C17</f>
        <v>23809.38</v>
      </c>
      <c r="C17" s="27" t="n">
        <v>0.06</v>
      </c>
      <c r="D17" s="28" t="n">
        <f aca="false">'Parâmetros IN 29'!$B$4</f>
        <v>0.15</v>
      </c>
      <c r="E17" s="12" t="str">
        <f aca="false">IF(AND(C17&lt;=D17),"OK","EXCEDE")</f>
        <v>OK</v>
      </c>
    </row>
    <row r="18" customFormat="false" ht="35.05" hidden="false" customHeight="false" outlineLevel="0" collapsed="false">
      <c r="A18" s="4" t="s">
        <v>2771</v>
      </c>
      <c r="B18" s="23" t="n">
        <f aca="false">$B$16*C18</f>
        <v>39682.3</v>
      </c>
      <c r="C18" s="27" t="n">
        <v>0.1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39682.3</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499996.98</v>
      </c>
    </row>
    <row r="21" customFormat="false" ht="15" hidden="false" customHeight="false" outlineLevel="0" collapsed="false">
      <c r="A21" s="12" t="s">
        <v>2774</v>
      </c>
      <c r="B21" s="23" t="n">
        <f aca="false">B20-B7</f>
        <v>-3.02000000001863</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23.85" hidden="false" customHeight="false" outlineLevel="0" collapsed="false">
      <c r="A26" s="4" t="s">
        <v>4060</v>
      </c>
      <c r="B26" s="12" t="s">
        <v>2764</v>
      </c>
      <c r="C26" s="4" t="s">
        <v>4061</v>
      </c>
      <c r="D26" s="12" t="s">
        <v>2793</v>
      </c>
      <c r="E26" s="12" t="s">
        <v>2484</v>
      </c>
      <c r="F26" s="29" t="n">
        <v>1</v>
      </c>
      <c r="G26" s="29" t="n">
        <v>1</v>
      </c>
      <c r="H26" s="19" t="n">
        <v>7000</v>
      </c>
      <c r="I26" s="23" t="n">
        <f aca="false">F26*G26*H26</f>
        <v>7000</v>
      </c>
      <c r="J26" s="12" t="s">
        <v>4632</v>
      </c>
      <c r="K26" s="12" t="s">
        <v>2795</v>
      </c>
      <c r="L26" s="12" t="s">
        <v>2796</v>
      </c>
      <c r="M26" s="4" t="s">
        <v>4633</v>
      </c>
    </row>
    <row r="27" customFormat="false" ht="23.85" hidden="false" customHeight="false" outlineLevel="0" collapsed="false">
      <c r="A27" s="4" t="s">
        <v>4060</v>
      </c>
      <c r="B27" s="12" t="s">
        <v>2764</v>
      </c>
      <c r="C27" s="4" t="s">
        <v>4634</v>
      </c>
      <c r="D27" s="12" t="s">
        <v>2793</v>
      </c>
      <c r="E27" s="12" t="s">
        <v>2484</v>
      </c>
      <c r="F27" s="29" t="n">
        <v>1</v>
      </c>
      <c r="G27" s="29" t="n">
        <v>1</v>
      </c>
      <c r="H27" s="19" t="n">
        <v>5000</v>
      </c>
      <c r="I27" s="23" t="n">
        <f aca="false">F27*G27*H27</f>
        <v>5000</v>
      </c>
      <c r="J27" s="12" t="s">
        <v>4632</v>
      </c>
      <c r="K27" s="12" t="s">
        <v>2799</v>
      </c>
      <c r="L27" s="12" t="s">
        <v>2796</v>
      </c>
      <c r="M27" s="4" t="s">
        <v>4635</v>
      </c>
    </row>
    <row r="28" customFormat="false" ht="23.85" hidden="false" customHeight="false" outlineLevel="0" collapsed="false">
      <c r="A28" s="4" t="s">
        <v>4060</v>
      </c>
      <c r="B28" s="12" t="s">
        <v>2765</v>
      </c>
      <c r="C28" s="4" t="s">
        <v>4068</v>
      </c>
      <c r="D28" s="12" t="s">
        <v>2793</v>
      </c>
      <c r="E28" s="12" t="s">
        <v>2484</v>
      </c>
      <c r="F28" s="29" t="n">
        <v>1</v>
      </c>
      <c r="G28" s="29" t="n">
        <v>7</v>
      </c>
      <c r="H28" s="19" t="n">
        <v>6150</v>
      </c>
      <c r="I28" s="23" t="n">
        <f aca="false">F28*G28*H28</f>
        <v>43050</v>
      </c>
      <c r="J28" s="12" t="s">
        <v>4632</v>
      </c>
      <c r="K28" s="12" t="s">
        <v>2795</v>
      </c>
      <c r="L28" s="12" t="s">
        <v>2796</v>
      </c>
      <c r="M28" s="4" t="s">
        <v>4636</v>
      </c>
    </row>
    <row r="29" customFormat="false" ht="23.85" hidden="false" customHeight="false" outlineLevel="0" collapsed="false">
      <c r="A29" s="4" t="s">
        <v>4060</v>
      </c>
      <c r="B29" s="12" t="s">
        <v>2765</v>
      </c>
      <c r="C29" s="4" t="s">
        <v>4568</v>
      </c>
      <c r="D29" s="12" t="s">
        <v>2793</v>
      </c>
      <c r="E29" s="12" t="s">
        <v>2484</v>
      </c>
      <c r="F29" s="29" t="n">
        <v>1</v>
      </c>
      <c r="G29" s="29" t="n">
        <v>6</v>
      </c>
      <c r="H29" s="19" t="n">
        <v>4000</v>
      </c>
      <c r="I29" s="23" t="n">
        <f aca="false">F29*G29*H29</f>
        <v>24000</v>
      </c>
      <c r="J29" s="12" t="s">
        <v>4632</v>
      </c>
      <c r="K29" s="12" t="s">
        <v>2799</v>
      </c>
      <c r="L29" s="12" t="s">
        <v>2796</v>
      </c>
      <c r="M29" s="4" t="s">
        <v>4637</v>
      </c>
    </row>
    <row r="30" customFormat="false" ht="23.85" hidden="false" customHeight="false" outlineLevel="0" collapsed="false">
      <c r="A30" s="4" t="s">
        <v>4060</v>
      </c>
      <c r="B30" s="12" t="s">
        <v>2765</v>
      </c>
      <c r="C30" s="4" t="s">
        <v>2493</v>
      </c>
      <c r="D30" s="12" t="s">
        <v>2793</v>
      </c>
      <c r="E30" s="12" t="s">
        <v>2484</v>
      </c>
      <c r="F30" s="29" t="n">
        <v>1</v>
      </c>
      <c r="G30" s="29" t="n">
        <v>7</v>
      </c>
      <c r="H30" s="19" t="n">
        <v>3000</v>
      </c>
      <c r="I30" s="23" t="n">
        <f aca="false">F30*G30*H30</f>
        <v>21000</v>
      </c>
      <c r="J30" s="12" t="s">
        <v>4632</v>
      </c>
      <c r="K30" s="12" t="s">
        <v>2818</v>
      </c>
      <c r="L30" s="12" t="s">
        <v>2796</v>
      </c>
      <c r="M30" s="4"/>
    </row>
    <row r="31" customFormat="false" ht="35.05" hidden="false" customHeight="false" outlineLevel="0" collapsed="false">
      <c r="A31" s="4" t="s">
        <v>4638</v>
      </c>
      <c r="B31" s="12" t="s">
        <v>2765</v>
      </c>
      <c r="C31" s="4" t="s">
        <v>4639</v>
      </c>
      <c r="D31" s="12" t="s">
        <v>2808</v>
      </c>
      <c r="E31" s="12" t="s">
        <v>2501</v>
      </c>
      <c r="F31" s="29" t="n">
        <v>60</v>
      </c>
      <c r="G31" s="29" t="n">
        <v>4</v>
      </c>
      <c r="H31" s="19" t="n">
        <v>130</v>
      </c>
      <c r="I31" s="23" t="n">
        <f aca="false">F31*G31*H31</f>
        <v>31200</v>
      </c>
      <c r="J31" s="12" t="s">
        <v>4632</v>
      </c>
      <c r="K31" s="12" t="s">
        <v>2821</v>
      </c>
      <c r="L31" s="12" t="s">
        <v>2796</v>
      </c>
      <c r="M31" s="4" t="s">
        <v>4640</v>
      </c>
    </row>
    <row r="32" customFormat="false" ht="35.05" hidden="false" customHeight="false" outlineLevel="0" collapsed="false">
      <c r="A32" s="4" t="s">
        <v>4638</v>
      </c>
      <c r="B32" s="12" t="s">
        <v>2765</v>
      </c>
      <c r="C32" s="4" t="s">
        <v>4641</v>
      </c>
      <c r="D32" s="12" t="s">
        <v>2808</v>
      </c>
      <c r="E32" s="12" t="s">
        <v>2501</v>
      </c>
      <c r="F32" s="29" t="n">
        <v>60</v>
      </c>
      <c r="G32" s="29" t="n">
        <v>2</v>
      </c>
      <c r="H32" s="19" t="n">
        <v>130</v>
      </c>
      <c r="I32" s="23" t="n">
        <f aca="false">F32*G32*H32</f>
        <v>15600</v>
      </c>
      <c r="J32" s="12" t="s">
        <v>4632</v>
      </c>
      <c r="K32" s="12" t="s">
        <v>2821</v>
      </c>
      <c r="L32" s="12" t="s">
        <v>2796</v>
      </c>
      <c r="M32" s="4" t="s">
        <v>4642</v>
      </c>
    </row>
    <row r="33" customFormat="false" ht="35.05" hidden="false" customHeight="false" outlineLevel="0" collapsed="false">
      <c r="A33" s="4" t="s">
        <v>4638</v>
      </c>
      <c r="B33" s="12" t="s">
        <v>2765</v>
      </c>
      <c r="C33" s="4" t="s">
        <v>4643</v>
      </c>
      <c r="D33" s="12" t="s">
        <v>2808</v>
      </c>
      <c r="E33" s="12" t="s">
        <v>3411</v>
      </c>
      <c r="F33" s="29" t="n">
        <v>4</v>
      </c>
      <c r="G33" s="29" t="n">
        <v>1</v>
      </c>
      <c r="H33" s="19" t="n">
        <v>4500</v>
      </c>
      <c r="I33" s="23" t="n">
        <f aca="false">F33*G33*H33</f>
        <v>18000</v>
      </c>
      <c r="J33" s="12" t="s">
        <v>4632</v>
      </c>
      <c r="K33" s="12" t="s">
        <v>2805</v>
      </c>
      <c r="L33" s="12"/>
      <c r="M33" s="4" t="s">
        <v>4644</v>
      </c>
    </row>
    <row r="34" customFormat="false" ht="35.05" hidden="false" customHeight="false" outlineLevel="0" collapsed="false">
      <c r="A34" s="4" t="s">
        <v>4638</v>
      </c>
      <c r="B34" s="12" t="s">
        <v>2765</v>
      </c>
      <c r="C34" s="4" t="s">
        <v>4645</v>
      </c>
      <c r="D34" s="12" t="s">
        <v>2808</v>
      </c>
      <c r="E34" s="12" t="s">
        <v>3411</v>
      </c>
      <c r="F34" s="29" t="n">
        <v>2</v>
      </c>
      <c r="G34" s="29" t="n">
        <v>1</v>
      </c>
      <c r="H34" s="19" t="n">
        <v>3000</v>
      </c>
      <c r="I34" s="23" t="n">
        <f aca="false">F34*G34*H34</f>
        <v>6000</v>
      </c>
      <c r="J34" s="12" t="s">
        <v>4632</v>
      </c>
      <c r="K34" s="12" t="s">
        <v>2805</v>
      </c>
      <c r="L34" s="12"/>
      <c r="M34" s="4" t="s">
        <v>4646</v>
      </c>
    </row>
    <row r="35" customFormat="false" ht="35.05" hidden="false" customHeight="false" outlineLevel="0" collapsed="false">
      <c r="A35" s="4" t="s">
        <v>4638</v>
      </c>
      <c r="B35" s="12" t="s">
        <v>2765</v>
      </c>
      <c r="C35" s="4" t="s">
        <v>4577</v>
      </c>
      <c r="D35" s="12" t="s">
        <v>2793</v>
      </c>
      <c r="E35" s="12" t="s">
        <v>4578</v>
      </c>
      <c r="F35" s="29" t="n">
        <v>8</v>
      </c>
      <c r="G35" s="29" t="n">
        <v>6</v>
      </c>
      <c r="H35" s="19" t="n">
        <v>200</v>
      </c>
      <c r="I35" s="23" t="n">
        <f aca="false">F35*G35*H35</f>
        <v>9600</v>
      </c>
      <c r="J35" s="12" t="s">
        <v>4632</v>
      </c>
      <c r="K35" s="12" t="s">
        <v>2805</v>
      </c>
      <c r="L35" s="12"/>
      <c r="M35" s="4" t="s">
        <v>4647</v>
      </c>
    </row>
    <row r="36" customFormat="false" ht="35.05" hidden="false" customHeight="false" outlineLevel="0" collapsed="false">
      <c r="A36" s="4" t="s">
        <v>4638</v>
      </c>
      <c r="B36" s="12" t="s">
        <v>2765</v>
      </c>
      <c r="C36" s="4" t="s">
        <v>4648</v>
      </c>
      <c r="D36" s="12" t="s">
        <v>2808</v>
      </c>
      <c r="E36" s="12" t="s">
        <v>2831</v>
      </c>
      <c r="F36" s="29" t="n">
        <v>120</v>
      </c>
      <c r="G36" s="29" t="n">
        <v>1</v>
      </c>
      <c r="H36" s="19" t="n">
        <v>50</v>
      </c>
      <c r="I36" s="23" t="n">
        <f aca="false">F36*G36*H36</f>
        <v>6000</v>
      </c>
      <c r="J36" s="12" t="s">
        <v>4632</v>
      </c>
      <c r="K36" s="12" t="s">
        <v>2805</v>
      </c>
      <c r="L36" s="12"/>
      <c r="M36" s="4" t="s">
        <v>4649</v>
      </c>
    </row>
    <row r="37" customFormat="false" ht="35.05" hidden="false" customHeight="false" outlineLevel="0" collapsed="false">
      <c r="A37" s="4" t="s">
        <v>4650</v>
      </c>
      <c r="B37" s="12" t="s">
        <v>2765</v>
      </c>
      <c r="C37" s="4" t="s">
        <v>4651</v>
      </c>
      <c r="D37" s="12" t="s">
        <v>2808</v>
      </c>
      <c r="E37" s="12" t="s">
        <v>2501</v>
      </c>
      <c r="F37" s="29" t="n">
        <v>60</v>
      </c>
      <c r="G37" s="29" t="n">
        <v>2</v>
      </c>
      <c r="H37" s="19" t="n">
        <v>130</v>
      </c>
      <c r="I37" s="23" t="n">
        <f aca="false">F37*G37*H37</f>
        <v>15600</v>
      </c>
      <c r="J37" s="12" t="s">
        <v>4632</v>
      </c>
      <c r="K37" s="12" t="s">
        <v>2821</v>
      </c>
      <c r="L37" s="12" t="s">
        <v>2796</v>
      </c>
      <c r="M37" s="4" t="s">
        <v>4652</v>
      </c>
    </row>
    <row r="38" customFormat="false" ht="35.05" hidden="false" customHeight="false" outlineLevel="0" collapsed="false">
      <c r="A38" s="4" t="s">
        <v>4650</v>
      </c>
      <c r="B38" s="12" t="s">
        <v>2765</v>
      </c>
      <c r="C38" s="4" t="s">
        <v>4653</v>
      </c>
      <c r="D38" s="12" t="s">
        <v>2808</v>
      </c>
      <c r="E38" s="12" t="s">
        <v>2477</v>
      </c>
      <c r="F38" s="29" t="n">
        <v>26</v>
      </c>
      <c r="G38" s="29" t="n">
        <v>1</v>
      </c>
      <c r="H38" s="19" t="n">
        <v>450</v>
      </c>
      <c r="I38" s="23" t="n">
        <f aca="false">F38*G38*H38</f>
        <v>11700</v>
      </c>
      <c r="J38" s="12" t="s">
        <v>4632</v>
      </c>
      <c r="K38" s="12" t="s">
        <v>2805</v>
      </c>
      <c r="L38" s="12"/>
      <c r="M38" s="4" t="s">
        <v>4654</v>
      </c>
    </row>
    <row r="39" customFormat="false" ht="35.05" hidden="false" customHeight="false" outlineLevel="0" collapsed="false">
      <c r="A39" s="4" t="s">
        <v>4655</v>
      </c>
      <c r="B39" s="12" t="s">
        <v>2765</v>
      </c>
      <c r="C39" s="4" t="s">
        <v>4656</v>
      </c>
      <c r="D39" s="12" t="s">
        <v>2808</v>
      </c>
      <c r="E39" s="12" t="s">
        <v>2501</v>
      </c>
      <c r="F39" s="29" t="n">
        <v>60</v>
      </c>
      <c r="G39" s="29" t="n">
        <v>2</v>
      </c>
      <c r="H39" s="19" t="n">
        <v>130</v>
      </c>
      <c r="I39" s="23" t="n">
        <f aca="false">F39*G39*H39</f>
        <v>15600</v>
      </c>
      <c r="J39" s="12" t="s">
        <v>4632</v>
      </c>
      <c r="K39" s="12" t="s">
        <v>2821</v>
      </c>
      <c r="L39" s="12" t="s">
        <v>2796</v>
      </c>
      <c r="M39" s="4" t="s">
        <v>4657</v>
      </c>
    </row>
    <row r="40" customFormat="false" ht="35.05" hidden="false" customHeight="false" outlineLevel="0" collapsed="false">
      <c r="A40" s="4" t="s">
        <v>4655</v>
      </c>
      <c r="B40" s="12" t="s">
        <v>2765</v>
      </c>
      <c r="C40" s="4" t="s">
        <v>4658</v>
      </c>
      <c r="D40" s="12" t="s">
        <v>2855</v>
      </c>
      <c r="E40" s="12" t="s">
        <v>2516</v>
      </c>
      <c r="F40" s="29" t="n">
        <v>2</v>
      </c>
      <c r="G40" s="29" t="n">
        <v>1</v>
      </c>
      <c r="H40" s="19" t="n">
        <v>10000</v>
      </c>
      <c r="I40" s="23" t="n">
        <f aca="false">F40*G40*H40</f>
        <v>20000</v>
      </c>
      <c r="J40" s="12" t="s">
        <v>4632</v>
      </c>
      <c r="K40" s="12" t="s">
        <v>2805</v>
      </c>
      <c r="L40" s="12"/>
      <c r="M40" s="4" t="s">
        <v>4659</v>
      </c>
    </row>
    <row r="41" customFormat="false" ht="35.05" hidden="false" customHeight="false" outlineLevel="0" collapsed="false">
      <c r="A41" s="4" t="s">
        <v>4655</v>
      </c>
      <c r="B41" s="12" t="s">
        <v>2765</v>
      </c>
      <c r="C41" s="4" t="s">
        <v>4660</v>
      </c>
      <c r="D41" s="12" t="s">
        <v>2808</v>
      </c>
      <c r="E41" s="12" t="s">
        <v>2528</v>
      </c>
      <c r="F41" s="29" t="n">
        <v>120</v>
      </c>
      <c r="G41" s="29" t="n">
        <v>1</v>
      </c>
      <c r="H41" s="19" t="n">
        <v>55</v>
      </c>
      <c r="I41" s="23" t="n">
        <f aca="false">F41*G41*H41</f>
        <v>6600</v>
      </c>
      <c r="J41" s="12" t="s">
        <v>4632</v>
      </c>
      <c r="K41" s="12" t="s">
        <v>2805</v>
      </c>
      <c r="L41" s="12"/>
      <c r="M41" s="4" t="s">
        <v>4661</v>
      </c>
    </row>
    <row r="42" customFormat="false" ht="35.05" hidden="false" customHeight="false" outlineLevel="0" collapsed="false">
      <c r="A42" s="4" t="s">
        <v>4655</v>
      </c>
      <c r="B42" s="12" t="s">
        <v>2765</v>
      </c>
      <c r="C42" s="4" t="s">
        <v>4662</v>
      </c>
      <c r="D42" s="12" t="s">
        <v>2808</v>
      </c>
      <c r="E42" s="12" t="s">
        <v>2497</v>
      </c>
      <c r="F42" s="29" t="n">
        <v>4</v>
      </c>
      <c r="G42" s="29" t="n">
        <v>1</v>
      </c>
      <c r="H42" s="19" t="n">
        <v>700</v>
      </c>
      <c r="I42" s="23" t="n">
        <f aca="false">F42*G42*H42</f>
        <v>2800</v>
      </c>
      <c r="J42" s="12" t="s">
        <v>4632</v>
      </c>
      <c r="K42" s="12" t="s">
        <v>2805</v>
      </c>
      <c r="L42" s="12"/>
      <c r="M42" s="4" t="s">
        <v>4663</v>
      </c>
    </row>
    <row r="43" customFormat="false" ht="35.05" hidden="false" customHeight="false" outlineLevel="0" collapsed="false">
      <c r="A43" s="4" t="s">
        <v>4655</v>
      </c>
      <c r="B43" s="12" t="s">
        <v>2765</v>
      </c>
      <c r="C43" s="4" t="s">
        <v>4664</v>
      </c>
      <c r="D43" s="12" t="s">
        <v>2808</v>
      </c>
      <c r="E43" s="12" t="s">
        <v>2831</v>
      </c>
      <c r="F43" s="29" t="n">
        <v>40</v>
      </c>
      <c r="G43" s="29" t="n">
        <v>1</v>
      </c>
      <c r="H43" s="19" t="n">
        <v>80</v>
      </c>
      <c r="I43" s="23" t="n">
        <f aca="false">F43*G43*H43</f>
        <v>3200</v>
      </c>
      <c r="J43" s="12" t="s">
        <v>4632</v>
      </c>
      <c r="K43" s="12" t="s">
        <v>2805</v>
      </c>
      <c r="L43" s="12"/>
      <c r="M43" s="4" t="s">
        <v>4665</v>
      </c>
    </row>
    <row r="44" customFormat="false" ht="23.85" hidden="false" customHeight="false" outlineLevel="0" collapsed="false">
      <c r="A44" s="4" t="s">
        <v>4060</v>
      </c>
      <c r="B44" s="12" t="s">
        <v>2765</v>
      </c>
      <c r="C44" s="4" t="s">
        <v>3305</v>
      </c>
      <c r="D44" s="12" t="s">
        <v>2808</v>
      </c>
      <c r="E44" s="12" t="s">
        <v>2477</v>
      </c>
      <c r="F44" s="29" t="n">
        <v>200</v>
      </c>
      <c r="G44" s="29" t="n">
        <v>24</v>
      </c>
      <c r="H44" s="19" t="n">
        <v>8</v>
      </c>
      <c r="I44" s="23" t="n">
        <f aca="false">F44*G44*H44</f>
        <v>38400</v>
      </c>
      <c r="J44" s="12" t="s">
        <v>4632</v>
      </c>
      <c r="K44" s="12" t="s">
        <v>2805</v>
      </c>
      <c r="L44" s="12"/>
      <c r="M44" s="4" t="s">
        <v>4666</v>
      </c>
    </row>
    <row r="45" customFormat="false" ht="23.85" hidden="false" customHeight="false" outlineLevel="0" collapsed="false">
      <c r="A45" s="4" t="s">
        <v>4060</v>
      </c>
      <c r="B45" s="12" t="s">
        <v>2765</v>
      </c>
      <c r="C45" s="4" t="s">
        <v>3430</v>
      </c>
      <c r="D45" s="12" t="s">
        <v>2808</v>
      </c>
      <c r="E45" s="12" t="s">
        <v>2477</v>
      </c>
      <c r="F45" s="29" t="n">
        <v>200</v>
      </c>
      <c r="G45" s="29" t="n">
        <v>1</v>
      </c>
      <c r="H45" s="19" t="n">
        <v>8</v>
      </c>
      <c r="I45" s="23" t="n">
        <f aca="false">F45*G45*H45</f>
        <v>1600</v>
      </c>
      <c r="J45" s="12" t="s">
        <v>4632</v>
      </c>
      <c r="K45" s="12" t="s">
        <v>2805</v>
      </c>
      <c r="L45" s="12"/>
      <c r="M45" s="4"/>
    </row>
    <row r="46" customFormat="false" ht="23.85" hidden="false" customHeight="false" outlineLevel="0" collapsed="false">
      <c r="A46" s="4" t="s">
        <v>4060</v>
      </c>
      <c r="B46" s="12" t="s">
        <v>2765</v>
      </c>
      <c r="C46" s="4" t="s">
        <v>4195</v>
      </c>
      <c r="D46" s="12" t="s">
        <v>2808</v>
      </c>
      <c r="E46" s="12" t="s">
        <v>2683</v>
      </c>
      <c r="F46" s="29" t="n">
        <v>1</v>
      </c>
      <c r="G46" s="29" t="n">
        <v>1</v>
      </c>
      <c r="H46" s="19" t="n">
        <v>3000</v>
      </c>
      <c r="I46" s="23" t="n">
        <f aca="false">F46*G46*H46</f>
        <v>3000</v>
      </c>
      <c r="J46" s="12" t="s">
        <v>4632</v>
      </c>
      <c r="K46" s="12" t="s">
        <v>2845</v>
      </c>
      <c r="L46" s="12" t="s">
        <v>2796</v>
      </c>
      <c r="M46" s="4"/>
    </row>
    <row r="47" customFormat="false" ht="23.85" hidden="false" customHeight="false" outlineLevel="0" collapsed="false">
      <c r="A47" s="4" t="s">
        <v>4667</v>
      </c>
      <c r="B47" s="12" t="s">
        <v>2765</v>
      </c>
      <c r="C47" s="4" t="s">
        <v>4668</v>
      </c>
      <c r="D47" s="12" t="s">
        <v>2855</v>
      </c>
      <c r="E47" s="12" t="s">
        <v>2516</v>
      </c>
      <c r="F47" s="29" t="n">
        <v>1</v>
      </c>
      <c r="G47" s="29" t="n">
        <v>1</v>
      </c>
      <c r="H47" s="19" t="n">
        <v>4000</v>
      </c>
      <c r="I47" s="23" t="n">
        <f aca="false">F47*G47*H47</f>
        <v>4000</v>
      </c>
      <c r="J47" s="12" t="s">
        <v>4632</v>
      </c>
      <c r="K47" s="12" t="s">
        <v>2858</v>
      </c>
      <c r="L47" s="12" t="s">
        <v>2950</v>
      </c>
      <c r="M47" s="4" t="s">
        <v>4669</v>
      </c>
    </row>
    <row r="48" customFormat="false" ht="23.85" hidden="false" customHeight="false" outlineLevel="0" collapsed="false">
      <c r="A48" s="4" t="s">
        <v>4667</v>
      </c>
      <c r="B48" s="12" t="s">
        <v>2765</v>
      </c>
      <c r="C48" s="4" t="s">
        <v>3318</v>
      </c>
      <c r="D48" s="12" t="s">
        <v>2808</v>
      </c>
      <c r="E48" s="12" t="s">
        <v>2497</v>
      </c>
      <c r="F48" s="29" t="n">
        <v>1</v>
      </c>
      <c r="G48" s="29" t="n">
        <v>1</v>
      </c>
      <c r="H48" s="19" t="n">
        <v>2500</v>
      </c>
      <c r="I48" s="23" t="n">
        <f aca="false">F48*G48*H48</f>
        <v>2500</v>
      </c>
      <c r="J48" s="12" t="s">
        <v>4632</v>
      </c>
      <c r="K48" s="12" t="s">
        <v>2863</v>
      </c>
      <c r="L48" s="12" t="s">
        <v>2796</v>
      </c>
      <c r="M48" s="4"/>
    </row>
    <row r="49" customFormat="false" ht="23.85" hidden="false" customHeight="false" outlineLevel="0" collapsed="false">
      <c r="A49" s="4" t="s">
        <v>4667</v>
      </c>
      <c r="B49" s="12" t="s">
        <v>2765</v>
      </c>
      <c r="C49" s="4" t="s">
        <v>2868</v>
      </c>
      <c r="D49" s="12" t="s">
        <v>2808</v>
      </c>
      <c r="E49" s="12" t="s">
        <v>2497</v>
      </c>
      <c r="F49" s="29" t="n">
        <v>1</v>
      </c>
      <c r="G49" s="29" t="n">
        <v>1</v>
      </c>
      <c r="H49" s="19" t="n">
        <v>700</v>
      </c>
      <c r="I49" s="23" t="n">
        <f aca="false">F49*G49*H49</f>
        <v>700</v>
      </c>
      <c r="J49" s="12" t="s">
        <v>4632</v>
      </c>
      <c r="K49" s="12" t="s">
        <v>2866</v>
      </c>
      <c r="L49" s="12" t="s">
        <v>2796</v>
      </c>
      <c r="M49" s="4"/>
    </row>
    <row r="50" customFormat="false" ht="23.85" hidden="false" customHeight="false" outlineLevel="0" collapsed="false">
      <c r="A50" s="4" t="s">
        <v>4667</v>
      </c>
      <c r="B50" s="12" t="s">
        <v>2765</v>
      </c>
      <c r="C50" s="4" t="s">
        <v>4670</v>
      </c>
      <c r="D50" s="12" t="s">
        <v>2808</v>
      </c>
      <c r="E50" s="12" t="s">
        <v>2497</v>
      </c>
      <c r="F50" s="29" t="n">
        <v>1</v>
      </c>
      <c r="G50" s="29" t="n">
        <v>1</v>
      </c>
      <c r="H50" s="19" t="n">
        <v>2000</v>
      </c>
      <c r="I50" s="23" t="n">
        <f aca="false">F50*G50*H50</f>
        <v>2000</v>
      </c>
      <c r="J50" s="12" t="s">
        <v>4632</v>
      </c>
      <c r="K50" s="12" t="s">
        <v>2805</v>
      </c>
      <c r="L50" s="12"/>
      <c r="M50" s="4" t="s">
        <v>4671</v>
      </c>
    </row>
    <row r="51" customFormat="false" ht="23.85" hidden="false" customHeight="false" outlineLevel="0" collapsed="false">
      <c r="A51" s="4" t="s">
        <v>4667</v>
      </c>
      <c r="B51" s="12" t="s">
        <v>2765</v>
      </c>
      <c r="C51" s="4" t="s">
        <v>3433</v>
      </c>
      <c r="D51" s="12" t="s">
        <v>2808</v>
      </c>
      <c r="E51" s="12" t="s">
        <v>2497</v>
      </c>
      <c r="F51" s="29" t="n">
        <v>3</v>
      </c>
      <c r="G51" s="29" t="n">
        <v>1</v>
      </c>
      <c r="H51" s="19" t="n">
        <v>1100</v>
      </c>
      <c r="I51" s="23" t="n">
        <f aca="false">F51*G51*H51</f>
        <v>3300</v>
      </c>
      <c r="J51" s="12" t="s">
        <v>4632</v>
      </c>
      <c r="K51" s="12" t="s">
        <v>3434</v>
      </c>
      <c r="L51" s="12" t="s">
        <v>2796</v>
      </c>
      <c r="M51" s="4" t="s">
        <v>4672</v>
      </c>
    </row>
    <row r="52" customFormat="false" ht="23.85" hidden="false" customHeight="false" outlineLevel="0" collapsed="false">
      <c r="A52" s="4" t="s">
        <v>4667</v>
      </c>
      <c r="B52" s="12" t="s">
        <v>2765</v>
      </c>
      <c r="C52" s="4" t="s">
        <v>3505</v>
      </c>
      <c r="D52" s="12" t="s">
        <v>2808</v>
      </c>
      <c r="E52" s="12" t="s">
        <v>3506</v>
      </c>
      <c r="F52" s="29" t="n">
        <v>4</v>
      </c>
      <c r="G52" s="29" t="n">
        <v>1</v>
      </c>
      <c r="H52" s="19" t="n">
        <v>220</v>
      </c>
      <c r="I52" s="23" t="n">
        <f aca="false">F52*G52*H52</f>
        <v>880</v>
      </c>
      <c r="J52" s="12" t="s">
        <v>4632</v>
      </c>
      <c r="K52" s="12" t="s">
        <v>3507</v>
      </c>
      <c r="L52" s="12" t="s">
        <v>2796</v>
      </c>
      <c r="M52" s="4"/>
    </row>
    <row r="53" customFormat="false" ht="23.85" hidden="false" customHeight="false" outlineLevel="0" collapsed="false">
      <c r="A53" s="4" t="s">
        <v>4667</v>
      </c>
      <c r="B53" s="12" t="s">
        <v>2765</v>
      </c>
      <c r="C53" s="4" t="s">
        <v>3325</v>
      </c>
      <c r="D53" s="12" t="s">
        <v>2808</v>
      </c>
      <c r="E53" s="12" t="s">
        <v>2497</v>
      </c>
      <c r="F53" s="29" t="n">
        <v>2</v>
      </c>
      <c r="G53" s="29" t="n">
        <v>1</v>
      </c>
      <c r="H53" s="19" t="n">
        <v>300</v>
      </c>
      <c r="I53" s="23" t="n">
        <f aca="false">F53*G53*H53</f>
        <v>600</v>
      </c>
      <c r="J53" s="12" t="s">
        <v>4632</v>
      </c>
      <c r="K53" s="12" t="s">
        <v>2875</v>
      </c>
      <c r="L53" s="12" t="s">
        <v>2796</v>
      </c>
      <c r="M53" s="4"/>
    </row>
    <row r="54" customFormat="false" ht="23.85" hidden="false" customHeight="false" outlineLevel="0" collapsed="false">
      <c r="A54" s="4" t="s">
        <v>4667</v>
      </c>
      <c r="B54" s="12" t="s">
        <v>2765</v>
      </c>
      <c r="C54" s="4" t="s">
        <v>3323</v>
      </c>
      <c r="D54" s="12" t="s">
        <v>2808</v>
      </c>
      <c r="E54" s="12" t="s">
        <v>2497</v>
      </c>
      <c r="F54" s="29" t="n">
        <v>3</v>
      </c>
      <c r="G54" s="29" t="n">
        <v>1</v>
      </c>
      <c r="H54" s="19" t="n">
        <v>280</v>
      </c>
      <c r="I54" s="23" t="n">
        <f aca="false">F54*G54*H54</f>
        <v>840</v>
      </c>
      <c r="J54" s="12" t="s">
        <v>4632</v>
      </c>
      <c r="K54" s="12" t="s">
        <v>3324</v>
      </c>
      <c r="L54" s="12" t="s">
        <v>2950</v>
      </c>
      <c r="M54" s="4"/>
    </row>
    <row r="55" customFormat="false" ht="23.85" hidden="false" customHeight="false" outlineLevel="0" collapsed="false">
      <c r="A55" s="4" t="s">
        <v>4667</v>
      </c>
      <c r="B55" s="12" t="s">
        <v>2765</v>
      </c>
      <c r="C55" s="4" t="s">
        <v>4102</v>
      </c>
      <c r="D55" s="12" t="s">
        <v>2808</v>
      </c>
      <c r="E55" s="12" t="s">
        <v>2497</v>
      </c>
      <c r="F55" s="29" t="n">
        <v>3</v>
      </c>
      <c r="G55" s="29" t="n">
        <v>1</v>
      </c>
      <c r="H55" s="19" t="n">
        <v>300</v>
      </c>
      <c r="I55" s="23" t="n">
        <f aca="false">F55*G55*H55</f>
        <v>900</v>
      </c>
      <c r="J55" s="12" t="s">
        <v>4632</v>
      </c>
      <c r="K55" s="12" t="s">
        <v>2870</v>
      </c>
      <c r="L55" s="12" t="s">
        <v>2796</v>
      </c>
      <c r="M55" s="4"/>
    </row>
    <row r="56" customFormat="false" ht="23.85" hidden="false" customHeight="false" outlineLevel="0" collapsed="false">
      <c r="A56" s="4" t="s">
        <v>4667</v>
      </c>
      <c r="B56" s="12" t="s">
        <v>2765</v>
      </c>
      <c r="C56" s="4" t="s">
        <v>4673</v>
      </c>
      <c r="D56" s="12" t="s">
        <v>2882</v>
      </c>
      <c r="E56" s="12" t="s">
        <v>2601</v>
      </c>
      <c r="F56" s="29" t="n">
        <v>1</v>
      </c>
      <c r="G56" s="29" t="n">
        <v>1</v>
      </c>
      <c r="H56" s="19" t="n">
        <v>5753</v>
      </c>
      <c r="I56" s="23" t="n">
        <f aca="false">F56*G56*H56</f>
        <v>5753</v>
      </c>
      <c r="J56" s="12" t="s">
        <v>4632</v>
      </c>
      <c r="K56" s="12" t="s">
        <v>2805</v>
      </c>
      <c r="L56" s="12"/>
      <c r="M56" s="4" t="s">
        <v>4674</v>
      </c>
    </row>
    <row r="57" customFormat="false" ht="23.85" hidden="false" customHeight="false" outlineLevel="0" collapsed="false">
      <c r="A57" s="4" t="s">
        <v>4060</v>
      </c>
      <c r="B57" s="12" t="s">
        <v>2765</v>
      </c>
      <c r="C57" s="4" t="s">
        <v>2613</v>
      </c>
      <c r="D57" s="12" t="s">
        <v>2808</v>
      </c>
      <c r="E57" s="12" t="s">
        <v>2497</v>
      </c>
      <c r="F57" s="29" t="n">
        <v>4</v>
      </c>
      <c r="G57" s="29" t="n">
        <v>1</v>
      </c>
      <c r="H57" s="19" t="n">
        <v>900</v>
      </c>
      <c r="I57" s="23" t="n">
        <f aca="false">F57*G57*H57</f>
        <v>3600</v>
      </c>
      <c r="J57" s="12" t="s">
        <v>4632</v>
      </c>
      <c r="K57" s="12" t="s">
        <v>2848</v>
      </c>
      <c r="L57" s="12" t="s">
        <v>2796</v>
      </c>
      <c r="M57" s="4"/>
    </row>
    <row r="58" customFormat="false" ht="23.85" hidden="false" customHeight="false" outlineLevel="0" collapsed="false">
      <c r="A58" s="4" t="s">
        <v>4060</v>
      </c>
      <c r="B58" s="12" t="s">
        <v>2765</v>
      </c>
      <c r="C58" s="4" t="s">
        <v>3333</v>
      </c>
      <c r="D58" s="12" t="s">
        <v>2808</v>
      </c>
      <c r="E58" s="12" t="s">
        <v>2497</v>
      </c>
      <c r="F58" s="29" t="n">
        <v>3</v>
      </c>
      <c r="G58" s="29" t="n">
        <v>1</v>
      </c>
      <c r="H58" s="19" t="n">
        <v>1800</v>
      </c>
      <c r="I58" s="23" t="n">
        <f aca="false">F58*G58*H58</f>
        <v>5400</v>
      </c>
      <c r="J58" s="12" t="s">
        <v>4632</v>
      </c>
      <c r="K58" s="12" t="s">
        <v>2851</v>
      </c>
      <c r="L58" s="12" t="s">
        <v>2796</v>
      </c>
      <c r="M58" s="4"/>
    </row>
    <row r="59" customFormat="false" ht="23.85" hidden="false" customHeight="false" outlineLevel="0" collapsed="false">
      <c r="A59" s="4" t="s">
        <v>4060</v>
      </c>
      <c r="B59" s="12" t="s">
        <v>2766</v>
      </c>
      <c r="C59" s="4" t="s">
        <v>4675</v>
      </c>
      <c r="D59" s="12" t="s">
        <v>2793</v>
      </c>
      <c r="E59" s="12" t="s">
        <v>2484</v>
      </c>
      <c r="F59" s="29" t="n">
        <v>1</v>
      </c>
      <c r="G59" s="29" t="n">
        <v>1</v>
      </c>
      <c r="H59" s="19" t="n">
        <v>7000</v>
      </c>
      <c r="I59" s="23" t="n">
        <f aca="false">F59*G59*H59</f>
        <v>7000</v>
      </c>
      <c r="J59" s="12" t="s">
        <v>4632</v>
      </c>
      <c r="K59" s="12" t="s">
        <v>2795</v>
      </c>
      <c r="L59" s="12" t="s">
        <v>2796</v>
      </c>
      <c r="M59" s="4" t="s">
        <v>4676</v>
      </c>
    </row>
    <row r="60" customFormat="false" ht="23.85" hidden="false" customHeight="false" outlineLevel="0" collapsed="false">
      <c r="A60" s="4" t="s">
        <v>4060</v>
      </c>
      <c r="B60" s="12" t="s">
        <v>2766</v>
      </c>
      <c r="C60" s="4" t="s">
        <v>4677</v>
      </c>
      <c r="D60" s="12" t="s">
        <v>2804</v>
      </c>
      <c r="E60" s="12" t="s">
        <v>2597</v>
      </c>
      <c r="F60" s="29" t="n">
        <v>1</v>
      </c>
      <c r="G60" s="29" t="n">
        <v>1</v>
      </c>
      <c r="H60" s="19" t="n">
        <v>6000</v>
      </c>
      <c r="I60" s="23" t="n">
        <f aca="false">F60*G60*H60</f>
        <v>6000</v>
      </c>
      <c r="J60" s="12" t="s">
        <v>4632</v>
      </c>
      <c r="K60" s="12" t="s">
        <v>2891</v>
      </c>
      <c r="L60" s="12" t="s">
        <v>3221</v>
      </c>
      <c r="M60" s="4" t="s">
        <v>4202</v>
      </c>
    </row>
    <row r="61" customFormat="false" ht="23.85" hidden="false" customHeight="false" outlineLevel="0" collapsed="false">
      <c r="A61" s="4" t="s">
        <v>4060</v>
      </c>
      <c r="B61" s="12" t="s">
        <v>2768</v>
      </c>
      <c r="C61" s="4" t="s">
        <v>2911</v>
      </c>
      <c r="D61" s="12" t="s">
        <v>2882</v>
      </c>
      <c r="E61" s="12" t="s">
        <v>2601</v>
      </c>
      <c r="F61" s="29" t="n">
        <v>1</v>
      </c>
      <c r="G61" s="29" t="n">
        <v>1</v>
      </c>
      <c r="H61" s="19" t="n">
        <v>19600</v>
      </c>
      <c r="I61" s="23" t="n">
        <f aca="false">F61*G61*H61</f>
        <v>19600</v>
      </c>
      <c r="J61" s="12" t="s">
        <v>4632</v>
      </c>
      <c r="K61" s="12" t="s">
        <v>2805</v>
      </c>
      <c r="L61" s="12"/>
      <c r="M61" s="4" t="s">
        <v>4678</v>
      </c>
    </row>
    <row r="62" customFormat="false" ht="23.85" hidden="false" customHeight="false" outlineLevel="0" collapsed="false">
      <c r="A62" s="4" t="s">
        <v>4060</v>
      </c>
      <c r="B62" s="12" t="s">
        <v>2767</v>
      </c>
      <c r="C62" s="4" t="s">
        <v>2893</v>
      </c>
      <c r="D62" s="12" t="s">
        <v>2793</v>
      </c>
      <c r="E62" s="12" t="s">
        <v>2484</v>
      </c>
      <c r="F62" s="29" t="n">
        <v>9</v>
      </c>
      <c r="G62" s="29" t="n">
        <v>1</v>
      </c>
      <c r="H62" s="19" t="n">
        <v>1200</v>
      </c>
      <c r="I62" s="23" t="n">
        <f aca="false">F62*G62*H62</f>
        <v>10800</v>
      </c>
      <c r="J62" s="12" t="s">
        <v>4632</v>
      </c>
      <c r="K62" s="12" t="s">
        <v>2894</v>
      </c>
      <c r="L62" s="12" t="s">
        <v>2796</v>
      </c>
      <c r="M62" s="4"/>
    </row>
    <row r="63" customFormat="false" ht="35.05" hidden="false" customHeight="false" outlineLevel="0" collapsed="false">
      <c r="A63" s="4" t="s">
        <v>4060</v>
      </c>
      <c r="B63" s="12" t="s">
        <v>2767</v>
      </c>
      <c r="C63" s="4" t="s">
        <v>4679</v>
      </c>
      <c r="D63" s="12" t="s">
        <v>2793</v>
      </c>
      <c r="E63" s="12" t="s">
        <v>2484</v>
      </c>
      <c r="F63" s="29" t="n">
        <v>2</v>
      </c>
      <c r="G63" s="29" t="n">
        <v>1</v>
      </c>
      <c r="H63" s="19" t="n">
        <v>2000</v>
      </c>
      <c r="I63" s="23" t="n">
        <f aca="false">F63*G63*H63</f>
        <v>4000</v>
      </c>
      <c r="J63" s="12" t="s">
        <v>4632</v>
      </c>
      <c r="K63" s="12" t="s">
        <v>2891</v>
      </c>
      <c r="L63" s="12" t="s">
        <v>2796</v>
      </c>
      <c r="M63" s="4"/>
    </row>
    <row r="64" customFormat="false" ht="23.85" hidden="false" customHeight="false" outlineLevel="0" collapsed="false">
      <c r="A64" s="4" t="s">
        <v>4060</v>
      </c>
      <c r="B64" s="12" t="s">
        <v>2765</v>
      </c>
      <c r="C64" s="4" t="s">
        <v>4123</v>
      </c>
      <c r="D64" s="12" t="s">
        <v>2808</v>
      </c>
      <c r="E64" s="12" t="s">
        <v>2702</v>
      </c>
      <c r="F64" s="29" t="n">
        <v>40</v>
      </c>
      <c r="G64" s="29" t="n">
        <v>1</v>
      </c>
      <c r="H64" s="19" t="n">
        <v>180</v>
      </c>
      <c r="I64" s="23" t="n">
        <f aca="false">F64*G64*H64</f>
        <v>7200</v>
      </c>
      <c r="J64" s="12" t="s">
        <v>4632</v>
      </c>
      <c r="K64" s="12" t="s">
        <v>2899</v>
      </c>
      <c r="L64" s="12" t="s">
        <v>2796</v>
      </c>
      <c r="M64" s="4" t="s">
        <v>3234</v>
      </c>
    </row>
    <row r="65" customFormat="false" ht="23.85" hidden="false" customHeight="false" outlineLevel="0" collapsed="false">
      <c r="A65" s="4" t="s">
        <v>4060</v>
      </c>
      <c r="B65" s="12" t="s">
        <v>2765</v>
      </c>
      <c r="C65" s="4" t="s">
        <v>4680</v>
      </c>
      <c r="D65" s="12" t="s">
        <v>2808</v>
      </c>
      <c r="E65" s="12" t="s">
        <v>2497</v>
      </c>
      <c r="F65" s="29" t="n">
        <v>1</v>
      </c>
      <c r="G65" s="29" t="n">
        <v>1</v>
      </c>
      <c r="H65" s="19" t="n">
        <v>1300</v>
      </c>
      <c r="I65" s="23" t="n">
        <f aca="false">F65*G65*H65</f>
        <v>1300</v>
      </c>
      <c r="J65" s="12" t="s">
        <v>4632</v>
      </c>
      <c r="K65" s="12" t="s">
        <v>2805</v>
      </c>
      <c r="L65" s="12"/>
      <c r="M65" s="4" t="s">
        <v>3234</v>
      </c>
    </row>
    <row r="66" customFormat="false" ht="23.85" hidden="false" customHeight="false" outlineLevel="0" collapsed="false">
      <c r="A66" s="4" t="s">
        <v>4060</v>
      </c>
      <c r="B66" s="12" t="s">
        <v>2765</v>
      </c>
      <c r="C66" s="4" t="s">
        <v>4681</v>
      </c>
      <c r="D66" s="12" t="s">
        <v>2804</v>
      </c>
      <c r="E66" s="12" t="s">
        <v>2597</v>
      </c>
      <c r="F66" s="29" t="n">
        <v>1</v>
      </c>
      <c r="G66" s="29" t="n">
        <v>1</v>
      </c>
      <c r="H66" s="19" t="n">
        <v>3000</v>
      </c>
      <c r="I66" s="23" t="n">
        <f aca="false">F66*G66*H66</f>
        <v>3000</v>
      </c>
      <c r="J66" s="12" t="s">
        <v>4632</v>
      </c>
      <c r="K66" s="12" t="s">
        <v>2902</v>
      </c>
      <c r="L66" s="12" t="s">
        <v>2796</v>
      </c>
      <c r="M66" s="4" t="s">
        <v>3234</v>
      </c>
    </row>
    <row r="67" customFormat="false" ht="23.85" hidden="false" customHeight="false" outlineLevel="0" collapsed="false">
      <c r="A67" s="4" t="s">
        <v>4060</v>
      </c>
      <c r="B67" s="12" t="s">
        <v>2765</v>
      </c>
      <c r="C67" s="4" t="s">
        <v>4682</v>
      </c>
      <c r="D67" s="12" t="s">
        <v>2804</v>
      </c>
      <c r="E67" s="12" t="s">
        <v>2597</v>
      </c>
      <c r="F67" s="29" t="n">
        <v>1</v>
      </c>
      <c r="G67" s="29" t="n">
        <v>1</v>
      </c>
      <c r="H67" s="19" t="n">
        <v>2500</v>
      </c>
      <c r="I67" s="23" t="n">
        <f aca="false">F67*G67*H67</f>
        <v>2500</v>
      </c>
      <c r="J67" s="12" t="s">
        <v>4632</v>
      </c>
      <c r="K67" s="12" t="s">
        <v>2902</v>
      </c>
      <c r="L67" s="12" t="s">
        <v>2796</v>
      </c>
      <c r="M67" s="4" t="s">
        <v>3234</v>
      </c>
    </row>
    <row r="68" customFormat="false" ht="15" hidden="false" customHeight="false" outlineLevel="0" collapsed="false">
      <c r="H68" s="10" t="s">
        <v>134</v>
      </c>
      <c r="I68" s="11" t="n">
        <f aca="false">SUM(I26:I67)</f>
        <v>396823</v>
      </c>
    </row>
    <row r="70" customFormat="false" ht="15" hidden="false" customHeight="false" outlineLevel="0" collapsed="false">
      <c r="A70" s="22" t="s">
        <v>2913</v>
      </c>
    </row>
    <row r="71" customFormat="false" ht="23.85" hidden="false" customHeight="false" outlineLevel="0" collapsed="false">
      <c r="A71" s="3" t="s">
        <v>2914</v>
      </c>
      <c r="B71" s="3" t="s">
        <v>2915</v>
      </c>
      <c r="C71" s="3" t="s">
        <v>2780</v>
      </c>
      <c r="D71" s="3" t="s">
        <v>2781</v>
      </c>
      <c r="E71" s="3" t="s">
        <v>2782</v>
      </c>
      <c r="F71" s="3" t="s">
        <v>2783</v>
      </c>
      <c r="G71" s="3" t="s">
        <v>2784</v>
      </c>
      <c r="H71" s="3" t="s">
        <v>2785</v>
      </c>
      <c r="I71" s="3" t="s">
        <v>2786</v>
      </c>
      <c r="J71" s="3" t="s">
        <v>1393</v>
      </c>
      <c r="K71" s="3" t="s">
        <v>2916</v>
      </c>
      <c r="L71" s="3" t="s">
        <v>2789</v>
      </c>
      <c r="M71" s="3" t="s">
        <v>368</v>
      </c>
    </row>
    <row r="72" customFormat="false" ht="23.85" hidden="false" customHeight="false" outlineLevel="0" collapsed="false">
      <c r="A72" s="4" t="s">
        <v>4060</v>
      </c>
      <c r="B72" s="12" t="s">
        <v>2918</v>
      </c>
      <c r="C72" s="4" t="s">
        <v>2919</v>
      </c>
      <c r="D72" s="12" t="s">
        <v>2804</v>
      </c>
      <c r="E72" s="12" t="s">
        <v>2597</v>
      </c>
      <c r="F72" s="30" t="n">
        <v>1</v>
      </c>
      <c r="G72" s="30" t="n">
        <v>1</v>
      </c>
      <c r="H72" s="19" t="n">
        <v>10000</v>
      </c>
      <c r="I72" s="23" t="n">
        <f aca="false">F72*G72*H72</f>
        <v>10000</v>
      </c>
      <c r="J72" s="12" t="s">
        <v>4632</v>
      </c>
      <c r="K72" s="12" t="s">
        <v>2920</v>
      </c>
      <c r="L72" s="12" t="s">
        <v>2796</v>
      </c>
      <c r="M72" s="4" t="s">
        <v>4683</v>
      </c>
    </row>
    <row r="73" customFormat="false" ht="23.85" hidden="false" customHeight="false" outlineLevel="0" collapsed="false">
      <c r="A73" s="4" t="s">
        <v>4060</v>
      </c>
      <c r="B73" s="12" t="s">
        <v>2918</v>
      </c>
      <c r="C73" s="4" t="s">
        <v>2922</v>
      </c>
      <c r="D73" s="12" t="s">
        <v>2804</v>
      </c>
      <c r="E73" s="12" t="s">
        <v>2597</v>
      </c>
      <c r="F73" s="30" t="n">
        <v>1</v>
      </c>
      <c r="G73" s="30" t="n">
        <v>1</v>
      </c>
      <c r="H73" s="19" t="n">
        <v>8000</v>
      </c>
      <c r="I73" s="23" t="n">
        <f aca="false">F73*G73*H73</f>
        <v>8000</v>
      </c>
      <c r="J73" s="12" t="s">
        <v>4632</v>
      </c>
      <c r="K73" s="12" t="s">
        <v>2805</v>
      </c>
      <c r="L73" s="12"/>
      <c r="M73" s="4"/>
    </row>
    <row r="74" customFormat="false" ht="23.85" hidden="false" customHeight="false" outlineLevel="0" collapsed="false">
      <c r="A74" s="4" t="s">
        <v>4060</v>
      </c>
      <c r="B74" s="12" t="s">
        <v>2918</v>
      </c>
      <c r="C74" s="4" t="s">
        <v>2926</v>
      </c>
      <c r="D74" s="12" t="s">
        <v>2793</v>
      </c>
      <c r="E74" s="12" t="s">
        <v>2484</v>
      </c>
      <c r="F74" s="30" t="n">
        <v>10</v>
      </c>
      <c r="G74" s="30" t="n">
        <v>1</v>
      </c>
      <c r="H74" s="19" t="n">
        <v>80</v>
      </c>
      <c r="I74" s="23" t="n">
        <f aca="false">F74*G74*H74</f>
        <v>800</v>
      </c>
      <c r="J74" s="12" t="s">
        <v>4632</v>
      </c>
      <c r="K74" s="12" t="s">
        <v>2805</v>
      </c>
      <c r="L74" s="12"/>
      <c r="M74" s="4"/>
    </row>
    <row r="75" customFormat="false" ht="23.85" hidden="false" customHeight="false" outlineLevel="0" collapsed="false">
      <c r="A75" s="4" t="s">
        <v>4060</v>
      </c>
      <c r="B75" s="12" t="s">
        <v>2918</v>
      </c>
      <c r="C75" s="4" t="s">
        <v>2928</v>
      </c>
      <c r="D75" s="12" t="s">
        <v>2882</v>
      </c>
      <c r="E75" s="12" t="s">
        <v>2601</v>
      </c>
      <c r="F75" s="30" t="n">
        <v>1</v>
      </c>
      <c r="G75" s="30" t="n">
        <v>1</v>
      </c>
      <c r="H75" s="19" t="n">
        <v>1500</v>
      </c>
      <c r="I75" s="23" t="n">
        <f aca="false">F75*G75*H75</f>
        <v>1500</v>
      </c>
      <c r="J75" s="12" t="s">
        <v>4632</v>
      </c>
      <c r="K75" s="12" t="s">
        <v>2805</v>
      </c>
      <c r="L75" s="12"/>
      <c r="M75" s="4"/>
    </row>
    <row r="76" customFormat="false" ht="23.85" hidden="false" customHeight="false" outlineLevel="0" collapsed="false">
      <c r="A76" s="4" t="s">
        <v>4060</v>
      </c>
      <c r="B76" s="12" t="s">
        <v>2930</v>
      </c>
      <c r="C76" s="4" t="s">
        <v>3237</v>
      </c>
      <c r="D76" s="12" t="s">
        <v>2793</v>
      </c>
      <c r="E76" s="12" t="s">
        <v>2484</v>
      </c>
      <c r="F76" s="30" t="n">
        <v>2</v>
      </c>
      <c r="G76" s="30" t="n">
        <v>1</v>
      </c>
      <c r="H76" s="19" t="n">
        <v>4000</v>
      </c>
      <c r="I76" s="23" t="n">
        <f aca="false">F76*G76*H76</f>
        <v>8000</v>
      </c>
      <c r="J76" s="12" t="s">
        <v>4632</v>
      </c>
      <c r="K76" s="12" t="s">
        <v>2805</v>
      </c>
      <c r="L76" s="12"/>
      <c r="M76" s="4"/>
    </row>
    <row r="77" customFormat="false" ht="23.85" hidden="false" customHeight="false" outlineLevel="0" collapsed="false">
      <c r="A77" s="4" t="s">
        <v>4060</v>
      </c>
      <c r="B77" s="12" t="s">
        <v>2930</v>
      </c>
      <c r="C77" s="4" t="s">
        <v>3456</v>
      </c>
      <c r="D77" s="12" t="s">
        <v>2808</v>
      </c>
      <c r="E77" s="12" t="s">
        <v>2497</v>
      </c>
      <c r="F77" s="30" t="n">
        <v>4</v>
      </c>
      <c r="G77" s="30" t="n">
        <v>1</v>
      </c>
      <c r="H77" s="19" t="n">
        <v>250</v>
      </c>
      <c r="I77" s="23" t="n">
        <f aca="false">F77*G77*H77</f>
        <v>1000</v>
      </c>
      <c r="J77" s="12" t="s">
        <v>4632</v>
      </c>
      <c r="K77" s="12" t="s">
        <v>2934</v>
      </c>
      <c r="L77" s="12" t="s">
        <v>2796</v>
      </c>
      <c r="M77" s="4"/>
    </row>
    <row r="78" customFormat="false" ht="23.85" hidden="false" customHeight="false" outlineLevel="0" collapsed="false">
      <c r="A78" s="4" t="s">
        <v>4060</v>
      </c>
      <c r="B78" s="12" t="s">
        <v>2930</v>
      </c>
      <c r="C78" s="4" t="s">
        <v>3362</v>
      </c>
      <c r="D78" s="12" t="s">
        <v>2808</v>
      </c>
      <c r="E78" s="12" t="s">
        <v>2497</v>
      </c>
      <c r="F78" s="30" t="n">
        <v>1</v>
      </c>
      <c r="G78" s="30" t="n">
        <v>1</v>
      </c>
      <c r="H78" s="19" t="n">
        <v>600</v>
      </c>
      <c r="I78" s="23" t="n">
        <f aca="false">F78*G78*H78</f>
        <v>600</v>
      </c>
      <c r="J78" s="12" t="s">
        <v>4632</v>
      </c>
      <c r="K78" s="12" t="s">
        <v>2805</v>
      </c>
      <c r="L78" s="12"/>
      <c r="M78" s="4"/>
    </row>
    <row r="79" customFormat="false" ht="23.85" hidden="false" customHeight="false" outlineLevel="0" collapsed="false">
      <c r="A79" s="4" t="s">
        <v>4060</v>
      </c>
      <c r="B79" s="12" t="s">
        <v>2930</v>
      </c>
      <c r="C79" s="4" t="s">
        <v>4132</v>
      </c>
      <c r="D79" s="12" t="s">
        <v>2804</v>
      </c>
      <c r="E79" s="12" t="s">
        <v>2597</v>
      </c>
      <c r="F79" s="30" t="n">
        <v>1</v>
      </c>
      <c r="G79" s="30" t="n">
        <v>1</v>
      </c>
      <c r="H79" s="19" t="n">
        <v>6000</v>
      </c>
      <c r="I79" s="23" t="n">
        <f aca="false">F79*G79*H79</f>
        <v>6000</v>
      </c>
      <c r="J79" s="12" t="s">
        <v>4632</v>
      </c>
      <c r="K79" s="12" t="s">
        <v>2937</v>
      </c>
      <c r="L79" s="12" t="s">
        <v>2796</v>
      </c>
      <c r="M79" s="4"/>
    </row>
    <row r="80" customFormat="false" ht="23.85" hidden="false" customHeight="false" outlineLevel="0" collapsed="false">
      <c r="A80" s="4" t="s">
        <v>4060</v>
      </c>
      <c r="B80" s="12" t="s">
        <v>2930</v>
      </c>
      <c r="C80" s="4" t="s">
        <v>3365</v>
      </c>
      <c r="D80" s="12" t="s">
        <v>2793</v>
      </c>
      <c r="E80" s="12" t="s">
        <v>2484</v>
      </c>
      <c r="F80" s="30" t="n">
        <v>4</v>
      </c>
      <c r="G80" s="30" t="n">
        <v>1</v>
      </c>
      <c r="H80" s="19" t="n">
        <v>3000</v>
      </c>
      <c r="I80" s="23" t="n">
        <f aca="false">F80*G80*H80</f>
        <v>12000</v>
      </c>
      <c r="J80" s="12" t="s">
        <v>4632</v>
      </c>
      <c r="K80" s="12" t="s">
        <v>2909</v>
      </c>
      <c r="L80" s="12" t="s">
        <v>2796</v>
      </c>
      <c r="M80" s="4"/>
    </row>
    <row r="81" customFormat="false" ht="23.85" hidden="false" customHeight="false" outlineLevel="0" collapsed="false">
      <c r="A81" s="4" t="s">
        <v>4060</v>
      </c>
      <c r="B81" s="12" t="s">
        <v>2930</v>
      </c>
      <c r="C81" s="4" t="s">
        <v>4684</v>
      </c>
      <c r="D81" s="12" t="s">
        <v>2793</v>
      </c>
      <c r="E81" s="12" t="s">
        <v>2484</v>
      </c>
      <c r="F81" s="30" t="n">
        <v>1</v>
      </c>
      <c r="G81" s="30" t="n">
        <v>1</v>
      </c>
      <c r="H81" s="19" t="n">
        <v>4000</v>
      </c>
      <c r="I81" s="23" t="n">
        <f aca="false">F81*G81*H81</f>
        <v>4000</v>
      </c>
      <c r="J81" s="12" t="s">
        <v>4632</v>
      </c>
      <c r="K81" s="12" t="s">
        <v>2939</v>
      </c>
      <c r="L81" s="12" t="s">
        <v>2796</v>
      </c>
      <c r="M81" s="4" t="s">
        <v>4685</v>
      </c>
    </row>
    <row r="82" customFormat="false" ht="23.85" hidden="false" customHeight="false" outlineLevel="0" collapsed="false">
      <c r="A82" s="4" t="s">
        <v>4060</v>
      </c>
      <c r="B82" s="12" t="s">
        <v>2930</v>
      </c>
      <c r="C82" s="4" t="s">
        <v>2944</v>
      </c>
      <c r="D82" s="12" t="s">
        <v>2808</v>
      </c>
      <c r="E82" s="12" t="s">
        <v>2477</v>
      </c>
      <c r="F82" s="30" t="n">
        <v>500</v>
      </c>
      <c r="G82" s="30" t="n">
        <v>1</v>
      </c>
      <c r="H82" s="19" t="n">
        <v>2.5</v>
      </c>
      <c r="I82" s="23" t="n">
        <f aca="false">F82*G82*H82</f>
        <v>1250</v>
      </c>
      <c r="J82" s="12" t="s">
        <v>4632</v>
      </c>
      <c r="K82" s="12" t="s">
        <v>2805</v>
      </c>
      <c r="L82" s="12"/>
      <c r="M82" s="4"/>
    </row>
    <row r="83" customFormat="false" ht="23.85" hidden="false" customHeight="false" outlineLevel="0" collapsed="false">
      <c r="A83" s="4" t="s">
        <v>4060</v>
      </c>
      <c r="B83" s="12" t="s">
        <v>2930</v>
      </c>
      <c r="C83" s="4" t="s">
        <v>2946</v>
      </c>
      <c r="D83" s="12" t="s">
        <v>2808</v>
      </c>
      <c r="E83" s="12" t="s">
        <v>2661</v>
      </c>
      <c r="F83" s="30" t="n">
        <v>2</v>
      </c>
      <c r="G83" s="30" t="n">
        <v>1</v>
      </c>
      <c r="H83" s="19" t="n">
        <v>450</v>
      </c>
      <c r="I83" s="23" t="n">
        <f aca="false">F83*G83*H83</f>
        <v>900</v>
      </c>
      <c r="J83" s="12" t="s">
        <v>4632</v>
      </c>
      <c r="K83" s="12" t="s">
        <v>2805</v>
      </c>
      <c r="L83" s="12"/>
      <c r="M83" s="4"/>
    </row>
    <row r="84" customFormat="false" ht="23.85" hidden="false" customHeight="false" outlineLevel="0" collapsed="false">
      <c r="A84" s="4" t="s">
        <v>4060</v>
      </c>
      <c r="B84" s="12" t="s">
        <v>2930</v>
      </c>
      <c r="C84" s="4" t="s">
        <v>3738</v>
      </c>
      <c r="D84" s="12" t="s">
        <v>2808</v>
      </c>
      <c r="E84" s="12" t="s">
        <v>2528</v>
      </c>
      <c r="F84" s="30" t="n">
        <v>20</v>
      </c>
      <c r="G84" s="30" t="n">
        <v>1</v>
      </c>
      <c r="H84" s="19" t="n">
        <v>65</v>
      </c>
      <c r="I84" s="23" t="n">
        <f aca="false">F84*G84*H84</f>
        <v>1300</v>
      </c>
      <c r="J84" s="12" t="s">
        <v>4632</v>
      </c>
      <c r="K84" s="12" t="s">
        <v>2949</v>
      </c>
      <c r="L84" s="12" t="s">
        <v>2950</v>
      </c>
      <c r="M84" s="4"/>
    </row>
    <row r="85" customFormat="false" ht="23.85" hidden="false" customHeight="false" outlineLevel="0" collapsed="false">
      <c r="A85" s="4" t="s">
        <v>4060</v>
      </c>
      <c r="B85" s="12" t="s">
        <v>2930</v>
      </c>
      <c r="C85" s="4" t="s">
        <v>3063</v>
      </c>
      <c r="D85" s="12" t="s">
        <v>2882</v>
      </c>
      <c r="E85" s="12" t="s">
        <v>2601</v>
      </c>
      <c r="F85" s="30" t="n">
        <v>1</v>
      </c>
      <c r="G85" s="30" t="n">
        <v>1</v>
      </c>
      <c r="H85" s="19" t="n">
        <v>3000</v>
      </c>
      <c r="I85" s="23" t="n">
        <f aca="false">F85*G85*H85</f>
        <v>3000</v>
      </c>
      <c r="J85" s="12" t="s">
        <v>4632</v>
      </c>
      <c r="K85" s="12" t="s">
        <v>2942</v>
      </c>
      <c r="L85" s="12" t="s">
        <v>2796</v>
      </c>
      <c r="M85" s="4"/>
    </row>
    <row r="87" customFormat="false" ht="15" hidden="false" customHeight="false" outlineLevel="0" collapsed="false">
      <c r="A87" s="10" t="s">
        <v>2952</v>
      </c>
      <c r="B87" s="23" t="n">
        <f aca="false">SUMIFS($I$72:$I$85,$B$72:$B$85,"Custos de administração")</f>
        <v>20300</v>
      </c>
      <c r="C87" s="13" t="n">
        <f aca="false">B17</f>
        <v>23809.38</v>
      </c>
      <c r="D87" s="23" t="n">
        <f aca="false">C87-B87</f>
        <v>3509.38</v>
      </c>
      <c r="E87" s="12" t="str">
        <f aca="false">IF(D87&gt;=0,"OK","EXCEDE")</f>
        <v>OK</v>
      </c>
    </row>
    <row r="88" customFormat="false" ht="15" hidden="false" customHeight="false" outlineLevel="0" collapsed="false">
      <c r="A88" s="10" t="s">
        <v>2953</v>
      </c>
      <c r="B88" s="23" t="n">
        <f aca="false">SUMIFS($I$72:$I$85,$B$72:$B$85,"Custos de acessibilidade, comunicação e divulgação")</f>
        <v>38050</v>
      </c>
      <c r="C88" s="13" t="n">
        <f aca="false">B18</f>
        <v>39682.3</v>
      </c>
      <c r="D88" s="23" t="n">
        <f aca="false">C88-B88</f>
        <v>1632.3</v>
      </c>
      <c r="E88" s="12" t="str">
        <f aca="false">IF(D88&gt;=0,"OK","EXCEDE")</f>
        <v>OK</v>
      </c>
    </row>
    <row r="89" customFormat="false" ht="15" hidden="false" customHeight="false" outlineLevel="0" collapsed="false">
      <c r="A89" s="14" t="s">
        <v>2954</v>
      </c>
    </row>
    <row r="91" customFormat="false" ht="15" hidden="false" customHeight="false" outlineLevel="0" collapsed="false">
      <c r="A91" s="22" t="s">
        <v>2955</v>
      </c>
    </row>
    <row r="92" customFormat="false" ht="30" hidden="false" customHeight="true" outlineLevel="0" collapsed="false">
      <c r="A92" s="21" t="s">
        <v>4686</v>
      </c>
      <c r="B92" s="21"/>
      <c r="C92" s="21"/>
      <c r="D92" s="21"/>
      <c r="E92" s="21"/>
      <c r="F92" s="21"/>
      <c r="G92" s="21"/>
      <c r="H92" s="21"/>
      <c r="I92" s="21"/>
      <c r="J92" s="21"/>
      <c r="K92" s="21"/>
      <c r="L92" s="21"/>
      <c r="M92" s="21"/>
    </row>
    <row r="93" customFormat="false" ht="30" hidden="false" customHeight="true" outlineLevel="0" collapsed="false">
      <c r="A93" s="21" t="s">
        <v>4687</v>
      </c>
      <c r="B93" s="21"/>
      <c r="C93" s="21"/>
      <c r="D93" s="21"/>
      <c r="E93" s="21"/>
      <c r="F93" s="21"/>
      <c r="G93" s="21"/>
      <c r="H93" s="21"/>
      <c r="I93" s="21"/>
      <c r="J93" s="21"/>
      <c r="K93" s="21"/>
      <c r="L93" s="21"/>
      <c r="M93" s="21"/>
    </row>
    <row r="94" customFormat="false" ht="30" hidden="false" customHeight="true" outlineLevel="0" collapsed="false">
      <c r="A94" s="21" t="s">
        <v>4688</v>
      </c>
      <c r="B94" s="21"/>
      <c r="C94" s="21"/>
      <c r="D94" s="21"/>
      <c r="E94" s="21"/>
      <c r="F94" s="21"/>
      <c r="G94" s="21"/>
      <c r="H94" s="21"/>
      <c r="I94" s="21"/>
      <c r="J94" s="21"/>
      <c r="K94" s="21"/>
      <c r="L94" s="21"/>
      <c r="M94" s="21"/>
    </row>
    <row r="95" customFormat="false" ht="30" hidden="false" customHeight="true" outlineLevel="0" collapsed="false">
      <c r="A95" s="21" t="s">
        <v>4689</v>
      </c>
      <c r="B95" s="21"/>
      <c r="C95" s="21"/>
      <c r="D95" s="21"/>
      <c r="E95" s="21"/>
      <c r="F95" s="21"/>
      <c r="G95" s="21"/>
      <c r="H95" s="21"/>
      <c r="I95" s="21"/>
      <c r="J95" s="21"/>
      <c r="K95" s="21"/>
      <c r="L95" s="21"/>
      <c r="M95" s="21"/>
    </row>
    <row r="96" customFormat="false" ht="30" hidden="false" customHeight="true" outlineLevel="0" collapsed="false">
      <c r="A96" s="21" t="s">
        <v>4690</v>
      </c>
      <c r="B96" s="21"/>
      <c r="C96" s="21"/>
      <c r="D96" s="21"/>
      <c r="E96" s="21"/>
      <c r="F96" s="21"/>
      <c r="G96" s="21"/>
      <c r="H96" s="21"/>
      <c r="I96" s="21"/>
      <c r="J96" s="21"/>
      <c r="K96" s="21"/>
      <c r="L96" s="21"/>
      <c r="M96" s="21"/>
    </row>
    <row r="97" customFormat="false" ht="30" hidden="false" customHeight="true" outlineLevel="0" collapsed="false">
      <c r="A97" s="21" t="s">
        <v>4691</v>
      </c>
      <c r="B97" s="21"/>
      <c r="C97" s="21"/>
      <c r="D97" s="21"/>
      <c r="E97" s="21"/>
      <c r="F97" s="21"/>
      <c r="G97" s="21"/>
      <c r="H97" s="21"/>
      <c r="I97" s="21"/>
      <c r="J97" s="21"/>
      <c r="K97" s="21"/>
      <c r="L97" s="21"/>
      <c r="M97" s="21"/>
    </row>
    <row r="98" customFormat="false" ht="30" hidden="false" customHeight="true" outlineLevel="0" collapsed="false">
      <c r="A98" s="21" t="s">
        <v>4692</v>
      </c>
      <c r="B98" s="21"/>
      <c r="C98" s="21"/>
      <c r="D98" s="21"/>
      <c r="E98" s="21"/>
      <c r="F98" s="21"/>
      <c r="G98" s="21"/>
      <c r="H98" s="21"/>
      <c r="I98" s="21"/>
      <c r="J98" s="21"/>
      <c r="K98" s="21"/>
      <c r="L98" s="21"/>
      <c r="M98" s="21"/>
    </row>
    <row r="99" customFormat="false" ht="30" hidden="false" customHeight="true" outlineLevel="0" collapsed="false">
      <c r="A99" s="21" t="s">
        <v>4693</v>
      </c>
      <c r="B99" s="21"/>
      <c r="C99" s="21"/>
      <c r="D99" s="21"/>
      <c r="E99" s="21"/>
      <c r="F99" s="21"/>
      <c r="G99" s="21"/>
      <c r="H99" s="21"/>
      <c r="I99" s="21"/>
      <c r="J99" s="21"/>
      <c r="K99" s="21"/>
      <c r="L99" s="21"/>
      <c r="M99" s="21"/>
    </row>
    <row r="100" customFormat="false" ht="15" hidden="false" customHeight="true" outlineLevel="0" collapsed="false">
      <c r="A100" s="21" t="s">
        <v>4694</v>
      </c>
      <c r="B100" s="21"/>
      <c r="C100" s="21"/>
      <c r="D100" s="21"/>
      <c r="E100" s="21"/>
      <c r="F100" s="21"/>
      <c r="G100" s="21"/>
      <c r="H100" s="21"/>
      <c r="I100" s="21"/>
      <c r="J100" s="21"/>
      <c r="K100" s="21"/>
      <c r="L100" s="21"/>
      <c r="M100" s="21"/>
    </row>
    <row r="102" customFormat="false" ht="15" hidden="false" customHeight="false" outlineLevel="0" collapsed="false">
      <c r="A102" s="22" t="s">
        <v>2964</v>
      </c>
      <c r="B102" s="19" t="n">
        <v>90000</v>
      </c>
    </row>
    <row r="103" customFormat="false" ht="75" hidden="false" customHeight="true" outlineLevel="0" collapsed="false">
      <c r="A103" s="21" t="s">
        <v>4695</v>
      </c>
      <c r="B103" s="21"/>
      <c r="C103" s="21"/>
      <c r="D103" s="21"/>
      <c r="E103" s="21"/>
      <c r="F103" s="21"/>
      <c r="G103" s="21"/>
      <c r="H103" s="21"/>
      <c r="I103" s="21"/>
      <c r="J103" s="21"/>
      <c r="K103" s="21"/>
      <c r="L103" s="21"/>
      <c r="M103" s="21"/>
    </row>
  </sheetData>
  <mergeCells count="15">
    <mergeCell ref="B2:M2"/>
    <mergeCell ref="B3:M3"/>
    <mergeCell ref="B4:M4"/>
    <mergeCell ref="B5:M5"/>
    <mergeCell ref="B6:M6"/>
    <mergeCell ref="A92:M92"/>
    <mergeCell ref="A93:M93"/>
    <mergeCell ref="A94:M94"/>
    <mergeCell ref="A95:M95"/>
    <mergeCell ref="A96:M96"/>
    <mergeCell ref="A97:M97"/>
    <mergeCell ref="A98:M98"/>
    <mergeCell ref="A99:M99"/>
    <mergeCell ref="A100:M100"/>
    <mergeCell ref="A103:M103"/>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7">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2:L85">
    <cfRule type="expression" priority="11" aboveAverage="0" equalAverage="0" bottom="0" percent="0" rank="0" text="" dxfId="2">
      <formula>LEFT(L72,5)="ACIMA"</formula>
    </cfRule>
  </conditionalFormatting>
  <conditionalFormatting sqref="E87:E88">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ISNUMBER(SEARCH("EXCEDE",E87))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44"/>
    <col collapsed="false" customWidth="true" hidden="false" outlineLevel="0" max="4" min="4" style="0" width="11"/>
    <col collapsed="false" customWidth="true" hidden="false" outlineLevel="0" max="5" min="5" style="0" width="13"/>
    <col collapsed="false" customWidth="true" hidden="false" outlineLevel="0" max="7" min="6" style="0" width="10"/>
    <col collapsed="false" customWidth="true" hidden="false" outlineLevel="0" max="8" min="8" style="0" width="15"/>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2"/>
    <col collapsed="false" customWidth="true" hidden="false" outlineLevel="0" max="13" min="13" style="0" width="80"/>
  </cols>
  <sheetData>
    <row r="1" customFormat="false" ht="17.35" hidden="false" customHeight="false" outlineLevel="0" collapsed="false">
      <c r="A1" s="1" t="s">
        <v>4696</v>
      </c>
    </row>
    <row r="2" customFormat="false" ht="30" hidden="false" customHeight="true" outlineLevel="0" collapsed="false">
      <c r="A2" s="22" t="s">
        <v>2748</v>
      </c>
      <c r="B2" s="21" t="s">
        <v>4697</v>
      </c>
      <c r="C2" s="21"/>
      <c r="D2" s="21"/>
      <c r="E2" s="21"/>
      <c r="F2" s="21"/>
      <c r="G2" s="21"/>
      <c r="H2" s="21"/>
      <c r="I2" s="21"/>
      <c r="J2" s="21"/>
      <c r="K2" s="21"/>
      <c r="L2" s="21"/>
      <c r="M2" s="21"/>
    </row>
    <row r="3" customFormat="false" ht="30" hidden="false" customHeight="true" outlineLevel="0" collapsed="false">
      <c r="A3" s="22" t="s">
        <v>2750</v>
      </c>
      <c r="B3" s="21" t="s">
        <v>4698</v>
      </c>
      <c r="C3" s="21"/>
      <c r="D3" s="21"/>
      <c r="E3" s="21"/>
      <c r="F3" s="21"/>
      <c r="G3" s="21"/>
      <c r="H3" s="21"/>
      <c r="I3" s="21"/>
      <c r="J3" s="21"/>
      <c r="K3" s="21"/>
      <c r="L3" s="21"/>
      <c r="M3" s="21"/>
    </row>
    <row r="4" customFormat="false" ht="30" hidden="false" customHeight="true" outlineLevel="0" collapsed="false">
      <c r="A4" s="22" t="s">
        <v>2752</v>
      </c>
      <c r="B4" s="21" t="s">
        <v>4699</v>
      </c>
      <c r="C4" s="21"/>
      <c r="D4" s="21"/>
      <c r="E4" s="21"/>
      <c r="F4" s="21"/>
      <c r="G4" s="21"/>
      <c r="H4" s="21"/>
      <c r="I4" s="21"/>
      <c r="J4" s="21"/>
      <c r="K4" s="21"/>
      <c r="L4" s="21"/>
      <c r="M4" s="21"/>
    </row>
    <row r="5" customFormat="false" ht="30" hidden="false" customHeight="true" outlineLevel="0" collapsed="false">
      <c r="A5" s="22" t="s">
        <v>2754</v>
      </c>
      <c r="B5" s="21" t="s">
        <v>4700</v>
      </c>
      <c r="C5" s="21"/>
      <c r="D5" s="21"/>
      <c r="E5" s="21"/>
      <c r="F5" s="21"/>
      <c r="G5" s="21"/>
      <c r="H5" s="21"/>
      <c r="I5" s="21"/>
      <c r="J5" s="21"/>
      <c r="K5" s="21"/>
      <c r="L5" s="21"/>
      <c r="M5" s="21"/>
    </row>
    <row r="6" customFormat="false" ht="30" hidden="false" customHeight="true" outlineLevel="0" collapsed="false">
      <c r="A6" s="22" t="s">
        <v>2756</v>
      </c>
      <c r="B6" s="21" t="s">
        <v>4701</v>
      </c>
      <c r="C6" s="21"/>
      <c r="D6" s="21"/>
      <c r="E6" s="21"/>
      <c r="F6" s="21"/>
      <c r="G6" s="21"/>
      <c r="H6" s="21"/>
      <c r="I6" s="21"/>
      <c r="J6" s="21"/>
      <c r="K6" s="21"/>
      <c r="L6" s="21"/>
      <c r="M6" s="21"/>
    </row>
    <row r="7" customFormat="false" ht="15" hidden="false" customHeight="false" outlineLevel="0" collapsed="false">
      <c r="A7" s="22" t="s">
        <v>2758</v>
      </c>
      <c r="B7" s="19" t="n">
        <v>450000</v>
      </c>
    </row>
    <row r="9" customFormat="false" ht="15" hidden="false" customHeight="false" outlineLevel="0" collapsed="false">
      <c r="A9" s="22" t="s">
        <v>2759</v>
      </c>
    </row>
    <row r="10" customFormat="false" ht="15" hidden="false" customHeight="false" outlineLevel="0" collapsed="false">
      <c r="A10" s="3" t="s">
        <v>2760</v>
      </c>
      <c r="B10" s="3" t="s">
        <v>2761</v>
      </c>
      <c r="C10" s="3" t="s">
        <v>2762</v>
      </c>
      <c r="D10" s="3" t="s">
        <v>2763</v>
      </c>
      <c r="E10" s="3" t="s">
        <v>143</v>
      </c>
    </row>
    <row r="11" customFormat="false" ht="15" hidden="false" customHeight="false" outlineLevel="0" collapsed="false">
      <c r="A11" s="12" t="s">
        <v>2764</v>
      </c>
      <c r="B11" s="23" t="n">
        <f aca="false">SUMIFS($I$26:$I$67,$B$26:$B$67,A11)</f>
        <v>40100</v>
      </c>
      <c r="C11" s="24" t="n">
        <f aca="false">IF($B$16=0,0,B11/$B$16)</f>
        <v>0.114063682237355</v>
      </c>
    </row>
    <row r="12" customFormat="false" ht="15" hidden="false" customHeight="false" outlineLevel="0" collapsed="false">
      <c r="A12" s="12" t="s">
        <v>2765</v>
      </c>
      <c r="B12" s="23" t="n">
        <f aca="false">SUMIFS($I$26:$I$67,$B$26:$B$67,A12)</f>
        <v>279638</v>
      </c>
      <c r="C12" s="24" t="n">
        <f aca="false">IF($B$16=0,0,B12/$B$16)</f>
        <v>0.795424936994749</v>
      </c>
    </row>
    <row r="13" customFormat="false" ht="15" hidden="false" customHeight="false" outlineLevel="0" collapsed="false">
      <c r="A13" s="12" t="s">
        <v>2766</v>
      </c>
      <c r="B13" s="23" t="n">
        <f aca="false">SUMIFS($I$26:$I$67,$B$26:$B$67,A13)</f>
        <v>15000</v>
      </c>
      <c r="C13" s="24" t="n">
        <f aca="false">IF($B$16=0,0,B13/$B$16)</f>
        <v>0.0426672128069906</v>
      </c>
    </row>
    <row r="14" customFormat="false" ht="15" hidden="false" customHeight="false" outlineLevel="0" collapsed="false">
      <c r="A14" s="12" t="s">
        <v>2767</v>
      </c>
      <c r="B14" s="23" t="n">
        <f aca="false">SUMIFS($I$26:$I$67,$B$26:$B$67,A14)</f>
        <v>8000</v>
      </c>
      <c r="C14" s="24" t="n">
        <f aca="false">IF($B$16=0,0,B14/$B$16)</f>
        <v>0.022755846830395</v>
      </c>
    </row>
    <row r="15" customFormat="false" ht="15" hidden="false" customHeight="false" outlineLevel="0" collapsed="false">
      <c r="A15" s="12" t="s">
        <v>2768</v>
      </c>
      <c r="B15" s="23" t="n">
        <f aca="false">SUMIFS($I$26:$I$67,$B$26:$B$67,A15)</f>
        <v>8820</v>
      </c>
      <c r="C15" s="24" t="n">
        <f aca="false">IF($B$16=0,0,B15/$B$16)</f>
        <v>0.0250883211305105</v>
      </c>
    </row>
    <row r="16" customFormat="false" ht="15" hidden="false" customHeight="false" outlineLevel="0" collapsed="false">
      <c r="A16" s="25" t="s">
        <v>2769</v>
      </c>
      <c r="B16" s="26" t="n">
        <f aca="false">SUM(B11:B15)</f>
        <v>351558</v>
      </c>
    </row>
    <row r="17" customFormat="false" ht="23.85" hidden="false" customHeight="false" outlineLevel="0" collapsed="false">
      <c r="A17" s="4" t="s">
        <v>2770</v>
      </c>
      <c r="B17" s="23" t="n">
        <f aca="false">$B$16*C17</f>
        <v>24609.06</v>
      </c>
      <c r="C17" s="27" t="n">
        <v>0.07</v>
      </c>
      <c r="D17" s="28" t="n">
        <f aca="false">'Parâmetros IN 29'!$B$4</f>
        <v>0.15</v>
      </c>
      <c r="E17" s="12" t="str">
        <f aca="false">IF(AND(C17&lt;=D17),"OK","EXCEDE")</f>
        <v>OK</v>
      </c>
    </row>
    <row r="18" customFormat="false" ht="35.05" hidden="false" customHeight="false" outlineLevel="0" collapsed="false">
      <c r="A18" s="4" t="s">
        <v>2771</v>
      </c>
      <c r="B18" s="23" t="n">
        <f aca="false">$B$16*C18</f>
        <v>38671.38</v>
      </c>
      <c r="C18" s="27" t="n">
        <v>0.11</v>
      </c>
      <c r="D18" s="28" t="n">
        <f aca="false">'Parâmetros IN 29'!$B$5</f>
        <v>0.2</v>
      </c>
      <c r="E18" s="12" t="str">
        <f aca="false">IF(AND(C18&lt;=D18),"OK","EXCEDE")</f>
        <v>OK</v>
      </c>
    </row>
    <row r="19" customFormat="false" ht="23.85" hidden="false" customHeight="false" outlineLevel="0" collapsed="false">
      <c r="A19" s="4" t="s">
        <v>2772</v>
      </c>
      <c r="B19" s="23" t="n">
        <f aca="false">MIN($B$16*C19,'Parâmetros IN 29'!$B$7)</f>
        <v>35155.8</v>
      </c>
      <c r="C19" s="27" t="n">
        <v>0.1</v>
      </c>
      <c r="D19" s="28" t="n">
        <f aca="false">'Parâmetros IN 29'!$B$6</f>
        <v>0.1</v>
      </c>
      <c r="E19" s="12" t="str">
        <f aca="false">IF(AND(C19&lt;=D19,B19&lt;='Parâmetros IN 29'!$B$7),"OK","EXCEDE")</f>
        <v>OK</v>
      </c>
    </row>
    <row r="20" customFormat="false" ht="15" hidden="false" customHeight="false" outlineLevel="0" collapsed="false">
      <c r="A20" s="25" t="s">
        <v>2773</v>
      </c>
      <c r="B20" s="26" t="n">
        <f aca="false">B16+B17+B18+B19</f>
        <v>449994.24</v>
      </c>
    </row>
    <row r="21" customFormat="false" ht="15" hidden="false" customHeight="false" outlineLevel="0" collapsed="false">
      <c r="A21" s="12" t="s">
        <v>2774</v>
      </c>
      <c r="B21" s="23" t="n">
        <f aca="false">B20-B7</f>
        <v>-5.76000000000931</v>
      </c>
    </row>
    <row r="22" customFormat="false" ht="15" hidden="false" customHeight="false" outlineLevel="0" collapsed="false">
      <c r="A22" s="12" t="s">
        <v>2775</v>
      </c>
      <c r="B22" s="13" t="n">
        <f aca="false">'Parâmetros IN 29'!$B$8</f>
        <v>500000</v>
      </c>
      <c r="C22" s="14" t="s">
        <v>3267</v>
      </c>
      <c r="E22" s="12" t="str">
        <f aca="false">IF(B20&lt;=B22,"OK","EXCEDE")</f>
        <v>OK</v>
      </c>
    </row>
    <row r="23" customFormat="false" ht="15" hidden="false" customHeight="false" outlineLevel="0" collapsed="false">
      <c r="A23" s="14" t="s">
        <v>2776</v>
      </c>
    </row>
    <row r="24" customFormat="false" ht="15" hidden="false" customHeight="false" outlineLevel="0" collapsed="false">
      <c r="A24" s="22" t="s">
        <v>2777</v>
      </c>
    </row>
    <row r="25" customFormat="false" ht="35.05" hidden="false" customHeight="false" outlineLevel="0" collapsed="false">
      <c r="A25" s="3" t="s">
        <v>2778</v>
      </c>
      <c r="B25" s="3" t="s">
        <v>2779</v>
      </c>
      <c r="C25" s="3" t="s">
        <v>2780</v>
      </c>
      <c r="D25" s="3" t="s">
        <v>2781</v>
      </c>
      <c r="E25" s="3" t="s">
        <v>2782</v>
      </c>
      <c r="F25" s="3" t="s">
        <v>2783</v>
      </c>
      <c r="G25" s="3" t="s">
        <v>2784</v>
      </c>
      <c r="H25" s="3" t="s">
        <v>2785</v>
      </c>
      <c r="I25" s="3" t="s">
        <v>2786</v>
      </c>
      <c r="J25" s="3" t="s">
        <v>2787</v>
      </c>
      <c r="K25" s="3" t="s">
        <v>2788</v>
      </c>
      <c r="L25" s="3" t="s">
        <v>2789</v>
      </c>
      <c r="M25" s="3" t="s">
        <v>2790</v>
      </c>
    </row>
    <row r="26" customFormat="false" ht="15" hidden="false" customHeight="false" outlineLevel="0" collapsed="false">
      <c r="A26" s="4" t="s">
        <v>4240</v>
      </c>
      <c r="B26" s="12" t="s">
        <v>2764</v>
      </c>
      <c r="C26" s="4" t="s">
        <v>4480</v>
      </c>
      <c r="D26" s="12" t="s">
        <v>2793</v>
      </c>
      <c r="E26" s="12" t="s">
        <v>2484</v>
      </c>
      <c r="F26" s="29" t="n">
        <v>1</v>
      </c>
      <c r="G26" s="29" t="n">
        <v>2</v>
      </c>
      <c r="H26" s="19" t="n">
        <v>7000</v>
      </c>
      <c r="I26" s="23" t="n">
        <f aca="false">F26*G26*H26</f>
        <v>14000</v>
      </c>
      <c r="J26" s="12" t="s">
        <v>2794</v>
      </c>
      <c r="K26" s="12" t="s">
        <v>2795</v>
      </c>
      <c r="L26" s="12" t="s">
        <v>2796</v>
      </c>
      <c r="M26" s="4" t="s">
        <v>4702</v>
      </c>
    </row>
    <row r="27" customFormat="false" ht="15" hidden="false" customHeight="false" outlineLevel="0" collapsed="false">
      <c r="A27" s="4" t="s">
        <v>4240</v>
      </c>
      <c r="B27" s="12" t="s">
        <v>2764</v>
      </c>
      <c r="C27" s="4" t="s">
        <v>4482</v>
      </c>
      <c r="D27" s="12" t="s">
        <v>2793</v>
      </c>
      <c r="E27" s="12" t="s">
        <v>2484</v>
      </c>
      <c r="F27" s="29" t="n">
        <v>1</v>
      </c>
      <c r="G27" s="29" t="n">
        <v>2</v>
      </c>
      <c r="H27" s="19" t="n">
        <v>5500</v>
      </c>
      <c r="I27" s="23" t="n">
        <f aca="false">F27*G27*H27</f>
        <v>11000</v>
      </c>
      <c r="J27" s="12" t="s">
        <v>2794</v>
      </c>
      <c r="K27" s="12" t="s">
        <v>2795</v>
      </c>
      <c r="L27" s="12" t="s">
        <v>2796</v>
      </c>
      <c r="M27" s="4" t="s">
        <v>4703</v>
      </c>
    </row>
    <row r="28" customFormat="false" ht="35.05" hidden="false" customHeight="false" outlineLevel="0" collapsed="false">
      <c r="A28" s="4" t="s">
        <v>4704</v>
      </c>
      <c r="B28" s="12" t="s">
        <v>2764</v>
      </c>
      <c r="C28" s="4" t="s">
        <v>4705</v>
      </c>
      <c r="D28" s="12" t="s">
        <v>2804</v>
      </c>
      <c r="E28" s="12" t="s">
        <v>2597</v>
      </c>
      <c r="F28" s="29" t="n">
        <v>1</v>
      </c>
      <c r="G28" s="29" t="n">
        <v>1</v>
      </c>
      <c r="H28" s="19" t="n">
        <v>10000</v>
      </c>
      <c r="I28" s="23" t="n">
        <f aca="false">F28*G28*H28</f>
        <v>10000</v>
      </c>
      <c r="J28" s="12" t="s">
        <v>2794</v>
      </c>
      <c r="K28" s="12" t="s">
        <v>3083</v>
      </c>
      <c r="L28" s="12" t="s">
        <v>3221</v>
      </c>
      <c r="M28" s="4" t="s">
        <v>4706</v>
      </c>
    </row>
    <row r="29" customFormat="false" ht="35.05" hidden="false" customHeight="false" outlineLevel="0" collapsed="false">
      <c r="A29" s="4" t="s">
        <v>4704</v>
      </c>
      <c r="B29" s="12" t="s">
        <v>2764</v>
      </c>
      <c r="C29" s="4" t="s">
        <v>4707</v>
      </c>
      <c r="D29" s="12" t="s">
        <v>2808</v>
      </c>
      <c r="E29" s="12" t="s">
        <v>2497</v>
      </c>
      <c r="F29" s="29" t="n">
        <v>3</v>
      </c>
      <c r="G29" s="29" t="n">
        <v>1</v>
      </c>
      <c r="H29" s="19" t="n">
        <v>1700</v>
      </c>
      <c r="I29" s="23" t="n">
        <f aca="false">F29*G29*H29</f>
        <v>5100</v>
      </c>
      <c r="J29" s="12" t="s">
        <v>4708</v>
      </c>
      <c r="K29" s="12" t="s">
        <v>2805</v>
      </c>
      <c r="L29" s="12"/>
      <c r="M29" s="4" t="s">
        <v>4709</v>
      </c>
    </row>
    <row r="30" customFormat="false" ht="35.05" hidden="false" customHeight="false" outlineLevel="0" collapsed="false">
      <c r="A30" s="4" t="s">
        <v>4704</v>
      </c>
      <c r="B30" s="12" t="s">
        <v>2765</v>
      </c>
      <c r="C30" s="4" t="s">
        <v>4710</v>
      </c>
      <c r="D30" s="12" t="s">
        <v>2808</v>
      </c>
      <c r="E30" s="12" t="s">
        <v>4711</v>
      </c>
      <c r="F30" s="29" t="n">
        <v>10</v>
      </c>
      <c r="G30" s="29" t="n">
        <v>1</v>
      </c>
      <c r="H30" s="19" t="n">
        <v>2500</v>
      </c>
      <c r="I30" s="23" t="n">
        <f aca="false">F30*G30*H30</f>
        <v>25000</v>
      </c>
      <c r="J30" s="12" t="s">
        <v>4708</v>
      </c>
      <c r="K30" s="12" t="s">
        <v>2805</v>
      </c>
      <c r="L30" s="12"/>
      <c r="M30" s="4" t="s">
        <v>4712</v>
      </c>
    </row>
    <row r="31" customFormat="false" ht="35.05" hidden="false" customHeight="false" outlineLevel="0" collapsed="false">
      <c r="A31" s="4" t="s">
        <v>4704</v>
      </c>
      <c r="B31" s="12" t="s">
        <v>2765</v>
      </c>
      <c r="C31" s="4" t="s">
        <v>4713</v>
      </c>
      <c r="D31" s="12" t="s">
        <v>2808</v>
      </c>
      <c r="E31" s="12" t="s">
        <v>4711</v>
      </c>
      <c r="F31" s="29" t="n">
        <v>24</v>
      </c>
      <c r="G31" s="29" t="n">
        <v>1</v>
      </c>
      <c r="H31" s="19" t="n">
        <v>300</v>
      </c>
      <c r="I31" s="23" t="n">
        <f aca="false">F31*G31*H31</f>
        <v>7200</v>
      </c>
      <c r="J31" s="12" t="s">
        <v>4708</v>
      </c>
      <c r="K31" s="12" t="s">
        <v>2805</v>
      </c>
      <c r="L31" s="12"/>
      <c r="M31" s="4" t="s">
        <v>4714</v>
      </c>
    </row>
    <row r="32" customFormat="false" ht="15" hidden="false" customHeight="false" outlineLevel="0" collapsed="false">
      <c r="A32" s="4" t="s">
        <v>4240</v>
      </c>
      <c r="B32" s="12" t="s">
        <v>2765</v>
      </c>
      <c r="C32" s="4" t="s">
        <v>4715</v>
      </c>
      <c r="D32" s="12" t="s">
        <v>2793</v>
      </c>
      <c r="E32" s="12" t="s">
        <v>2484</v>
      </c>
      <c r="F32" s="29" t="n">
        <v>1</v>
      </c>
      <c r="G32" s="29" t="n">
        <v>2</v>
      </c>
      <c r="H32" s="19" t="n">
        <v>7000</v>
      </c>
      <c r="I32" s="23" t="n">
        <f aca="false">F32*G32*H32</f>
        <v>14000</v>
      </c>
      <c r="J32" s="12" t="s">
        <v>4708</v>
      </c>
      <c r="K32" s="12" t="s">
        <v>2795</v>
      </c>
      <c r="L32" s="12" t="s">
        <v>2796</v>
      </c>
      <c r="M32" s="4"/>
    </row>
    <row r="33" customFormat="false" ht="15" hidden="false" customHeight="false" outlineLevel="0" collapsed="false">
      <c r="A33" s="4" t="s">
        <v>4240</v>
      </c>
      <c r="B33" s="12" t="s">
        <v>2765</v>
      </c>
      <c r="C33" s="4" t="s">
        <v>4716</v>
      </c>
      <c r="D33" s="12" t="s">
        <v>2793</v>
      </c>
      <c r="E33" s="12" t="s">
        <v>2484</v>
      </c>
      <c r="F33" s="29" t="n">
        <v>1</v>
      </c>
      <c r="G33" s="29" t="n">
        <v>2</v>
      </c>
      <c r="H33" s="19" t="n">
        <v>5500</v>
      </c>
      <c r="I33" s="23" t="n">
        <f aca="false">F33*G33*H33</f>
        <v>11000</v>
      </c>
      <c r="J33" s="12" t="s">
        <v>4708</v>
      </c>
      <c r="K33" s="12" t="s">
        <v>2795</v>
      </c>
      <c r="L33" s="12" t="s">
        <v>2796</v>
      </c>
      <c r="M33" s="4"/>
    </row>
    <row r="34" customFormat="false" ht="35.05" hidden="false" customHeight="false" outlineLevel="0" collapsed="false">
      <c r="A34" s="4" t="s">
        <v>4704</v>
      </c>
      <c r="B34" s="12" t="s">
        <v>2765</v>
      </c>
      <c r="C34" s="4" t="s">
        <v>4717</v>
      </c>
      <c r="D34" s="12" t="s">
        <v>2808</v>
      </c>
      <c r="E34" s="12" t="s">
        <v>2497</v>
      </c>
      <c r="F34" s="29" t="n">
        <v>6</v>
      </c>
      <c r="G34" s="29" t="n">
        <v>3</v>
      </c>
      <c r="H34" s="19" t="n">
        <v>450</v>
      </c>
      <c r="I34" s="23" t="n">
        <f aca="false">F34*G34*H34</f>
        <v>8100</v>
      </c>
      <c r="J34" s="12" t="s">
        <v>4708</v>
      </c>
      <c r="K34" s="12" t="s">
        <v>3180</v>
      </c>
      <c r="L34" s="12" t="s">
        <v>2796</v>
      </c>
      <c r="M34" s="4" t="s">
        <v>4718</v>
      </c>
    </row>
    <row r="35" customFormat="false" ht="46.25" hidden="false" customHeight="false" outlineLevel="0" collapsed="false">
      <c r="A35" s="4" t="s">
        <v>4704</v>
      </c>
      <c r="B35" s="12" t="s">
        <v>2765</v>
      </c>
      <c r="C35" s="4" t="s">
        <v>4719</v>
      </c>
      <c r="D35" s="12" t="s">
        <v>2808</v>
      </c>
      <c r="E35" s="12" t="s">
        <v>2497</v>
      </c>
      <c r="F35" s="29" t="n">
        <v>12</v>
      </c>
      <c r="G35" s="29" t="n">
        <v>1</v>
      </c>
      <c r="H35" s="19" t="n">
        <v>2284</v>
      </c>
      <c r="I35" s="23" t="n">
        <f aca="false">F35*G35*H35</f>
        <v>27408</v>
      </c>
      <c r="J35" s="12" t="s">
        <v>4708</v>
      </c>
      <c r="K35" s="12" t="s">
        <v>2805</v>
      </c>
      <c r="L35" s="12"/>
      <c r="M35" s="4" t="s">
        <v>4720</v>
      </c>
    </row>
    <row r="36" customFormat="false" ht="35.05" hidden="false" customHeight="false" outlineLevel="0" collapsed="false">
      <c r="A36" s="4" t="s">
        <v>4704</v>
      </c>
      <c r="B36" s="12" t="s">
        <v>2765</v>
      </c>
      <c r="C36" s="4" t="s">
        <v>4721</v>
      </c>
      <c r="D36" s="12" t="s">
        <v>2808</v>
      </c>
      <c r="E36" s="12" t="s">
        <v>2497</v>
      </c>
      <c r="F36" s="29" t="n">
        <v>12</v>
      </c>
      <c r="G36" s="29" t="n">
        <v>1</v>
      </c>
      <c r="H36" s="19" t="n">
        <v>1800</v>
      </c>
      <c r="I36" s="23" t="n">
        <f aca="false">F36*G36*H36</f>
        <v>21600</v>
      </c>
      <c r="J36" s="12" t="s">
        <v>4708</v>
      </c>
      <c r="K36" s="12" t="s">
        <v>2863</v>
      </c>
      <c r="L36" s="12" t="s">
        <v>2796</v>
      </c>
      <c r="M36" s="4" t="s">
        <v>4451</v>
      </c>
    </row>
    <row r="37" customFormat="false" ht="35.05" hidden="false" customHeight="false" outlineLevel="0" collapsed="false">
      <c r="A37" s="4" t="s">
        <v>4704</v>
      </c>
      <c r="B37" s="12" t="s">
        <v>2765</v>
      </c>
      <c r="C37" s="4" t="s">
        <v>4722</v>
      </c>
      <c r="D37" s="12" t="s">
        <v>2808</v>
      </c>
      <c r="E37" s="12" t="s">
        <v>2497</v>
      </c>
      <c r="F37" s="29" t="n">
        <v>12</v>
      </c>
      <c r="G37" s="29" t="n">
        <v>1</v>
      </c>
      <c r="H37" s="19" t="n">
        <v>500</v>
      </c>
      <c r="I37" s="23" t="n">
        <f aca="false">F37*G37*H37</f>
        <v>6000</v>
      </c>
      <c r="J37" s="12" t="s">
        <v>4708</v>
      </c>
      <c r="K37" s="12" t="s">
        <v>2834</v>
      </c>
      <c r="L37" s="12" t="s">
        <v>2950</v>
      </c>
      <c r="M37" s="4" t="s">
        <v>4723</v>
      </c>
    </row>
    <row r="38" customFormat="false" ht="35.05" hidden="false" customHeight="false" outlineLevel="0" collapsed="false">
      <c r="A38" s="4" t="s">
        <v>4704</v>
      </c>
      <c r="B38" s="12" t="s">
        <v>2765</v>
      </c>
      <c r="C38" s="4" t="s">
        <v>4724</v>
      </c>
      <c r="D38" s="12" t="s">
        <v>2808</v>
      </c>
      <c r="E38" s="12" t="s">
        <v>2497</v>
      </c>
      <c r="F38" s="29" t="n">
        <v>4</v>
      </c>
      <c r="G38" s="29" t="n">
        <v>1</v>
      </c>
      <c r="H38" s="19" t="n">
        <v>2800</v>
      </c>
      <c r="I38" s="23" t="n">
        <f aca="false">F38*G38*H38</f>
        <v>11200</v>
      </c>
      <c r="J38" s="12" t="s">
        <v>4708</v>
      </c>
      <c r="K38" s="12" t="s">
        <v>3681</v>
      </c>
      <c r="L38" s="12" t="s">
        <v>2796</v>
      </c>
      <c r="M38" s="4" t="s">
        <v>4725</v>
      </c>
    </row>
    <row r="39" customFormat="false" ht="35.05" hidden="false" customHeight="false" outlineLevel="0" collapsed="false">
      <c r="A39" s="4" t="s">
        <v>4704</v>
      </c>
      <c r="B39" s="12" t="s">
        <v>2765</v>
      </c>
      <c r="C39" s="4" t="s">
        <v>4726</v>
      </c>
      <c r="D39" s="12" t="s">
        <v>2808</v>
      </c>
      <c r="E39" s="12" t="s">
        <v>2497</v>
      </c>
      <c r="F39" s="29" t="n">
        <v>12</v>
      </c>
      <c r="G39" s="29" t="n">
        <v>1</v>
      </c>
      <c r="H39" s="19" t="n">
        <v>800</v>
      </c>
      <c r="I39" s="23" t="n">
        <f aca="false">F39*G39*H39</f>
        <v>9600</v>
      </c>
      <c r="J39" s="12" t="s">
        <v>4708</v>
      </c>
      <c r="K39" s="12" t="s">
        <v>3434</v>
      </c>
      <c r="L39" s="12" t="s">
        <v>2950</v>
      </c>
      <c r="M39" s="4" t="s">
        <v>4451</v>
      </c>
    </row>
    <row r="40" customFormat="false" ht="35.05" hidden="false" customHeight="false" outlineLevel="0" collapsed="false">
      <c r="A40" s="4" t="s">
        <v>4704</v>
      </c>
      <c r="B40" s="12" t="s">
        <v>2765</v>
      </c>
      <c r="C40" s="4" t="s">
        <v>4727</v>
      </c>
      <c r="D40" s="12" t="s">
        <v>2882</v>
      </c>
      <c r="E40" s="12" t="s">
        <v>2601</v>
      </c>
      <c r="F40" s="29" t="n">
        <v>1</v>
      </c>
      <c r="G40" s="29" t="n">
        <v>1</v>
      </c>
      <c r="H40" s="19" t="n">
        <v>4710</v>
      </c>
      <c r="I40" s="23" t="n">
        <f aca="false">F40*G40*H40</f>
        <v>4710</v>
      </c>
      <c r="J40" s="12" t="s">
        <v>4708</v>
      </c>
      <c r="K40" s="12" t="s">
        <v>2805</v>
      </c>
      <c r="L40" s="12"/>
      <c r="M40" s="4" t="s">
        <v>4728</v>
      </c>
    </row>
    <row r="41" customFormat="false" ht="35.05" hidden="false" customHeight="false" outlineLevel="0" collapsed="false">
      <c r="A41" s="4" t="s">
        <v>4704</v>
      </c>
      <c r="B41" s="12" t="s">
        <v>2765</v>
      </c>
      <c r="C41" s="4" t="s">
        <v>4729</v>
      </c>
      <c r="D41" s="12" t="s">
        <v>2808</v>
      </c>
      <c r="E41" s="12" t="s">
        <v>2497</v>
      </c>
      <c r="F41" s="29" t="n">
        <v>12</v>
      </c>
      <c r="G41" s="29" t="n">
        <v>1</v>
      </c>
      <c r="H41" s="19" t="n">
        <v>500</v>
      </c>
      <c r="I41" s="23" t="n">
        <f aca="false">F41*G41*H41</f>
        <v>6000</v>
      </c>
      <c r="J41" s="12" t="s">
        <v>4708</v>
      </c>
      <c r="K41" s="12" t="s">
        <v>2866</v>
      </c>
      <c r="L41" s="12" t="s">
        <v>2796</v>
      </c>
      <c r="M41" s="4" t="s">
        <v>4451</v>
      </c>
    </row>
    <row r="42" customFormat="false" ht="35.05" hidden="false" customHeight="false" outlineLevel="0" collapsed="false">
      <c r="A42" s="4" t="s">
        <v>4704</v>
      </c>
      <c r="B42" s="12" t="s">
        <v>2765</v>
      </c>
      <c r="C42" s="4" t="s">
        <v>3321</v>
      </c>
      <c r="D42" s="12" t="s">
        <v>2808</v>
      </c>
      <c r="E42" s="12" t="s">
        <v>2497</v>
      </c>
      <c r="F42" s="29" t="n">
        <v>12</v>
      </c>
      <c r="G42" s="29" t="n">
        <v>1</v>
      </c>
      <c r="H42" s="19" t="n">
        <v>500</v>
      </c>
      <c r="I42" s="23" t="n">
        <f aca="false">F42*G42*H42</f>
        <v>6000</v>
      </c>
      <c r="J42" s="12" t="s">
        <v>4708</v>
      </c>
      <c r="K42" s="12" t="s">
        <v>2866</v>
      </c>
      <c r="L42" s="12" t="s">
        <v>2796</v>
      </c>
      <c r="M42" s="4" t="s">
        <v>4451</v>
      </c>
    </row>
    <row r="43" customFormat="false" ht="35.05" hidden="false" customHeight="false" outlineLevel="0" collapsed="false">
      <c r="A43" s="4" t="s">
        <v>4704</v>
      </c>
      <c r="B43" s="12" t="s">
        <v>2765</v>
      </c>
      <c r="C43" s="4" t="s">
        <v>2869</v>
      </c>
      <c r="D43" s="12" t="s">
        <v>2808</v>
      </c>
      <c r="E43" s="12" t="s">
        <v>2497</v>
      </c>
      <c r="F43" s="29" t="n">
        <v>2</v>
      </c>
      <c r="G43" s="29" t="n">
        <v>12</v>
      </c>
      <c r="H43" s="19" t="n">
        <v>250</v>
      </c>
      <c r="I43" s="23" t="n">
        <f aca="false">F43*G43*H43</f>
        <v>6000</v>
      </c>
      <c r="J43" s="12" t="s">
        <v>4708</v>
      </c>
      <c r="K43" s="12" t="s">
        <v>2870</v>
      </c>
      <c r="L43" s="12" t="s">
        <v>2796</v>
      </c>
      <c r="M43" s="4" t="s">
        <v>4730</v>
      </c>
    </row>
    <row r="44" customFormat="false" ht="35.05" hidden="false" customHeight="false" outlineLevel="0" collapsed="false">
      <c r="A44" s="4" t="s">
        <v>4704</v>
      </c>
      <c r="B44" s="12" t="s">
        <v>2765</v>
      </c>
      <c r="C44" s="4" t="s">
        <v>4731</v>
      </c>
      <c r="D44" s="12" t="s">
        <v>2808</v>
      </c>
      <c r="E44" s="12" t="s">
        <v>4732</v>
      </c>
      <c r="F44" s="29" t="n">
        <v>6</v>
      </c>
      <c r="G44" s="29" t="n">
        <v>1</v>
      </c>
      <c r="H44" s="19" t="n">
        <v>1500</v>
      </c>
      <c r="I44" s="23" t="n">
        <f aca="false">F44*G44*H44</f>
        <v>9000</v>
      </c>
      <c r="J44" s="12" t="s">
        <v>4708</v>
      </c>
      <c r="K44" s="12" t="s">
        <v>3017</v>
      </c>
      <c r="L44" s="12" t="s">
        <v>2796</v>
      </c>
      <c r="M44" s="4" t="s">
        <v>4733</v>
      </c>
    </row>
    <row r="45" customFormat="false" ht="35.05" hidden="false" customHeight="false" outlineLevel="0" collapsed="false">
      <c r="A45" s="4" t="s">
        <v>4704</v>
      </c>
      <c r="B45" s="12" t="s">
        <v>2765</v>
      </c>
      <c r="C45" s="4" t="s">
        <v>4734</v>
      </c>
      <c r="D45" s="12" t="s">
        <v>2808</v>
      </c>
      <c r="E45" s="12" t="s">
        <v>2497</v>
      </c>
      <c r="F45" s="29" t="n">
        <v>6</v>
      </c>
      <c r="G45" s="29" t="n">
        <v>1</v>
      </c>
      <c r="H45" s="19" t="n">
        <v>1000</v>
      </c>
      <c r="I45" s="23" t="n">
        <f aca="false">F45*G45*H45</f>
        <v>6000</v>
      </c>
      <c r="J45" s="12" t="s">
        <v>4708</v>
      </c>
      <c r="K45" s="12" t="s">
        <v>2810</v>
      </c>
      <c r="L45" s="12" t="s">
        <v>2796</v>
      </c>
      <c r="M45" s="4" t="s">
        <v>4735</v>
      </c>
    </row>
    <row r="46" customFormat="false" ht="35.05" hidden="false" customHeight="false" outlineLevel="0" collapsed="false">
      <c r="A46" s="4" t="s">
        <v>4704</v>
      </c>
      <c r="B46" s="12" t="s">
        <v>2765</v>
      </c>
      <c r="C46" s="4" t="s">
        <v>4736</v>
      </c>
      <c r="D46" s="12" t="s">
        <v>2808</v>
      </c>
      <c r="E46" s="12" t="s">
        <v>3165</v>
      </c>
      <c r="F46" s="29" t="n">
        <v>48</v>
      </c>
      <c r="G46" s="29" t="n">
        <v>1</v>
      </c>
      <c r="H46" s="19" t="n">
        <v>200</v>
      </c>
      <c r="I46" s="23" t="n">
        <f aca="false">F46*G46*H46</f>
        <v>9600</v>
      </c>
      <c r="J46" s="12" t="s">
        <v>4708</v>
      </c>
      <c r="K46" s="12" t="s">
        <v>3166</v>
      </c>
      <c r="L46" s="12" t="s">
        <v>2796</v>
      </c>
      <c r="M46" s="4" t="s">
        <v>4737</v>
      </c>
    </row>
    <row r="47" customFormat="false" ht="35.05" hidden="false" customHeight="false" outlineLevel="0" collapsed="false">
      <c r="A47" s="4" t="s">
        <v>4704</v>
      </c>
      <c r="B47" s="12" t="s">
        <v>2765</v>
      </c>
      <c r="C47" s="4" t="s">
        <v>3593</v>
      </c>
      <c r="D47" s="12" t="s">
        <v>2808</v>
      </c>
      <c r="E47" s="12" t="s">
        <v>3165</v>
      </c>
      <c r="F47" s="29" t="n">
        <v>96</v>
      </c>
      <c r="G47" s="29" t="n">
        <v>1</v>
      </c>
      <c r="H47" s="19" t="n">
        <v>70</v>
      </c>
      <c r="I47" s="23" t="n">
        <f aca="false">F47*G47*H47</f>
        <v>6720</v>
      </c>
      <c r="J47" s="12" t="s">
        <v>4708</v>
      </c>
      <c r="K47" s="12" t="s">
        <v>3169</v>
      </c>
      <c r="L47" s="12" t="s">
        <v>2796</v>
      </c>
      <c r="M47" s="4" t="s">
        <v>4738</v>
      </c>
    </row>
    <row r="48" customFormat="false" ht="35.05" hidden="false" customHeight="false" outlineLevel="0" collapsed="false">
      <c r="A48" s="4" t="s">
        <v>4704</v>
      </c>
      <c r="B48" s="12" t="s">
        <v>2765</v>
      </c>
      <c r="C48" s="4" t="s">
        <v>3323</v>
      </c>
      <c r="D48" s="12" t="s">
        <v>2808</v>
      </c>
      <c r="E48" s="12" t="s">
        <v>2497</v>
      </c>
      <c r="F48" s="29" t="n">
        <v>24</v>
      </c>
      <c r="G48" s="29" t="n">
        <v>1</v>
      </c>
      <c r="H48" s="19" t="n">
        <v>280</v>
      </c>
      <c r="I48" s="23" t="n">
        <f aca="false">F48*G48*H48</f>
        <v>6720</v>
      </c>
      <c r="J48" s="12" t="s">
        <v>4708</v>
      </c>
      <c r="K48" s="12" t="s">
        <v>3324</v>
      </c>
      <c r="L48" s="12" t="s">
        <v>2950</v>
      </c>
      <c r="M48" s="4" t="s">
        <v>4739</v>
      </c>
    </row>
    <row r="49" customFormat="false" ht="35.05" hidden="false" customHeight="false" outlineLevel="0" collapsed="false">
      <c r="A49" s="4" t="s">
        <v>4704</v>
      </c>
      <c r="B49" s="12" t="s">
        <v>2765</v>
      </c>
      <c r="C49" s="4" t="s">
        <v>3325</v>
      </c>
      <c r="D49" s="12" t="s">
        <v>2808</v>
      </c>
      <c r="E49" s="12" t="s">
        <v>2497</v>
      </c>
      <c r="F49" s="29" t="n">
        <v>12</v>
      </c>
      <c r="G49" s="29" t="n">
        <v>1</v>
      </c>
      <c r="H49" s="19" t="n">
        <v>300</v>
      </c>
      <c r="I49" s="23" t="n">
        <f aca="false">F49*G49*H49</f>
        <v>3600</v>
      </c>
      <c r="J49" s="12" t="s">
        <v>4708</v>
      </c>
      <c r="K49" s="12" t="s">
        <v>2875</v>
      </c>
      <c r="L49" s="12" t="s">
        <v>2796</v>
      </c>
      <c r="M49" s="4" t="s">
        <v>4740</v>
      </c>
    </row>
    <row r="50" customFormat="false" ht="35.05" hidden="false" customHeight="false" outlineLevel="0" collapsed="false">
      <c r="A50" s="4" t="s">
        <v>4704</v>
      </c>
      <c r="B50" s="12" t="s">
        <v>2765</v>
      </c>
      <c r="C50" s="4" t="s">
        <v>3505</v>
      </c>
      <c r="D50" s="12" t="s">
        <v>2808</v>
      </c>
      <c r="E50" s="12" t="s">
        <v>3506</v>
      </c>
      <c r="F50" s="29" t="n">
        <v>24</v>
      </c>
      <c r="G50" s="29" t="n">
        <v>1</v>
      </c>
      <c r="H50" s="19" t="n">
        <v>220</v>
      </c>
      <c r="I50" s="23" t="n">
        <f aca="false">F50*G50*H50</f>
        <v>5280</v>
      </c>
      <c r="J50" s="12" t="s">
        <v>4708</v>
      </c>
      <c r="K50" s="12" t="s">
        <v>3507</v>
      </c>
      <c r="L50" s="12" t="s">
        <v>2796</v>
      </c>
      <c r="M50" s="4" t="s">
        <v>4741</v>
      </c>
    </row>
    <row r="51" customFormat="false" ht="35.05" hidden="false" customHeight="false" outlineLevel="0" collapsed="false">
      <c r="A51" s="4" t="s">
        <v>4704</v>
      </c>
      <c r="B51" s="12" t="s">
        <v>2765</v>
      </c>
      <c r="C51" s="4" t="s">
        <v>4742</v>
      </c>
      <c r="D51" s="12" t="s">
        <v>2808</v>
      </c>
      <c r="E51" s="12" t="s">
        <v>2497</v>
      </c>
      <c r="F51" s="29" t="n">
        <v>12</v>
      </c>
      <c r="G51" s="29" t="n">
        <v>1</v>
      </c>
      <c r="H51" s="19" t="n">
        <v>200</v>
      </c>
      <c r="I51" s="23" t="n">
        <f aca="false">F51*G51*H51</f>
        <v>2400</v>
      </c>
      <c r="J51" s="12" t="s">
        <v>4708</v>
      </c>
      <c r="K51" s="12" t="s">
        <v>2805</v>
      </c>
      <c r="L51" s="12"/>
      <c r="M51" s="4" t="s">
        <v>4743</v>
      </c>
    </row>
    <row r="52" customFormat="false" ht="35.05" hidden="false" customHeight="false" outlineLevel="0" collapsed="false">
      <c r="A52" s="4" t="s">
        <v>4704</v>
      </c>
      <c r="B52" s="12" t="s">
        <v>2765</v>
      </c>
      <c r="C52" s="4" t="s">
        <v>3510</v>
      </c>
      <c r="D52" s="12" t="s">
        <v>2882</v>
      </c>
      <c r="E52" s="12" t="s">
        <v>2601</v>
      </c>
      <c r="F52" s="29" t="n">
        <v>6</v>
      </c>
      <c r="G52" s="29" t="n">
        <v>1</v>
      </c>
      <c r="H52" s="19" t="n">
        <v>1000</v>
      </c>
      <c r="I52" s="23" t="n">
        <f aca="false">F52*G52*H52</f>
        <v>6000</v>
      </c>
      <c r="J52" s="12" t="s">
        <v>4708</v>
      </c>
      <c r="K52" s="12" t="s">
        <v>3327</v>
      </c>
      <c r="L52" s="12" t="s">
        <v>2796</v>
      </c>
      <c r="M52" s="4" t="s">
        <v>4744</v>
      </c>
    </row>
    <row r="53" customFormat="false" ht="35.05" hidden="false" customHeight="false" outlineLevel="0" collapsed="false">
      <c r="A53" s="4" t="s">
        <v>4704</v>
      </c>
      <c r="B53" s="12" t="s">
        <v>2765</v>
      </c>
      <c r="C53" s="4" t="s">
        <v>4745</v>
      </c>
      <c r="D53" s="12" t="s">
        <v>2808</v>
      </c>
      <c r="E53" s="12" t="s">
        <v>2683</v>
      </c>
      <c r="F53" s="29" t="n">
        <v>1</v>
      </c>
      <c r="G53" s="29" t="n">
        <v>1</v>
      </c>
      <c r="H53" s="19" t="n">
        <v>3500</v>
      </c>
      <c r="I53" s="23" t="n">
        <f aca="false">F53*G53*H53</f>
        <v>3500</v>
      </c>
      <c r="J53" s="12" t="s">
        <v>4708</v>
      </c>
      <c r="K53" s="12" t="s">
        <v>2845</v>
      </c>
      <c r="L53" s="12" t="s">
        <v>2796</v>
      </c>
      <c r="M53" s="4"/>
    </row>
    <row r="54" customFormat="false" ht="35.05" hidden="false" customHeight="false" outlineLevel="0" collapsed="false">
      <c r="A54" s="4" t="s">
        <v>4704</v>
      </c>
      <c r="B54" s="12" t="s">
        <v>2765</v>
      </c>
      <c r="C54" s="4" t="s">
        <v>4746</v>
      </c>
      <c r="D54" s="12" t="s">
        <v>2882</v>
      </c>
      <c r="E54" s="12" t="s">
        <v>2601</v>
      </c>
      <c r="F54" s="29" t="n">
        <v>1</v>
      </c>
      <c r="G54" s="29" t="n">
        <v>1</v>
      </c>
      <c r="H54" s="19" t="n">
        <v>2000</v>
      </c>
      <c r="I54" s="23" t="n">
        <f aca="false">F54*G54*H54</f>
        <v>2000</v>
      </c>
      <c r="J54" s="12" t="s">
        <v>4708</v>
      </c>
      <c r="K54" s="12" t="s">
        <v>2805</v>
      </c>
      <c r="L54" s="12"/>
      <c r="M54" s="4"/>
    </row>
    <row r="55" customFormat="false" ht="23.85" hidden="false" customHeight="false" outlineLevel="0" collapsed="false">
      <c r="A55" s="4" t="s">
        <v>4747</v>
      </c>
      <c r="B55" s="12" t="s">
        <v>2765</v>
      </c>
      <c r="C55" s="4" t="s">
        <v>4748</v>
      </c>
      <c r="D55" s="12" t="s">
        <v>2855</v>
      </c>
      <c r="E55" s="12" t="s">
        <v>2516</v>
      </c>
      <c r="F55" s="29" t="n">
        <v>6</v>
      </c>
      <c r="G55" s="29" t="n">
        <v>1</v>
      </c>
      <c r="H55" s="19" t="n">
        <v>1500</v>
      </c>
      <c r="I55" s="23" t="n">
        <f aca="false">F55*G55*H55</f>
        <v>9000</v>
      </c>
      <c r="J55" s="12" t="s">
        <v>4708</v>
      </c>
      <c r="K55" s="12" t="s">
        <v>2985</v>
      </c>
      <c r="L55" s="12" t="s">
        <v>2796</v>
      </c>
      <c r="M55" s="4" t="s">
        <v>4749</v>
      </c>
    </row>
    <row r="56" customFormat="false" ht="35.05" hidden="false" customHeight="false" outlineLevel="0" collapsed="false">
      <c r="A56" s="4" t="s">
        <v>4747</v>
      </c>
      <c r="B56" s="12" t="s">
        <v>2765</v>
      </c>
      <c r="C56" s="4" t="s">
        <v>4750</v>
      </c>
      <c r="D56" s="12" t="s">
        <v>2855</v>
      </c>
      <c r="E56" s="12" t="s">
        <v>2516</v>
      </c>
      <c r="F56" s="29" t="n">
        <v>6</v>
      </c>
      <c r="G56" s="29" t="n">
        <v>1</v>
      </c>
      <c r="H56" s="19" t="n">
        <v>1500</v>
      </c>
      <c r="I56" s="23" t="n">
        <f aca="false">F56*G56*H56</f>
        <v>9000</v>
      </c>
      <c r="J56" s="12" t="s">
        <v>4708</v>
      </c>
      <c r="K56" s="12" t="s">
        <v>2805</v>
      </c>
      <c r="L56" s="12"/>
      <c r="M56" s="4" t="s">
        <v>4751</v>
      </c>
    </row>
    <row r="57" customFormat="false" ht="35.05" hidden="false" customHeight="false" outlineLevel="0" collapsed="false">
      <c r="A57" s="4" t="s">
        <v>4704</v>
      </c>
      <c r="B57" s="12" t="s">
        <v>2765</v>
      </c>
      <c r="C57" s="4" t="s">
        <v>4752</v>
      </c>
      <c r="D57" s="12" t="s">
        <v>2808</v>
      </c>
      <c r="E57" s="12" t="s">
        <v>2497</v>
      </c>
      <c r="F57" s="29" t="n">
        <v>6</v>
      </c>
      <c r="G57" s="29" t="n">
        <v>1</v>
      </c>
      <c r="H57" s="19" t="n">
        <v>1300</v>
      </c>
      <c r="I57" s="23" t="n">
        <f aca="false">F57*G57*H57</f>
        <v>7800</v>
      </c>
      <c r="J57" s="12" t="s">
        <v>4708</v>
      </c>
      <c r="K57" s="12" t="s">
        <v>2851</v>
      </c>
      <c r="L57" s="12" t="s">
        <v>2796</v>
      </c>
      <c r="M57" s="4" t="s">
        <v>4753</v>
      </c>
    </row>
    <row r="58" customFormat="false" ht="35.05" hidden="false" customHeight="false" outlineLevel="0" collapsed="false">
      <c r="A58" s="4" t="s">
        <v>4704</v>
      </c>
      <c r="B58" s="12" t="s">
        <v>2765</v>
      </c>
      <c r="C58" s="4" t="s">
        <v>2613</v>
      </c>
      <c r="D58" s="12" t="s">
        <v>2808</v>
      </c>
      <c r="E58" s="12" t="s">
        <v>2497</v>
      </c>
      <c r="F58" s="29" t="n">
        <v>6</v>
      </c>
      <c r="G58" s="29" t="n">
        <v>1</v>
      </c>
      <c r="H58" s="19" t="n">
        <v>900</v>
      </c>
      <c r="I58" s="23" t="n">
        <f aca="false">F58*G58*H58</f>
        <v>5400</v>
      </c>
      <c r="J58" s="12" t="s">
        <v>4708</v>
      </c>
      <c r="K58" s="12" t="s">
        <v>2848</v>
      </c>
      <c r="L58" s="12" t="s">
        <v>2796</v>
      </c>
      <c r="M58" s="4"/>
    </row>
    <row r="59" customFormat="false" ht="15" hidden="false" customHeight="false" outlineLevel="0" collapsed="false">
      <c r="A59" s="4" t="s">
        <v>4240</v>
      </c>
      <c r="B59" s="12" t="s">
        <v>2766</v>
      </c>
      <c r="C59" s="4" t="s">
        <v>4754</v>
      </c>
      <c r="D59" s="12" t="s">
        <v>2793</v>
      </c>
      <c r="E59" s="12" t="s">
        <v>2484</v>
      </c>
      <c r="F59" s="29" t="n">
        <v>1</v>
      </c>
      <c r="G59" s="29" t="n">
        <v>1</v>
      </c>
      <c r="H59" s="19" t="n">
        <v>7000</v>
      </c>
      <c r="I59" s="23" t="n">
        <f aca="false">F59*G59*H59</f>
        <v>7000</v>
      </c>
      <c r="J59" s="12" t="s">
        <v>2794</v>
      </c>
      <c r="K59" s="12" t="s">
        <v>2795</v>
      </c>
      <c r="L59" s="12" t="s">
        <v>2796</v>
      </c>
      <c r="M59" s="4"/>
    </row>
    <row r="60" customFormat="false" ht="35.05" hidden="false" customHeight="false" outlineLevel="0" collapsed="false">
      <c r="A60" s="4" t="s">
        <v>4704</v>
      </c>
      <c r="B60" s="12" t="s">
        <v>2766</v>
      </c>
      <c r="C60" s="4" t="s">
        <v>4755</v>
      </c>
      <c r="D60" s="12" t="s">
        <v>2804</v>
      </c>
      <c r="E60" s="12" t="s">
        <v>2597</v>
      </c>
      <c r="F60" s="29" t="n">
        <v>1</v>
      </c>
      <c r="G60" s="29" t="n">
        <v>1</v>
      </c>
      <c r="H60" s="19" t="n">
        <v>4000</v>
      </c>
      <c r="I60" s="23" t="n">
        <f aca="false">F60*G60*H60</f>
        <v>4000</v>
      </c>
      <c r="J60" s="12" t="s">
        <v>2794</v>
      </c>
      <c r="K60" s="12" t="s">
        <v>2891</v>
      </c>
      <c r="L60" s="12" t="s">
        <v>2796</v>
      </c>
      <c r="M60" s="4"/>
    </row>
    <row r="61" customFormat="false" ht="23.85" hidden="false" customHeight="false" outlineLevel="0" collapsed="false">
      <c r="A61" s="4" t="s">
        <v>4756</v>
      </c>
      <c r="B61" s="12" t="s">
        <v>2766</v>
      </c>
      <c r="C61" s="4" t="s">
        <v>4757</v>
      </c>
      <c r="D61" s="12" t="s">
        <v>2804</v>
      </c>
      <c r="E61" s="12" t="s">
        <v>2597</v>
      </c>
      <c r="F61" s="29" t="n">
        <v>1</v>
      </c>
      <c r="G61" s="29" t="n">
        <v>1</v>
      </c>
      <c r="H61" s="19" t="n">
        <v>4000</v>
      </c>
      <c r="I61" s="23" t="n">
        <f aca="false">F61*G61*H61</f>
        <v>4000</v>
      </c>
      <c r="J61" s="12" t="s">
        <v>2794</v>
      </c>
      <c r="K61" s="12" t="s">
        <v>2937</v>
      </c>
      <c r="L61" s="12" t="s">
        <v>2796</v>
      </c>
      <c r="M61" s="4" t="s">
        <v>4758</v>
      </c>
    </row>
    <row r="62" customFormat="false" ht="23.85" hidden="false" customHeight="false" outlineLevel="0" collapsed="false">
      <c r="A62" s="4" t="s">
        <v>4240</v>
      </c>
      <c r="B62" s="12" t="s">
        <v>2768</v>
      </c>
      <c r="C62" s="4" t="s">
        <v>2911</v>
      </c>
      <c r="D62" s="12" t="s">
        <v>2882</v>
      </c>
      <c r="E62" s="12" t="s">
        <v>2601</v>
      </c>
      <c r="F62" s="29" t="n">
        <v>1</v>
      </c>
      <c r="G62" s="29" t="n">
        <v>1</v>
      </c>
      <c r="H62" s="19" t="n">
        <v>8820</v>
      </c>
      <c r="I62" s="23" t="n">
        <f aca="false">F62*G62*H62</f>
        <v>8820</v>
      </c>
      <c r="J62" s="12" t="s">
        <v>2794</v>
      </c>
      <c r="K62" s="12" t="s">
        <v>2805</v>
      </c>
      <c r="L62" s="12"/>
      <c r="M62" s="4" t="s">
        <v>4759</v>
      </c>
    </row>
    <row r="63" customFormat="false" ht="15" hidden="false" customHeight="false" outlineLevel="0" collapsed="false">
      <c r="A63" s="4" t="s">
        <v>4240</v>
      </c>
      <c r="B63" s="12" t="s">
        <v>2767</v>
      </c>
      <c r="C63" s="4" t="s">
        <v>2893</v>
      </c>
      <c r="D63" s="12" t="s">
        <v>2793</v>
      </c>
      <c r="E63" s="12" t="s">
        <v>2484</v>
      </c>
      <c r="F63" s="29" t="n">
        <v>1</v>
      </c>
      <c r="G63" s="29" t="n">
        <v>5</v>
      </c>
      <c r="H63" s="19" t="n">
        <v>1200</v>
      </c>
      <c r="I63" s="23" t="n">
        <f aca="false">F63*G63*H63</f>
        <v>6000</v>
      </c>
      <c r="J63" s="12" t="s">
        <v>2794</v>
      </c>
      <c r="K63" s="12" t="s">
        <v>2894</v>
      </c>
      <c r="L63" s="12" t="s">
        <v>2796</v>
      </c>
      <c r="M63" s="4" t="s">
        <v>4760</v>
      </c>
    </row>
    <row r="64" customFormat="false" ht="23.85" hidden="false" customHeight="false" outlineLevel="0" collapsed="false">
      <c r="A64" s="4" t="s">
        <v>4240</v>
      </c>
      <c r="B64" s="12" t="s">
        <v>2767</v>
      </c>
      <c r="C64" s="4" t="s">
        <v>4761</v>
      </c>
      <c r="D64" s="12" t="s">
        <v>2793</v>
      </c>
      <c r="E64" s="12" t="s">
        <v>2484</v>
      </c>
      <c r="F64" s="29" t="n">
        <v>1</v>
      </c>
      <c r="G64" s="29" t="n">
        <v>1</v>
      </c>
      <c r="H64" s="19" t="n">
        <v>2000</v>
      </c>
      <c r="I64" s="23" t="n">
        <f aca="false">F64*G64*H64</f>
        <v>2000</v>
      </c>
      <c r="J64" s="12" t="s">
        <v>2794</v>
      </c>
      <c r="K64" s="12" t="s">
        <v>2891</v>
      </c>
      <c r="L64" s="12" t="s">
        <v>2796</v>
      </c>
      <c r="M64" s="4"/>
    </row>
    <row r="65" customFormat="false" ht="35.05" hidden="false" customHeight="false" outlineLevel="0" collapsed="false">
      <c r="A65" s="4" t="s">
        <v>4704</v>
      </c>
      <c r="B65" s="12" t="s">
        <v>2765</v>
      </c>
      <c r="C65" s="4" t="s">
        <v>4762</v>
      </c>
      <c r="D65" s="12" t="s">
        <v>2808</v>
      </c>
      <c r="E65" s="12" t="s">
        <v>4711</v>
      </c>
      <c r="F65" s="29" t="n">
        <v>2</v>
      </c>
      <c r="G65" s="29" t="n">
        <v>1</v>
      </c>
      <c r="H65" s="19" t="n">
        <v>5000</v>
      </c>
      <c r="I65" s="23" t="n">
        <f aca="false">F65*G65*H65</f>
        <v>10000</v>
      </c>
      <c r="J65" s="12" t="s">
        <v>2794</v>
      </c>
      <c r="K65" s="12" t="s">
        <v>2902</v>
      </c>
      <c r="L65" s="12" t="s">
        <v>2796</v>
      </c>
      <c r="M65" s="4" t="s">
        <v>4763</v>
      </c>
    </row>
    <row r="66" customFormat="false" ht="35.05" hidden="false" customHeight="false" outlineLevel="0" collapsed="false">
      <c r="A66" s="4" t="s">
        <v>4704</v>
      </c>
      <c r="B66" s="12" t="s">
        <v>2765</v>
      </c>
      <c r="C66" s="4" t="s">
        <v>4764</v>
      </c>
      <c r="D66" s="12" t="s">
        <v>2808</v>
      </c>
      <c r="E66" s="12" t="s">
        <v>2497</v>
      </c>
      <c r="F66" s="29" t="n">
        <v>12</v>
      </c>
      <c r="G66" s="29" t="n">
        <v>1</v>
      </c>
      <c r="H66" s="19" t="n">
        <v>500</v>
      </c>
      <c r="I66" s="23" t="n">
        <f aca="false">F66*G66*H66</f>
        <v>6000</v>
      </c>
      <c r="J66" s="12" t="s">
        <v>4708</v>
      </c>
      <c r="K66" s="12" t="s">
        <v>2805</v>
      </c>
      <c r="L66" s="12"/>
      <c r="M66" s="4" t="s">
        <v>4765</v>
      </c>
    </row>
    <row r="67" customFormat="false" ht="35.05" hidden="false" customHeight="false" outlineLevel="0" collapsed="false">
      <c r="A67" s="4" t="s">
        <v>4704</v>
      </c>
      <c r="B67" s="12" t="s">
        <v>2765</v>
      </c>
      <c r="C67" s="4" t="s">
        <v>4766</v>
      </c>
      <c r="D67" s="12" t="s">
        <v>2808</v>
      </c>
      <c r="E67" s="12" t="s">
        <v>2497</v>
      </c>
      <c r="F67" s="29" t="n">
        <v>6</v>
      </c>
      <c r="G67" s="29" t="n">
        <v>1</v>
      </c>
      <c r="H67" s="19" t="n">
        <v>1300</v>
      </c>
      <c r="I67" s="23" t="n">
        <f aca="false">F67*G67*H67</f>
        <v>7800</v>
      </c>
      <c r="J67" s="12" t="s">
        <v>4708</v>
      </c>
      <c r="K67" s="12" t="s">
        <v>2805</v>
      </c>
      <c r="L67" s="12"/>
      <c r="M67" s="4" t="s">
        <v>3234</v>
      </c>
    </row>
    <row r="68" customFormat="false" ht="15" hidden="false" customHeight="false" outlineLevel="0" collapsed="false">
      <c r="H68" s="10" t="s">
        <v>134</v>
      </c>
      <c r="I68" s="11" t="n">
        <f aca="false">SUM(I26:I67)</f>
        <v>351558</v>
      </c>
    </row>
    <row r="70" customFormat="false" ht="15" hidden="false" customHeight="false" outlineLevel="0" collapsed="false">
      <c r="A70" s="22" t="s">
        <v>2913</v>
      </c>
    </row>
    <row r="71" customFormat="false" ht="23.85" hidden="false" customHeight="false" outlineLevel="0" collapsed="false">
      <c r="A71" s="3" t="s">
        <v>2914</v>
      </c>
      <c r="B71" s="3" t="s">
        <v>2915</v>
      </c>
      <c r="C71" s="3" t="s">
        <v>2780</v>
      </c>
      <c r="D71" s="3" t="s">
        <v>2781</v>
      </c>
      <c r="E71" s="3" t="s">
        <v>2782</v>
      </c>
      <c r="F71" s="3" t="s">
        <v>2783</v>
      </c>
      <c r="G71" s="3" t="s">
        <v>2784</v>
      </c>
      <c r="H71" s="3" t="s">
        <v>2785</v>
      </c>
      <c r="I71" s="3" t="s">
        <v>2786</v>
      </c>
      <c r="J71" s="3" t="s">
        <v>1393</v>
      </c>
      <c r="K71" s="3" t="s">
        <v>2916</v>
      </c>
      <c r="L71" s="3" t="s">
        <v>2789</v>
      </c>
      <c r="M71" s="3" t="s">
        <v>368</v>
      </c>
    </row>
    <row r="72" customFormat="false" ht="15" hidden="false" customHeight="false" outlineLevel="0" collapsed="false">
      <c r="A72" s="4" t="s">
        <v>4240</v>
      </c>
      <c r="B72" s="12" t="s">
        <v>2918</v>
      </c>
      <c r="C72" s="4" t="s">
        <v>2919</v>
      </c>
      <c r="D72" s="12" t="s">
        <v>2804</v>
      </c>
      <c r="E72" s="12" t="s">
        <v>2597</v>
      </c>
      <c r="F72" s="30" t="n">
        <v>1</v>
      </c>
      <c r="G72" s="30" t="n">
        <v>1</v>
      </c>
      <c r="H72" s="19" t="n">
        <v>13500</v>
      </c>
      <c r="I72" s="23" t="n">
        <f aca="false">F72*G72*H72</f>
        <v>13500</v>
      </c>
      <c r="J72" s="12" t="s">
        <v>2794</v>
      </c>
      <c r="K72" s="12" t="s">
        <v>2920</v>
      </c>
      <c r="L72" s="12" t="s">
        <v>2796</v>
      </c>
      <c r="M72" s="4" t="s">
        <v>4461</v>
      </c>
    </row>
    <row r="73" customFormat="false" ht="23.85" hidden="false" customHeight="false" outlineLevel="0" collapsed="false">
      <c r="A73" s="4" t="s">
        <v>4240</v>
      </c>
      <c r="B73" s="12" t="s">
        <v>2918</v>
      </c>
      <c r="C73" s="4" t="s">
        <v>4767</v>
      </c>
      <c r="D73" s="12" t="s">
        <v>2804</v>
      </c>
      <c r="E73" s="12" t="s">
        <v>2597</v>
      </c>
      <c r="F73" s="30" t="n">
        <v>1</v>
      </c>
      <c r="G73" s="30" t="n">
        <v>1</v>
      </c>
      <c r="H73" s="19" t="n">
        <v>8000</v>
      </c>
      <c r="I73" s="23" t="n">
        <f aca="false">F73*G73*H73</f>
        <v>8000</v>
      </c>
      <c r="J73" s="12" t="s">
        <v>2794</v>
      </c>
      <c r="K73" s="12" t="s">
        <v>2805</v>
      </c>
      <c r="L73" s="12"/>
      <c r="M73" s="4"/>
    </row>
    <row r="74" customFormat="false" ht="15" hidden="false" customHeight="false" outlineLevel="0" collapsed="false">
      <c r="A74" s="4" t="s">
        <v>4240</v>
      </c>
      <c r="B74" s="12" t="s">
        <v>2918</v>
      </c>
      <c r="C74" s="4" t="s">
        <v>2926</v>
      </c>
      <c r="D74" s="12" t="s">
        <v>2793</v>
      </c>
      <c r="E74" s="12" t="s">
        <v>2484</v>
      </c>
      <c r="F74" s="30" t="n">
        <v>1</v>
      </c>
      <c r="G74" s="30" t="n">
        <v>5</v>
      </c>
      <c r="H74" s="19" t="n">
        <v>80</v>
      </c>
      <c r="I74" s="23" t="n">
        <f aca="false">F74*G74*H74</f>
        <v>400</v>
      </c>
      <c r="J74" s="12" t="s">
        <v>2794</v>
      </c>
      <c r="K74" s="12" t="s">
        <v>2805</v>
      </c>
      <c r="L74" s="12"/>
      <c r="M74" s="4"/>
    </row>
    <row r="75" customFormat="false" ht="15" hidden="false" customHeight="false" outlineLevel="0" collapsed="false">
      <c r="A75" s="4" t="s">
        <v>4240</v>
      </c>
      <c r="B75" s="12" t="s">
        <v>2918</v>
      </c>
      <c r="C75" s="4" t="s">
        <v>2928</v>
      </c>
      <c r="D75" s="12" t="s">
        <v>2882</v>
      </c>
      <c r="E75" s="12" t="s">
        <v>2601</v>
      </c>
      <c r="F75" s="30" t="n">
        <v>1</v>
      </c>
      <c r="G75" s="30" t="n">
        <v>1</v>
      </c>
      <c r="H75" s="19" t="n">
        <v>1200</v>
      </c>
      <c r="I75" s="23" t="n">
        <f aca="false">F75*G75*H75</f>
        <v>1200</v>
      </c>
      <c r="J75" s="12" t="s">
        <v>2794</v>
      </c>
      <c r="K75" s="12" t="s">
        <v>2805</v>
      </c>
      <c r="L75" s="12"/>
      <c r="M75" s="4"/>
    </row>
    <row r="76" customFormat="false" ht="15" hidden="false" customHeight="false" outlineLevel="0" collapsed="false">
      <c r="A76" s="4" t="s">
        <v>4310</v>
      </c>
      <c r="B76" s="12" t="s">
        <v>2930</v>
      </c>
      <c r="C76" s="4" t="s">
        <v>3823</v>
      </c>
      <c r="D76" s="12" t="s">
        <v>2793</v>
      </c>
      <c r="E76" s="12" t="s">
        <v>2484</v>
      </c>
      <c r="F76" s="30" t="n">
        <v>1</v>
      </c>
      <c r="G76" s="30" t="n">
        <v>2</v>
      </c>
      <c r="H76" s="19" t="n">
        <v>4000</v>
      </c>
      <c r="I76" s="23" t="n">
        <f aca="false">F76*G76*H76</f>
        <v>8000</v>
      </c>
      <c r="J76" s="12" t="s">
        <v>2794</v>
      </c>
      <c r="K76" s="12" t="s">
        <v>2805</v>
      </c>
      <c r="L76" s="12"/>
      <c r="M76" s="4" t="s">
        <v>4768</v>
      </c>
    </row>
    <row r="77" customFormat="false" ht="15" hidden="false" customHeight="false" outlineLevel="0" collapsed="false">
      <c r="A77" s="4" t="s">
        <v>4310</v>
      </c>
      <c r="B77" s="12" t="s">
        <v>2930</v>
      </c>
      <c r="C77" s="4" t="s">
        <v>3537</v>
      </c>
      <c r="D77" s="12" t="s">
        <v>2808</v>
      </c>
      <c r="E77" s="12" t="s">
        <v>2497</v>
      </c>
      <c r="F77" s="30" t="n">
        <v>12</v>
      </c>
      <c r="G77" s="30" t="n">
        <v>1</v>
      </c>
      <c r="H77" s="19" t="n">
        <v>250</v>
      </c>
      <c r="I77" s="23" t="n">
        <f aca="false">F77*G77*H77</f>
        <v>3000</v>
      </c>
      <c r="J77" s="12" t="s">
        <v>4708</v>
      </c>
      <c r="K77" s="12" t="s">
        <v>2934</v>
      </c>
      <c r="L77" s="12" t="s">
        <v>2796</v>
      </c>
      <c r="M77" s="4"/>
    </row>
    <row r="78" customFormat="false" ht="15" hidden="false" customHeight="false" outlineLevel="0" collapsed="false">
      <c r="A78" s="4" t="s">
        <v>4310</v>
      </c>
      <c r="B78" s="12" t="s">
        <v>2930</v>
      </c>
      <c r="C78" s="4" t="s">
        <v>3362</v>
      </c>
      <c r="D78" s="12" t="s">
        <v>2808</v>
      </c>
      <c r="E78" s="12" t="s">
        <v>2497</v>
      </c>
      <c r="F78" s="30" t="n">
        <v>6</v>
      </c>
      <c r="G78" s="30" t="n">
        <v>1</v>
      </c>
      <c r="H78" s="19" t="n">
        <v>600</v>
      </c>
      <c r="I78" s="23" t="n">
        <f aca="false">F78*G78*H78</f>
        <v>3600</v>
      </c>
      <c r="J78" s="12" t="s">
        <v>4708</v>
      </c>
      <c r="K78" s="12" t="s">
        <v>2805</v>
      </c>
      <c r="L78" s="12"/>
      <c r="M78" s="4" t="s">
        <v>4769</v>
      </c>
    </row>
    <row r="79" customFormat="false" ht="15" hidden="false" customHeight="false" outlineLevel="0" collapsed="false">
      <c r="A79" s="4" t="s">
        <v>4310</v>
      </c>
      <c r="B79" s="12" t="s">
        <v>2930</v>
      </c>
      <c r="C79" s="4" t="s">
        <v>4132</v>
      </c>
      <c r="D79" s="12" t="s">
        <v>2804</v>
      </c>
      <c r="E79" s="12" t="s">
        <v>2597</v>
      </c>
      <c r="F79" s="30" t="n">
        <v>1</v>
      </c>
      <c r="G79" s="30" t="n">
        <v>1</v>
      </c>
      <c r="H79" s="19" t="n">
        <v>6000</v>
      </c>
      <c r="I79" s="23" t="n">
        <f aca="false">F79*G79*H79</f>
        <v>6000</v>
      </c>
      <c r="J79" s="12" t="s">
        <v>2794</v>
      </c>
      <c r="K79" s="12" t="s">
        <v>2937</v>
      </c>
      <c r="L79" s="12" t="s">
        <v>2796</v>
      </c>
      <c r="M79" s="4"/>
    </row>
    <row r="80" customFormat="false" ht="15" hidden="false" customHeight="false" outlineLevel="0" collapsed="false">
      <c r="A80" s="4" t="s">
        <v>4310</v>
      </c>
      <c r="B80" s="12" t="s">
        <v>2930</v>
      </c>
      <c r="C80" s="4" t="s">
        <v>3365</v>
      </c>
      <c r="D80" s="12" t="s">
        <v>2793</v>
      </c>
      <c r="E80" s="12" t="s">
        <v>2484</v>
      </c>
      <c r="F80" s="30" t="n">
        <v>1</v>
      </c>
      <c r="G80" s="30" t="n">
        <v>2</v>
      </c>
      <c r="H80" s="19" t="n">
        <v>3800</v>
      </c>
      <c r="I80" s="23" t="n">
        <f aca="false">F80*G80*H80</f>
        <v>7600</v>
      </c>
      <c r="J80" s="12" t="s">
        <v>2794</v>
      </c>
      <c r="K80" s="12" t="s">
        <v>2909</v>
      </c>
      <c r="L80" s="12" t="s">
        <v>2796</v>
      </c>
      <c r="M80" s="4"/>
    </row>
    <row r="81" customFormat="false" ht="15" hidden="false" customHeight="false" outlineLevel="0" collapsed="false">
      <c r="A81" s="4" t="s">
        <v>4310</v>
      </c>
      <c r="B81" s="12" t="s">
        <v>2930</v>
      </c>
      <c r="C81" s="4" t="s">
        <v>2651</v>
      </c>
      <c r="D81" s="12" t="s">
        <v>2793</v>
      </c>
      <c r="E81" s="12" t="s">
        <v>2484</v>
      </c>
      <c r="F81" s="30" t="n">
        <v>1</v>
      </c>
      <c r="G81" s="30" t="n">
        <v>1</v>
      </c>
      <c r="H81" s="19" t="n">
        <v>4500</v>
      </c>
      <c r="I81" s="23" t="n">
        <f aca="false">F81*G81*H81</f>
        <v>4500</v>
      </c>
      <c r="J81" s="12" t="s">
        <v>2794</v>
      </c>
      <c r="K81" s="12" t="s">
        <v>2939</v>
      </c>
      <c r="L81" s="12" t="s">
        <v>2796</v>
      </c>
      <c r="M81" s="4" t="s">
        <v>4770</v>
      </c>
    </row>
    <row r="82" customFormat="false" ht="15" hidden="false" customHeight="false" outlineLevel="0" collapsed="false">
      <c r="A82" s="4" t="s">
        <v>4310</v>
      </c>
      <c r="B82" s="12" t="s">
        <v>2930</v>
      </c>
      <c r="C82" s="4" t="s">
        <v>2944</v>
      </c>
      <c r="D82" s="12" t="s">
        <v>2808</v>
      </c>
      <c r="E82" s="12" t="s">
        <v>2477</v>
      </c>
      <c r="F82" s="30" t="n">
        <v>600</v>
      </c>
      <c r="G82" s="30" t="n">
        <v>1</v>
      </c>
      <c r="H82" s="19" t="n">
        <v>2.5</v>
      </c>
      <c r="I82" s="23" t="n">
        <f aca="false">F82*G82*H82</f>
        <v>1500</v>
      </c>
      <c r="J82" s="12" t="s">
        <v>4708</v>
      </c>
      <c r="K82" s="12" t="s">
        <v>2805</v>
      </c>
      <c r="L82" s="12"/>
      <c r="M82" s="4" t="s">
        <v>3247</v>
      </c>
    </row>
    <row r="83" customFormat="false" ht="15" hidden="false" customHeight="false" outlineLevel="0" collapsed="false">
      <c r="A83" s="4" t="s">
        <v>4310</v>
      </c>
      <c r="B83" s="12" t="s">
        <v>2930</v>
      </c>
      <c r="C83" s="4" t="s">
        <v>4771</v>
      </c>
      <c r="D83" s="12" t="s">
        <v>2808</v>
      </c>
      <c r="E83" s="12" t="s">
        <v>2528</v>
      </c>
      <c r="F83" s="30" t="n">
        <v>24</v>
      </c>
      <c r="G83" s="30" t="n">
        <v>1</v>
      </c>
      <c r="H83" s="19" t="n">
        <v>65</v>
      </c>
      <c r="I83" s="23" t="n">
        <f aca="false">F83*G83*H83</f>
        <v>1560</v>
      </c>
      <c r="J83" s="12" t="s">
        <v>4708</v>
      </c>
      <c r="K83" s="12" t="s">
        <v>2949</v>
      </c>
      <c r="L83" s="12" t="s">
        <v>2950</v>
      </c>
      <c r="M83" s="4" t="s">
        <v>3250</v>
      </c>
    </row>
    <row r="85" customFormat="false" ht="15" hidden="false" customHeight="false" outlineLevel="0" collapsed="false">
      <c r="A85" s="10" t="s">
        <v>2952</v>
      </c>
      <c r="B85" s="23" t="n">
        <f aca="false">SUMIFS($I$72:$I$83,$B$72:$B$83,"Custos de administração")</f>
        <v>23100</v>
      </c>
      <c r="C85" s="13" t="n">
        <f aca="false">B17</f>
        <v>24609.06</v>
      </c>
      <c r="D85" s="23" t="n">
        <f aca="false">C85-B85</f>
        <v>1509.06</v>
      </c>
      <c r="E85" s="12" t="str">
        <f aca="false">IF(D85&gt;=0,"OK","EXCEDE")</f>
        <v>OK</v>
      </c>
    </row>
    <row r="86" customFormat="false" ht="15" hidden="false" customHeight="false" outlineLevel="0" collapsed="false">
      <c r="A86" s="10" t="s">
        <v>2953</v>
      </c>
      <c r="B86" s="23" t="n">
        <f aca="false">SUMIFS($I$72:$I$83,$B$72:$B$83,"Custos de acessibilidade, comunicação e divulgação")</f>
        <v>35760</v>
      </c>
      <c r="C86" s="13" t="n">
        <f aca="false">B18</f>
        <v>38671.38</v>
      </c>
      <c r="D86" s="23" t="n">
        <f aca="false">C86-B86</f>
        <v>2911.38</v>
      </c>
      <c r="E86" s="12" t="str">
        <f aca="false">IF(D86&gt;=0,"OK","EXCEDE")</f>
        <v>OK</v>
      </c>
    </row>
    <row r="87" customFormat="false" ht="15" hidden="false" customHeight="false" outlineLevel="0" collapsed="false">
      <c r="A87" s="14" t="s">
        <v>2954</v>
      </c>
    </row>
    <row r="89" customFormat="false" ht="15" hidden="false" customHeight="false" outlineLevel="0" collapsed="false">
      <c r="A89" s="22" t="s">
        <v>2955</v>
      </c>
    </row>
    <row r="90" customFormat="false" ht="30" hidden="false" customHeight="true" outlineLevel="0" collapsed="false">
      <c r="A90" s="21" t="s">
        <v>4772</v>
      </c>
      <c r="B90" s="21"/>
      <c r="C90" s="21"/>
      <c r="D90" s="21"/>
      <c r="E90" s="21"/>
      <c r="F90" s="21"/>
      <c r="G90" s="21"/>
      <c r="H90" s="21"/>
      <c r="I90" s="21"/>
      <c r="J90" s="21"/>
      <c r="K90" s="21"/>
      <c r="L90" s="21"/>
      <c r="M90" s="21"/>
    </row>
    <row r="91" customFormat="false" ht="30" hidden="false" customHeight="true" outlineLevel="0" collapsed="false">
      <c r="A91" s="21" t="s">
        <v>4773</v>
      </c>
      <c r="B91" s="21"/>
      <c r="C91" s="21"/>
      <c r="D91" s="21"/>
      <c r="E91" s="21"/>
      <c r="F91" s="21"/>
      <c r="G91" s="21"/>
      <c r="H91" s="21"/>
      <c r="I91" s="21"/>
      <c r="J91" s="21"/>
      <c r="K91" s="21"/>
      <c r="L91" s="21"/>
      <c r="M91" s="21"/>
    </row>
    <row r="92" customFormat="false" ht="30" hidden="false" customHeight="true" outlineLevel="0" collapsed="false">
      <c r="A92" s="21" t="s">
        <v>4774</v>
      </c>
      <c r="B92" s="21"/>
      <c r="C92" s="21"/>
      <c r="D92" s="21"/>
      <c r="E92" s="21"/>
      <c r="F92" s="21"/>
      <c r="G92" s="21"/>
      <c r="H92" s="21"/>
      <c r="I92" s="21"/>
      <c r="J92" s="21"/>
      <c r="K92" s="21"/>
      <c r="L92" s="21"/>
      <c r="M92" s="21"/>
    </row>
    <row r="93" customFormat="false" ht="30" hidden="false" customHeight="true" outlineLevel="0" collapsed="false">
      <c r="A93" s="21" t="s">
        <v>4775</v>
      </c>
      <c r="B93" s="21"/>
      <c r="C93" s="21"/>
      <c r="D93" s="21"/>
      <c r="E93" s="21"/>
      <c r="F93" s="21"/>
      <c r="G93" s="21"/>
      <c r="H93" s="21"/>
      <c r="I93" s="21"/>
      <c r="J93" s="21"/>
      <c r="K93" s="21"/>
      <c r="L93" s="21"/>
      <c r="M93" s="21"/>
    </row>
    <row r="94" customFormat="false" ht="30" hidden="false" customHeight="true" outlineLevel="0" collapsed="false">
      <c r="A94" s="21" t="s">
        <v>4776</v>
      </c>
      <c r="B94" s="21"/>
      <c r="C94" s="21"/>
      <c r="D94" s="21"/>
      <c r="E94" s="21"/>
      <c r="F94" s="21"/>
      <c r="G94" s="21"/>
      <c r="H94" s="21"/>
      <c r="I94" s="21"/>
      <c r="J94" s="21"/>
      <c r="K94" s="21"/>
      <c r="L94" s="21"/>
      <c r="M94" s="21"/>
    </row>
    <row r="95" customFormat="false" ht="30" hidden="false" customHeight="true" outlineLevel="0" collapsed="false">
      <c r="A95" s="21" t="s">
        <v>4777</v>
      </c>
      <c r="B95" s="21"/>
      <c r="C95" s="21"/>
      <c r="D95" s="21"/>
      <c r="E95" s="21"/>
      <c r="F95" s="21"/>
      <c r="G95" s="21"/>
      <c r="H95" s="21"/>
      <c r="I95" s="21"/>
      <c r="J95" s="21"/>
      <c r="K95" s="21"/>
      <c r="L95" s="21"/>
      <c r="M95" s="21"/>
    </row>
    <row r="96" customFormat="false" ht="30" hidden="false" customHeight="true" outlineLevel="0" collapsed="false">
      <c r="A96" s="21" t="s">
        <v>4778</v>
      </c>
      <c r="B96" s="21"/>
      <c r="C96" s="21"/>
      <c r="D96" s="21"/>
      <c r="E96" s="21"/>
      <c r="F96" s="21"/>
      <c r="G96" s="21"/>
      <c r="H96" s="21"/>
      <c r="I96" s="21"/>
      <c r="J96" s="21"/>
      <c r="K96" s="21"/>
      <c r="L96" s="21"/>
      <c r="M96" s="21"/>
    </row>
    <row r="97" customFormat="false" ht="30" hidden="false" customHeight="true" outlineLevel="0" collapsed="false">
      <c r="A97" s="21" t="s">
        <v>4779</v>
      </c>
      <c r="B97" s="21"/>
      <c r="C97" s="21"/>
      <c r="D97" s="21"/>
      <c r="E97" s="21"/>
      <c r="F97" s="21"/>
      <c r="G97" s="21"/>
      <c r="H97" s="21"/>
      <c r="I97" s="21"/>
      <c r="J97" s="21"/>
      <c r="K97" s="21"/>
      <c r="L97" s="21"/>
      <c r="M97" s="21"/>
    </row>
    <row r="98" customFormat="false" ht="15" hidden="false" customHeight="true" outlineLevel="0" collapsed="false">
      <c r="A98" s="21" t="s">
        <v>4780</v>
      </c>
      <c r="B98" s="21"/>
      <c r="C98" s="21"/>
      <c r="D98" s="21"/>
      <c r="E98" s="21"/>
      <c r="F98" s="21"/>
      <c r="G98" s="21"/>
      <c r="H98" s="21"/>
      <c r="I98" s="21"/>
      <c r="J98" s="21"/>
      <c r="K98" s="21"/>
      <c r="L98" s="21"/>
      <c r="M98" s="21"/>
    </row>
    <row r="100" customFormat="false" ht="15" hidden="false" customHeight="false" outlineLevel="0" collapsed="false">
      <c r="A100" s="22" t="s">
        <v>2964</v>
      </c>
      <c r="B100" s="19" t="n">
        <v>90000</v>
      </c>
    </row>
    <row r="101" customFormat="false" ht="75" hidden="false" customHeight="true" outlineLevel="0" collapsed="false">
      <c r="A101" s="21" t="s">
        <v>4781</v>
      </c>
      <c r="B101" s="21"/>
      <c r="C101" s="21"/>
      <c r="D101" s="21"/>
      <c r="E101" s="21"/>
      <c r="F101" s="21"/>
      <c r="G101" s="21"/>
      <c r="H101" s="21"/>
      <c r="I101" s="21"/>
      <c r="J101" s="21"/>
      <c r="K101" s="21"/>
      <c r="L101" s="21"/>
      <c r="M101" s="21"/>
    </row>
  </sheetData>
  <mergeCells count="15">
    <mergeCell ref="B2:M2"/>
    <mergeCell ref="B3:M3"/>
    <mergeCell ref="B4:M4"/>
    <mergeCell ref="B5:M5"/>
    <mergeCell ref="B6:M6"/>
    <mergeCell ref="A90:M90"/>
    <mergeCell ref="A91:M91"/>
    <mergeCell ref="A92:M92"/>
    <mergeCell ref="A93:M93"/>
    <mergeCell ref="A94:M94"/>
    <mergeCell ref="A95:M95"/>
    <mergeCell ref="A96:M96"/>
    <mergeCell ref="A97:M97"/>
    <mergeCell ref="A98:M98"/>
    <mergeCell ref="A101:M101"/>
  </mergeCells>
  <conditionalFormatting sqref="E17:E22">
    <cfRule type="cellIs" priority="2" operator="equal" aboveAverage="0" equalAverage="0" bottom="0" percent="0" rank="0" text="" dxfId="0">
      <formula>"OK"</formula>
    </cfRule>
    <cfRule type="cellIs" priority="3" operator="equal" aboveAverage="0" equalAverage="0" bottom="0" percent="0" rank="0" text="" dxfId="1">
      <formula>"PARCIAL"</formula>
    </cfRule>
    <cfRule type="cellIs" priority="4" operator="equal" aboveAverage="0" equalAverage="0" bottom="0" percent="0" rank="0" text="" dxfId="2">
      <formula>"AUSENTE"</formula>
    </cfRule>
    <cfRule type="cellIs" priority="5" operator="equal" aboveAverage="0" equalAverage="0" bottom="0" percent="0" rank="0" text="" dxfId="1">
      <formula>"ATENÇÃO"</formula>
    </cfRule>
    <cfRule type="cellIs" priority="6" operator="equal" aboveAverage="0" equalAverage="0" bottom="0" percent="0" rank="0" text="" dxfId="2">
      <formula>"VIOLA"</formula>
    </cfRule>
    <cfRule type="cellIs" priority="7" operator="equal" aboveAverage="0" equalAverage="0" bottom="0" percent="0" rank="0" text="" dxfId="2">
      <formula>"EXCEDE"</formula>
    </cfRule>
    <cfRule type="expression" priority="8" aboveAverage="0" equalAverage="0" bottom="0" percent="0" rank="0" text="" dxfId="2">
      <formula>ISNUMBER(SEARCH("EXCEDE",E17))</formula>
    </cfRule>
  </conditionalFormatting>
  <conditionalFormatting sqref="L26:L67">
    <cfRule type="expression" priority="9" aboveAverage="0" equalAverage="0" bottom="0" percent="0" rank="0" text="" dxfId="2">
      <formula>LEFT(L26,5)="ACIMA"</formula>
    </cfRule>
    <cfRule type="expression" priority="10" aboveAverage="0" equalAverage="0" bottom="0" percent="0" rank="0" text="" dxfId="1">
      <formula>LEFT(L26,6)="abaixo"</formula>
    </cfRule>
  </conditionalFormatting>
  <conditionalFormatting sqref="L72:L83">
    <cfRule type="expression" priority="11" aboveAverage="0" equalAverage="0" bottom="0" percent="0" rank="0" text="" dxfId="2">
      <formula>LEFT(L72,5)="ACIMA"</formula>
    </cfRule>
  </conditionalFormatting>
  <conditionalFormatting sqref="E85:E86">
    <cfRule type="cellIs" priority="12" operator="equal" aboveAverage="0" equalAverage="0" bottom="0" percent="0" rank="0" text="" dxfId="0">
      <formula>"OK"</formula>
    </cfRule>
    <cfRule type="cellIs" priority="13" operator="equal" aboveAverage="0" equalAverage="0" bottom="0" percent="0" rank="0" text="" dxfId="1">
      <formula>"PARCIAL"</formula>
    </cfRule>
    <cfRule type="cellIs" priority="14" operator="equal" aboveAverage="0" equalAverage="0" bottom="0" percent="0" rank="0" text="" dxfId="2">
      <formula>"AUSENTE"</formula>
    </cfRule>
    <cfRule type="cellIs" priority="15" operator="equal" aboveAverage="0" equalAverage="0" bottom="0" percent="0" rank="0" text="" dxfId="1">
      <formula>"ATENÇÃO"</formula>
    </cfRule>
    <cfRule type="cellIs" priority="16" operator="equal" aboveAverage="0" equalAverage="0" bottom="0" percent="0" rank="0" text="" dxfId="2">
      <formula>"VIOLA"</formula>
    </cfRule>
    <cfRule type="cellIs" priority="17" operator="equal" aboveAverage="0" equalAverage="0" bottom="0" percent="0" rank="0" text="" dxfId="2">
      <formula>"EXCEDE"</formula>
    </cfRule>
    <cfRule type="expression" priority="18" aboveAverage="0" equalAverage="0" bottom="0" percent="0" rank="0" text="" dxfId="2">
      <formula>ISNUMBER(SEARCH("EXCEDE",E85))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2026-10-14T18:35:50Z</dcterms:created>
  <dc:creator>openpyxl</dc:creator>
  <dc:description/>
  <dc:language>en-US</dc:language>
  <cp:lastModifiedBy/>
  <dcterms:modified xsi:type="dcterms:W3CDTF">2026-10-14T18:35:51Z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